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6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7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8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MEN\Desktop\"/>
    </mc:Choice>
  </mc:AlternateContent>
  <bookViews>
    <workbookView xWindow="0" yWindow="0" windowWidth="24000" windowHeight="9435" firstSheet="1" activeTab="3"/>
  </bookViews>
  <sheets>
    <sheet name="HMEP" sheetId="1" state="hidden" r:id="rId1"/>
    <sheet name="IHSS" sheetId="2" r:id="rId2"/>
    <sheet name="HMEP analisis" sheetId="3" r:id="rId3"/>
    <sheet name="TIR" sheetId="4" r:id="rId4"/>
    <sheet name="TAR" sheetId="5" r:id="rId5"/>
    <sheet name="TBR" sheetId="6" r:id="rId6"/>
    <sheet name="IRG" sheetId="7" r:id="rId7"/>
    <sheet name="TA" sheetId="8" r:id="rId8"/>
    <sheet name="CV" sheetId="10" r:id="rId9"/>
    <sheet name="GMI" sheetId="11" r:id="rId10"/>
    <sheet name="HMEP (3)" sheetId="13" state="hidden" r:id="rId11"/>
    <sheet name="HMEP (4)" sheetId="14" state="hidden" r:id="rId12"/>
    <sheet name="HMEP (5)" sheetId="15" r:id="rId13"/>
    <sheet name="HMEP (2)" sheetId="12" state="hidden" r:id="rId14"/>
  </sheets>
  <definedNames>
    <definedName name="_xlnm._FilterDatabase" localSheetId="8" hidden="1">CV!$A$3:$I$39</definedName>
    <definedName name="_xlnm._FilterDatabase" localSheetId="9" hidden="1">GMI!$A$3:$G$39</definedName>
    <definedName name="_xlnm._FilterDatabase" localSheetId="13" hidden="1">'HMEP (2)'!$A$3:$CQ$40</definedName>
    <definedName name="_xlnm._FilterDatabase" localSheetId="11" hidden="1">'HMEP (4)'!$A$2:$CQ$40</definedName>
    <definedName name="_xlnm._FilterDatabase" localSheetId="2" hidden="1">'HMEP analisis'!$A$2:$CP$40</definedName>
    <definedName name="_xlnm._FilterDatabase" localSheetId="6" hidden="1">IRG!$A$3:$G$39</definedName>
    <definedName name="_xlnm._FilterDatabase" localSheetId="7" hidden="1">TA!$A$3:$G$39</definedName>
    <definedName name="_xlnm._FilterDatabase" localSheetId="4" hidden="1">TAR!$A$3:$N$40</definedName>
    <definedName name="_xlnm._FilterDatabase" localSheetId="5" hidden="1">TBR!$A$3:$M$39</definedName>
    <definedName name="_xlnm._FilterDatabase" localSheetId="3" hidden="1">TIR!$A$4:$I$40</definedName>
  </definedNames>
  <calcPr calcId="152511"/>
  <extLst>
    <ext uri="GoogleSheetsCustomDataVersion2">
      <go:sheetsCustomData xmlns:go="http://customooxmlschemas.google.com/" r:id="rId15" roundtripDataChecksum="0Tg4lZ0E8ax/nX9meMwYUppD/X7y+FSyjLegJmLjzh8="/>
    </ext>
  </extLst>
</workbook>
</file>

<file path=xl/calcChain.xml><?xml version="1.0" encoding="utf-8"?>
<calcChain xmlns="http://schemas.openxmlformats.org/spreadsheetml/2006/main">
  <c r="E83" i="10" l="1"/>
  <c r="F83" i="10"/>
  <c r="G83" i="10"/>
  <c r="J82" i="10"/>
  <c r="I82" i="10"/>
  <c r="H82" i="10"/>
  <c r="G82" i="10"/>
  <c r="F82" i="10"/>
  <c r="E82" i="10"/>
  <c r="D82" i="10"/>
  <c r="I81" i="10"/>
  <c r="H81" i="10"/>
  <c r="G81" i="10"/>
  <c r="E81" i="10"/>
  <c r="F81" i="10"/>
  <c r="D81" i="10"/>
  <c r="H62" i="10"/>
  <c r="G62" i="10"/>
  <c r="F62" i="10"/>
  <c r="E62" i="10"/>
  <c r="D62" i="10"/>
  <c r="J61" i="10"/>
  <c r="I61" i="10"/>
  <c r="H61" i="10"/>
  <c r="E61" i="10"/>
  <c r="F61" i="10"/>
  <c r="G61" i="10"/>
  <c r="D61" i="10"/>
  <c r="H60" i="10"/>
  <c r="G60" i="10"/>
  <c r="E60" i="10"/>
  <c r="F60" i="10"/>
  <c r="D60" i="10"/>
  <c r="J50" i="10"/>
  <c r="I50" i="10"/>
  <c r="H50" i="10"/>
  <c r="G50" i="10"/>
  <c r="F50" i="10"/>
  <c r="E50" i="10"/>
  <c r="D50" i="10"/>
  <c r="F72" i="10"/>
  <c r="G72" i="10"/>
  <c r="E72" i="10"/>
  <c r="D72" i="10"/>
  <c r="J71" i="10"/>
  <c r="I71" i="10"/>
  <c r="H71" i="10"/>
  <c r="G71" i="10"/>
  <c r="F71" i="10"/>
  <c r="E71" i="10"/>
  <c r="D71" i="10"/>
  <c r="I70" i="10"/>
  <c r="H70" i="10"/>
  <c r="G70" i="10"/>
  <c r="F70" i="10"/>
  <c r="E70" i="10"/>
  <c r="D70" i="10"/>
  <c r="F78" i="10"/>
  <c r="G78" i="10"/>
  <c r="E78" i="10"/>
  <c r="D78" i="10"/>
  <c r="I77" i="10"/>
  <c r="H77" i="10"/>
  <c r="G77" i="10"/>
  <c r="F77" i="10"/>
  <c r="E77" i="10"/>
  <c r="D77" i="10"/>
  <c r="I76" i="10"/>
  <c r="H76" i="10"/>
  <c r="G76" i="10"/>
  <c r="E76" i="10"/>
  <c r="F76" i="10"/>
  <c r="D76" i="10"/>
  <c r="H56" i="10"/>
  <c r="F56" i="10"/>
  <c r="G56" i="10"/>
  <c r="E56" i="10"/>
  <c r="D56" i="10"/>
  <c r="I55" i="10"/>
  <c r="H55" i="10"/>
  <c r="G55" i="10"/>
  <c r="F55" i="10"/>
  <c r="E55" i="10"/>
  <c r="D55" i="10"/>
  <c r="I54" i="10"/>
  <c r="H54" i="10"/>
  <c r="E54" i="10"/>
  <c r="F54" i="10"/>
  <c r="G54" i="10"/>
  <c r="D54" i="10"/>
  <c r="I46" i="10"/>
  <c r="H46" i="10"/>
  <c r="G46" i="10"/>
  <c r="F46" i="10"/>
  <c r="E46" i="10"/>
  <c r="D46" i="10"/>
  <c r="G62" i="11"/>
  <c r="F62" i="11"/>
  <c r="E62" i="11"/>
  <c r="D62" i="11"/>
  <c r="C62" i="11"/>
  <c r="I61" i="11"/>
  <c r="H61" i="11"/>
  <c r="G61" i="11"/>
  <c r="D61" i="11"/>
  <c r="E61" i="11"/>
  <c r="F61" i="11"/>
  <c r="C61" i="11"/>
  <c r="G60" i="11"/>
  <c r="F60" i="11"/>
  <c r="D60" i="11"/>
  <c r="E60" i="11"/>
  <c r="C60" i="11"/>
  <c r="G56" i="11"/>
  <c r="E56" i="11"/>
  <c r="F56" i="11"/>
  <c r="D56" i="11"/>
  <c r="C56" i="11"/>
  <c r="H55" i="11"/>
  <c r="G55" i="11"/>
  <c r="F55" i="11"/>
  <c r="E55" i="11"/>
  <c r="D55" i="11"/>
  <c r="C55" i="11"/>
  <c r="H54" i="11"/>
  <c r="G54" i="11"/>
  <c r="D54" i="11"/>
  <c r="E54" i="11"/>
  <c r="F54" i="11"/>
  <c r="C54" i="11"/>
  <c r="H50" i="11"/>
  <c r="G50" i="11"/>
  <c r="I50" i="11"/>
  <c r="F50" i="11"/>
  <c r="E50" i="11"/>
  <c r="D50" i="11"/>
  <c r="C50" i="11"/>
  <c r="H46" i="11"/>
  <c r="G46" i="11"/>
  <c r="F46" i="11"/>
  <c r="E46" i="11"/>
  <c r="D46" i="11"/>
  <c r="C46" i="11"/>
  <c r="G61" i="8"/>
  <c r="F61" i="8"/>
  <c r="E61" i="8"/>
  <c r="D61" i="8"/>
  <c r="C61" i="8"/>
  <c r="I60" i="8"/>
  <c r="H60" i="8"/>
  <c r="G60" i="8"/>
  <c r="D60" i="8"/>
  <c r="E60" i="8"/>
  <c r="F60" i="8"/>
  <c r="C60" i="8"/>
  <c r="G59" i="8"/>
  <c r="F59" i="8"/>
  <c r="D59" i="8"/>
  <c r="E59" i="8"/>
  <c r="C59" i="8"/>
  <c r="E55" i="8"/>
  <c r="F55" i="8"/>
  <c r="D55" i="8"/>
  <c r="C55" i="8"/>
  <c r="G55" i="8"/>
  <c r="H54" i="8"/>
  <c r="G54" i="8"/>
  <c r="F54" i="8"/>
  <c r="E54" i="8"/>
  <c r="D54" i="8"/>
  <c r="C54" i="8"/>
  <c r="H53" i="8"/>
  <c r="G53" i="8"/>
  <c r="D53" i="8"/>
  <c r="E53" i="8"/>
  <c r="F53" i="8"/>
  <c r="C53" i="8"/>
  <c r="I49" i="8"/>
  <c r="H49" i="8"/>
  <c r="G49" i="8"/>
  <c r="F49" i="8"/>
  <c r="E49" i="8"/>
  <c r="D49" i="8"/>
  <c r="C49" i="8"/>
  <c r="H45" i="8"/>
  <c r="G45" i="8"/>
  <c r="F45" i="8"/>
  <c r="E45" i="8"/>
  <c r="D45" i="8"/>
  <c r="C45" i="8"/>
  <c r="E55" i="7"/>
  <c r="G61" i="7"/>
  <c r="F61" i="7"/>
  <c r="E61" i="7"/>
  <c r="D61" i="7"/>
  <c r="C61" i="7"/>
  <c r="I60" i="7"/>
  <c r="H60" i="7"/>
  <c r="G60" i="7"/>
  <c r="D60" i="7"/>
  <c r="E60" i="7"/>
  <c r="F60" i="7"/>
  <c r="C60" i="7"/>
  <c r="G59" i="7"/>
  <c r="F59" i="7"/>
  <c r="D59" i="7"/>
  <c r="E59" i="7"/>
  <c r="C59" i="7"/>
  <c r="G55" i="7"/>
  <c r="F55" i="7"/>
  <c r="D55" i="7"/>
  <c r="C55" i="7"/>
  <c r="G54" i="7"/>
  <c r="H54" i="7"/>
  <c r="F54" i="7"/>
  <c r="E54" i="7"/>
  <c r="D54" i="7"/>
  <c r="C54" i="7"/>
  <c r="H53" i="7"/>
  <c r="G53" i="7"/>
  <c r="D53" i="7"/>
  <c r="E53" i="7"/>
  <c r="F53" i="7"/>
  <c r="C53" i="7"/>
  <c r="I49" i="7"/>
  <c r="H49" i="7"/>
  <c r="G49" i="7"/>
  <c r="F49" i="7"/>
  <c r="E49" i="7"/>
  <c r="D49" i="7"/>
  <c r="C49" i="7"/>
  <c r="H45" i="7"/>
  <c r="G45" i="7"/>
  <c r="F45" i="7"/>
  <c r="E45" i="7"/>
  <c r="D45" i="7"/>
  <c r="C45" i="7"/>
  <c r="G53" i="6"/>
  <c r="M60" i="6"/>
  <c r="N60" i="6"/>
  <c r="L60" i="6"/>
  <c r="K60" i="6"/>
  <c r="J60" i="6"/>
  <c r="G60" i="6"/>
  <c r="F60" i="6"/>
  <c r="E60" i="6"/>
  <c r="D60" i="6"/>
  <c r="C60" i="6"/>
  <c r="P59" i="6"/>
  <c r="O59" i="6"/>
  <c r="N59" i="6"/>
  <c r="M59" i="6"/>
  <c r="L59" i="6"/>
  <c r="K59" i="6"/>
  <c r="J59" i="6"/>
  <c r="I59" i="6"/>
  <c r="H59" i="6"/>
  <c r="G59" i="6"/>
  <c r="D59" i="6"/>
  <c r="E59" i="6"/>
  <c r="F59" i="6"/>
  <c r="C59" i="6"/>
  <c r="N58" i="6"/>
  <c r="M58" i="6"/>
  <c r="L58" i="6"/>
  <c r="K58" i="6"/>
  <c r="J58" i="6"/>
  <c r="G58" i="6"/>
  <c r="F58" i="6"/>
  <c r="D58" i="6"/>
  <c r="E58" i="6"/>
  <c r="C58" i="6"/>
  <c r="N54" i="6"/>
  <c r="M54" i="6"/>
  <c r="L54" i="6"/>
  <c r="K54" i="6"/>
  <c r="J54" i="6"/>
  <c r="G54" i="6"/>
  <c r="E54" i="6"/>
  <c r="F54" i="6"/>
  <c r="D54" i="6"/>
  <c r="C54" i="6"/>
  <c r="O53" i="6"/>
  <c r="N53" i="6"/>
  <c r="M53" i="6"/>
  <c r="L53" i="6"/>
  <c r="K53" i="6"/>
  <c r="J53" i="6"/>
  <c r="H53" i="6"/>
  <c r="F53" i="6"/>
  <c r="E53" i="6"/>
  <c r="D53" i="6"/>
  <c r="C53" i="6"/>
  <c r="O52" i="6"/>
  <c r="N52" i="6"/>
  <c r="M52" i="6"/>
  <c r="L52" i="6"/>
  <c r="K52" i="6"/>
  <c r="J52" i="6"/>
  <c r="H52" i="6"/>
  <c r="G52" i="6"/>
  <c r="D52" i="6"/>
  <c r="E52" i="6"/>
  <c r="F52" i="6"/>
  <c r="C52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O44" i="6"/>
  <c r="N44" i="6"/>
  <c r="M44" i="6"/>
  <c r="L44" i="6"/>
  <c r="K44" i="6"/>
  <c r="J44" i="6"/>
  <c r="H44" i="6"/>
  <c r="G44" i="6"/>
  <c r="F44" i="6"/>
  <c r="E44" i="6"/>
  <c r="D44" i="6"/>
  <c r="C44" i="6"/>
  <c r="O49" i="5"/>
  <c r="C55" i="5"/>
  <c r="P49" i="5"/>
  <c r="N49" i="5"/>
  <c r="L49" i="5"/>
  <c r="K49" i="5"/>
  <c r="M49" i="5"/>
  <c r="P66" i="5"/>
  <c r="J49" i="5"/>
  <c r="O60" i="5"/>
  <c r="P65" i="5"/>
  <c r="O66" i="5"/>
  <c r="I65" i="5"/>
  <c r="G61" i="5"/>
  <c r="F61" i="5"/>
  <c r="E61" i="5"/>
  <c r="D61" i="5"/>
  <c r="C61" i="5"/>
  <c r="N61" i="5"/>
  <c r="M61" i="5"/>
  <c r="L61" i="5"/>
  <c r="K61" i="5"/>
  <c r="J61" i="5"/>
  <c r="I60" i="5"/>
  <c r="H60" i="5"/>
  <c r="G60" i="5"/>
  <c r="D60" i="5"/>
  <c r="E60" i="5"/>
  <c r="F60" i="5"/>
  <c r="C60" i="5"/>
  <c r="P60" i="5"/>
  <c r="N60" i="5"/>
  <c r="L60" i="5"/>
  <c r="M60" i="5"/>
  <c r="K60" i="5"/>
  <c r="J60" i="5"/>
  <c r="G59" i="5"/>
  <c r="F59" i="5"/>
  <c r="D59" i="5"/>
  <c r="E59" i="5"/>
  <c r="C59" i="5"/>
  <c r="N59" i="5"/>
  <c r="M59" i="5"/>
  <c r="K59" i="5"/>
  <c r="L59" i="5"/>
  <c r="J59" i="5"/>
  <c r="G55" i="5"/>
  <c r="E55" i="5"/>
  <c r="F55" i="5"/>
  <c r="D55" i="5"/>
  <c r="L55" i="5"/>
  <c r="M55" i="5"/>
  <c r="K55" i="5"/>
  <c r="J55" i="5"/>
  <c r="O54" i="5"/>
  <c r="N54" i="5"/>
  <c r="M54" i="5"/>
  <c r="L54" i="5"/>
  <c r="K54" i="5"/>
  <c r="J54" i="5"/>
  <c r="H54" i="5"/>
  <c r="G54" i="5"/>
  <c r="F54" i="5"/>
  <c r="E54" i="5"/>
  <c r="D54" i="5"/>
  <c r="C54" i="5"/>
  <c r="C53" i="5"/>
  <c r="H53" i="5"/>
  <c r="G53" i="5"/>
  <c r="D53" i="5"/>
  <c r="E53" i="5"/>
  <c r="F53" i="5"/>
  <c r="N53" i="5"/>
  <c r="M53" i="5"/>
  <c r="L53" i="5"/>
  <c r="K53" i="5"/>
  <c r="J53" i="5"/>
  <c r="I49" i="5"/>
  <c r="I66" i="5" s="1"/>
  <c r="H49" i="5"/>
  <c r="H66" i="5" s="1"/>
  <c r="G49" i="5"/>
  <c r="G66" i="5" s="1"/>
  <c r="F49" i="5"/>
  <c r="E49" i="5"/>
  <c r="D49" i="5"/>
  <c r="C49" i="5"/>
  <c r="O45" i="5"/>
  <c r="O65" i="5" s="1"/>
  <c r="N45" i="5"/>
  <c r="N65" i="5" s="1"/>
  <c r="M45" i="5"/>
  <c r="L45" i="5"/>
  <c r="K45" i="5"/>
  <c r="J45" i="5"/>
  <c r="D45" i="5"/>
  <c r="H45" i="5"/>
  <c r="H65" i="5" s="1"/>
  <c r="G45" i="5"/>
  <c r="G65" i="5" s="1"/>
  <c r="F45" i="5"/>
  <c r="E45" i="5"/>
  <c r="C45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E40" i="5"/>
  <c r="E141" i="4"/>
  <c r="F141" i="4"/>
  <c r="G141" i="4"/>
  <c r="J140" i="4"/>
  <c r="I140" i="4"/>
  <c r="E140" i="4"/>
  <c r="F140" i="4"/>
  <c r="G140" i="4"/>
  <c r="H140" i="4"/>
  <c r="D140" i="4"/>
  <c r="I139" i="4"/>
  <c r="H139" i="4"/>
  <c r="G139" i="4"/>
  <c r="E139" i="4"/>
  <c r="F139" i="4"/>
  <c r="D139" i="4"/>
  <c r="F136" i="4"/>
  <c r="G136" i="4"/>
  <c r="E136" i="4"/>
  <c r="D136" i="4"/>
  <c r="I135" i="4"/>
  <c r="H135" i="4"/>
  <c r="G135" i="4"/>
  <c r="F135" i="4"/>
  <c r="E135" i="4"/>
  <c r="D135" i="4"/>
  <c r="F130" i="4"/>
  <c r="G130" i="4"/>
  <c r="E130" i="4"/>
  <c r="D130" i="4"/>
  <c r="J129" i="4"/>
  <c r="I129" i="4"/>
  <c r="H129" i="4"/>
  <c r="G129" i="4"/>
  <c r="F129" i="4"/>
  <c r="E129" i="4"/>
  <c r="D129" i="4"/>
  <c r="I128" i="4"/>
  <c r="H128" i="4"/>
  <c r="G128" i="4"/>
  <c r="F128" i="4"/>
  <c r="E128" i="4"/>
  <c r="D128" i="4"/>
  <c r="I134" i="4"/>
  <c r="H134" i="4"/>
  <c r="F134" i="4"/>
  <c r="G134" i="4"/>
  <c r="E134" i="4"/>
  <c r="D134" i="4"/>
  <c r="H105" i="4"/>
  <c r="E105" i="4"/>
  <c r="D105" i="4"/>
  <c r="I104" i="4"/>
  <c r="J104" i="4"/>
  <c r="H104" i="4"/>
  <c r="H103" i="4"/>
  <c r="G103" i="4"/>
  <c r="E104" i="4"/>
  <c r="F104" i="4"/>
  <c r="G104" i="4"/>
  <c r="F105" i="4"/>
  <c r="G105" i="4"/>
  <c r="E103" i="4"/>
  <c r="F103" i="4"/>
  <c r="H98" i="4"/>
  <c r="F98" i="4"/>
  <c r="G98" i="4"/>
  <c r="E98" i="4"/>
  <c r="D98" i="4"/>
  <c r="I97" i="4"/>
  <c r="H97" i="4"/>
  <c r="G97" i="4"/>
  <c r="F97" i="4"/>
  <c r="E97" i="4"/>
  <c r="I96" i="4"/>
  <c r="H96" i="4"/>
  <c r="G96" i="4"/>
  <c r="H72" i="4"/>
  <c r="I72" i="4"/>
  <c r="I90" i="4"/>
  <c r="J90" i="4"/>
  <c r="K42" i="4"/>
  <c r="L42" i="4"/>
  <c r="D83" i="10" l="1"/>
  <c r="N66" i="5"/>
  <c r="D104" i="4"/>
  <c r="D103" i="4"/>
  <c r="D97" i="4"/>
  <c r="E96" i="4"/>
  <c r="F96" i="4"/>
  <c r="D96" i="4"/>
  <c r="D141" i="4"/>
  <c r="E90" i="4"/>
  <c r="F90" i="4"/>
  <c r="G90" i="4"/>
  <c r="H90" i="4"/>
  <c r="G72" i="4"/>
  <c r="E72" i="4"/>
  <c r="F72" i="4"/>
  <c r="G42" i="4"/>
  <c r="H42" i="4"/>
  <c r="I42" i="4"/>
  <c r="J42" i="4"/>
  <c r="D72" i="4" l="1"/>
  <c r="F42" i="4"/>
  <c r="F65" i="5" l="1"/>
  <c r="M65" i="5"/>
  <c r="C66" i="5"/>
  <c r="J66" i="5"/>
  <c r="M66" i="5"/>
  <c r="L66" i="5"/>
  <c r="K66" i="5"/>
  <c r="F66" i="5"/>
  <c r="E66" i="5"/>
  <c r="D66" i="5"/>
  <c r="E65" i="5"/>
  <c r="D65" i="5"/>
  <c r="C65" i="5"/>
  <c r="K65" i="5"/>
  <c r="L65" i="5"/>
  <c r="J65" i="5"/>
  <c r="D90" i="4"/>
  <c r="B86" i="3" l="1"/>
  <c r="B78" i="3"/>
  <c r="A5" i="11" l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70" i="3"/>
  <c r="B58" i="3" l="1"/>
  <c r="B49" i="3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</calcChain>
</file>

<file path=xl/sharedStrings.xml><?xml version="1.0" encoding="utf-8"?>
<sst xmlns="http://schemas.openxmlformats.org/spreadsheetml/2006/main" count="4923" uniqueCount="788">
  <si>
    <t>Item</t>
  </si>
  <si>
    <t>Nombre completo</t>
  </si>
  <si>
    <t>DNI</t>
  </si>
  <si>
    <t>Procedencia</t>
  </si>
  <si>
    <t>Telefonos</t>
  </si>
  <si>
    <t>Edad (años)</t>
  </si>
  <si>
    <t>Genero</t>
  </si>
  <si>
    <t>Tipo de insulina</t>
  </si>
  <si>
    <t>Dosis por Kg</t>
  </si>
  <si>
    <t>promedio de glucometrias por dia</t>
  </si>
  <si>
    <t>HbA.1.c previo al MCG</t>
  </si>
  <si>
    <t>MCG</t>
  </si>
  <si>
    <t>Limitaciones para uso de MCG</t>
  </si>
  <si>
    <t>Como valora el MCG en relacion a calidad de vida</t>
  </si>
  <si>
    <t>TIR (Tiempo en rango)</t>
  </si>
  <si>
    <t>TAR (arriba rango)</t>
  </si>
  <si>
    <t>TBR  (debajo)</t>
  </si>
  <si>
    <t>Indice de riesgo de glucemia</t>
  </si>
  <si>
    <t>Tiempo activo</t>
  </si>
  <si>
    <t>CV</t>
  </si>
  <si>
    <t>GMI</t>
  </si>
  <si>
    <t>Hipoglicemias</t>
  </si>
  <si>
    <t>% tiempo</t>
  </si>
  <si>
    <t>Dosis de insulina despues analisis de monitor</t>
  </si>
  <si>
    <t>Observaciones</t>
  </si>
  <si>
    <t>HbA1.c post  MCG</t>
  </si>
  <si>
    <t>Internet</t>
  </si>
  <si>
    <t>Alergias</t>
  </si>
  <si>
    <t>Economicas</t>
  </si>
  <si>
    <t>Buena</t>
  </si>
  <si>
    <t>Mala</t>
  </si>
  <si>
    <t>Igual</t>
  </si>
  <si>
    <t xml:space="preserve"> Muy alto (&gt;250)</t>
  </si>
  <si>
    <t>Alto (181-250)</t>
  </si>
  <si>
    <t>Bajo (54-59)</t>
  </si>
  <si>
    <t>Muy bajo (&lt;54)</t>
  </si>
  <si>
    <t>Fecha de colocacion</t>
  </si>
  <si>
    <t>Urbana</t>
  </si>
  <si>
    <t>Rural</t>
  </si>
  <si>
    <t>02/12/25-16/12/25-30/12/25</t>
  </si>
  <si>
    <r>
      <rPr>
        <b/>
        <sz val="11"/>
        <color theme="1"/>
        <rFont val="Calibri"/>
      </rPr>
      <t xml:space="preserve">Valery Isabela Arias Rodriguez (27/01/26) </t>
    </r>
    <r>
      <rPr>
        <b/>
        <sz val="11"/>
        <color rgb="FFFF0000"/>
        <rFont val="Calibri"/>
      </rPr>
      <t xml:space="preserve"> (4/6)</t>
    </r>
  </si>
  <si>
    <t>0801-2014-18636</t>
  </si>
  <si>
    <t>Col. Peña por bajo, Tegucigalpa</t>
  </si>
  <si>
    <t>9989-0833</t>
  </si>
  <si>
    <t>11 años</t>
  </si>
  <si>
    <t>Femenino</t>
  </si>
  <si>
    <t>Analogo de insulina</t>
  </si>
  <si>
    <t>P:42.2Kg (1.2)Lantus 20 unidades AD y Apidra 10-12-10</t>
  </si>
  <si>
    <t>43 min</t>
  </si>
  <si>
    <t>28 min</t>
  </si>
  <si>
    <t>41 min</t>
  </si>
  <si>
    <t xml:space="preserve">Lantus 22 NR10-12-10    </t>
  </si>
  <si>
    <t>Lantus 22 NR10-12-10</t>
  </si>
  <si>
    <t>03/12/25-17/12/25</t>
  </si>
  <si>
    <r>
      <rPr>
        <b/>
        <sz val="11"/>
        <color rgb="FF000000"/>
        <rFont val="Calibri"/>
      </rPr>
      <t xml:space="preserve">JENNIFER ADRIANA CRUZ SALGADO
  (28/01/26) </t>
    </r>
    <r>
      <rPr>
        <b/>
        <sz val="11"/>
        <color rgb="FF3D85C6"/>
        <rFont val="Calibri"/>
      </rPr>
      <t xml:space="preserve"> </t>
    </r>
    <r>
      <rPr>
        <b/>
        <sz val="11"/>
        <color rgb="FFFF0000"/>
        <rFont val="Calibri"/>
      </rPr>
      <t>(4/6)</t>
    </r>
  </si>
  <si>
    <t xml:space="preserve">0801-2008-14453
</t>
  </si>
  <si>
    <t>Colonia 30 de Nov, Tegucigalpa</t>
  </si>
  <si>
    <t>9479-3643 Paciente9683-0175 (Responsable Glenda Corea)</t>
  </si>
  <si>
    <t>17 años</t>
  </si>
  <si>
    <t>P: 62.5Kg  (1.1)  Lantus 42U AC NR 12-10-10</t>
  </si>
  <si>
    <t>105 min</t>
  </si>
  <si>
    <t xml:space="preserve">166 min </t>
  </si>
  <si>
    <t>196 min</t>
  </si>
  <si>
    <t>Lantus 42U NR 12-10-10</t>
  </si>
  <si>
    <t>Lantus 38 NR: 8-8-6*( Lantus 42 NR12-10-10)</t>
  </si>
  <si>
    <t>Lantus 38 NR: 10-11-9</t>
  </si>
  <si>
    <t>Se arruino el cel lo compartia con la madrastra. Se refuerza plan de nutricion (2 MCG)</t>
  </si>
  <si>
    <t>05/12/2025-19/12/25</t>
  </si>
  <si>
    <r>
      <rPr>
        <b/>
        <sz val="11"/>
        <color rgb="FF000000"/>
        <rFont val="Calibri"/>
      </rPr>
      <t>ABNER DAVID SILVA CLEVENGER (30/01/26)</t>
    </r>
    <r>
      <rPr>
        <b/>
        <sz val="11"/>
        <color rgb="FF6AA84F"/>
        <rFont val="Calibri"/>
      </rPr>
      <t xml:space="preserve"> </t>
    </r>
    <r>
      <rPr>
        <b/>
        <sz val="11"/>
        <color rgb="FFFF0000"/>
        <rFont val="Calibri"/>
      </rPr>
      <t>(4/6)</t>
    </r>
  </si>
  <si>
    <t xml:space="preserve">0816-2013-00268
</t>
  </si>
  <si>
    <t>Barrio San Antonio, La Paz La Paz</t>
  </si>
  <si>
    <t>Madre: 89346687  Abner:9944-7064</t>
  </si>
  <si>
    <t>12 años</t>
  </si>
  <si>
    <t>Masculino</t>
  </si>
  <si>
    <t>P: 49.6Kg  (0.8)  Lantus 24U AC NR 6-6-6</t>
  </si>
  <si>
    <t>96.8%%</t>
  </si>
  <si>
    <t>30 min</t>
  </si>
  <si>
    <t>95 min</t>
  </si>
  <si>
    <t>35 min</t>
  </si>
  <si>
    <t xml:space="preserve">Lantus 26U  NR 10-9-9 </t>
  </si>
  <si>
    <t xml:space="preserve">Lantus 26NR 10-9-9 </t>
  </si>
  <si>
    <t xml:space="preserve">Lantus 28NR 10-10-9 </t>
  </si>
  <si>
    <t>*(3)Enfermo y hospitalizado</t>
  </si>
  <si>
    <t>08/12/2025-22/12/2025</t>
  </si>
  <si>
    <t>WILSON JAFETH FLORES GARCIA  (19/01/26) (3/6)</t>
  </si>
  <si>
    <t>0611-2011-00182</t>
  </si>
  <si>
    <t>Colonia Nueva Jerusalen, MDC, Teg</t>
  </si>
  <si>
    <t>madre: 98719245  Px: 9314-5695</t>
  </si>
  <si>
    <t>14 años</t>
  </si>
  <si>
    <t>P: 44.8 Kg     (1.1)Lantus 26U AC NR 8-10-8</t>
  </si>
  <si>
    <t>75 min</t>
  </si>
  <si>
    <t>83 min</t>
  </si>
  <si>
    <t xml:space="preserve">Lantus 27 U NR 12-14-12 </t>
  </si>
  <si>
    <t xml:space="preserve">Lantus 24 NR 12-15-12 </t>
  </si>
  <si>
    <t>*Cambiamos plan de alimentacion  de ENDO</t>
  </si>
  <si>
    <t>MONICA SOFIA QUIJADA GARCIA  (23/01/26) (3/6)</t>
  </si>
  <si>
    <t>0703-2019-02849</t>
  </si>
  <si>
    <t>Valle deJamastran, Aldea Matasano Danli, El paraiso</t>
  </si>
  <si>
    <t>madre: 9650-5280 Px: 96027409</t>
  </si>
  <si>
    <t>6 años</t>
  </si>
  <si>
    <t>P: 27 Kg  (0.9) Lantus 11 U AC NR 6-5-4</t>
  </si>
  <si>
    <t>2 a 3</t>
  </si>
  <si>
    <t>94 min</t>
  </si>
  <si>
    <t>63 min</t>
  </si>
  <si>
    <t>Lantus 10 U NR 7-5-5</t>
  </si>
  <si>
    <t>Lantus 9 U NR 8-5-3</t>
  </si>
  <si>
    <r>
      <rPr>
        <b/>
        <sz val="11"/>
        <color theme="1"/>
        <rFont val="Calibri"/>
      </rPr>
      <t>IVANA ALEJANDRA BACA IZAGUIRRE (20/01/26</t>
    </r>
    <r>
      <rPr>
        <b/>
        <sz val="11"/>
        <color rgb="FF674EA7"/>
        <rFont val="Calibri"/>
      </rPr>
      <t xml:space="preserve">) </t>
    </r>
    <r>
      <rPr>
        <b/>
        <sz val="11"/>
        <color rgb="FFFF0000"/>
        <rFont val="Calibri"/>
      </rPr>
      <t>(3/6)****</t>
    </r>
  </si>
  <si>
    <t>0801-2013-16148</t>
  </si>
  <si>
    <t>Las Mesas, San antonio de Oriente, FM</t>
  </si>
  <si>
    <t>Abuela: 95454620  Px: 94602367</t>
  </si>
  <si>
    <t>P: 30.2 Kg  (1.3) Lantus 14 U AD NR 8-10-8</t>
  </si>
  <si>
    <t>-----------</t>
  </si>
  <si>
    <t>0 min</t>
  </si>
  <si>
    <t>Lantus 16 U NR 12 -12-12</t>
  </si>
  <si>
    <t>Lantus 18 NR 14 -14-14</t>
  </si>
  <si>
    <t>paciente desconecto monitor solo estuvo en uso 9 dias  * Se reforzara plan de alimentacion  de Endo</t>
  </si>
  <si>
    <r>
      <rPr>
        <b/>
        <sz val="11"/>
        <color theme="1"/>
        <rFont val="Calibri"/>
      </rPr>
      <t xml:space="preserve">JOSE ANGEL PONCE SALAZAR (20/01/26) </t>
    </r>
    <r>
      <rPr>
        <b/>
        <sz val="11"/>
        <color rgb="FFFF0000"/>
        <rFont val="Calibri"/>
      </rPr>
      <t>(3/6)</t>
    </r>
  </si>
  <si>
    <t xml:space="preserve">1007-2012-00161
</t>
  </si>
  <si>
    <t>Jesus de Otoro, Intibuca</t>
  </si>
  <si>
    <t>madre: 9950-2633 Px: 9308-7624</t>
  </si>
  <si>
    <t>P: 54.4 Kg   (0.9) Lantus 22 U AD NR 10-8-10</t>
  </si>
  <si>
    <t>49 min</t>
  </si>
  <si>
    <t>50 min</t>
  </si>
  <si>
    <t xml:space="preserve"> Lantus 22 U  NR 10-8-10</t>
  </si>
  <si>
    <r>
      <rPr>
        <b/>
        <sz val="11"/>
        <color theme="1"/>
        <rFont val="Calibri"/>
      </rPr>
      <t xml:space="preserve">LESLY DAYANA MELGAR MARQUEZ (20/01/26)  </t>
    </r>
    <r>
      <rPr>
        <b/>
        <sz val="11"/>
        <color rgb="FFFF0000"/>
        <rFont val="Calibri"/>
      </rPr>
      <t>(3/6)***</t>
    </r>
  </si>
  <si>
    <t>0318-2010-02177</t>
  </si>
  <si>
    <t>Col. Antonio Mata, Siguatepeque, Comayagua</t>
  </si>
  <si>
    <t>Madre: 3163-4452  Px; 92589661</t>
  </si>
  <si>
    <t>15 años</t>
  </si>
  <si>
    <t>P: 49.5Kg  (1.4)Lantus 24 U AD NR 16 antes de cada comida</t>
  </si>
  <si>
    <t>0%%</t>
  </si>
  <si>
    <t>-------</t>
  </si>
  <si>
    <t>60  min</t>
  </si>
  <si>
    <t>20 min</t>
  </si>
  <si>
    <t>Lantus 24 NR 16-16-16</t>
  </si>
  <si>
    <t>Lantus 26 NR 18-18-18</t>
  </si>
  <si>
    <t>no pudimos analizar los datos del primer monitor/ * 3 MCG mejores datos se dara oportunidad</t>
  </si>
  <si>
    <r>
      <rPr>
        <b/>
        <sz val="11"/>
        <color rgb="FF000000"/>
        <rFont val="Calibri"/>
      </rPr>
      <t xml:space="preserve">ESTEFANY JULIETH PADILLA MEJIA (21/01/26) </t>
    </r>
    <r>
      <rPr>
        <b/>
        <sz val="11"/>
        <color rgb="FFFF0000"/>
        <rFont val="Calibri"/>
      </rPr>
      <t>(3/6)</t>
    </r>
  </si>
  <si>
    <t xml:space="preserve">1511-2013-00067
</t>
  </si>
  <si>
    <t>Col. Agua Blanca, Teg, FM</t>
  </si>
  <si>
    <t>Madre: 3274-7601 Px: 9653-7026</t>
  </si>
  <si>
    <t xml:space="preserve">P: 45.7 Kg   (1.1) Lantus 38 U AD NR 7-5-3 </t>
  </si>
  <si>
    <t>55 min</t>
  </si>
  <si>
    <t>44 min</t>
  </si>
  <si>
    <t xml:space="preserve">Lantus 37 U AD NR 5-4-3 </t>
  </si>
  <si>
    <t xml:space="preserve">Lantus 35  NR 6-5-2 </t>
  </si>
  <si>
    <r>
      <rPr>
        <b/>
        <sz val="11"/>
        <color rgb="FF000000"/>
        <rFont val="Calibri"/>
      </rPr>
      <t xml:space="preserve">MISLEYDI LUCILA VIDEA PADILLA  (23/01/26) </t>
    </r>
    <r>
      <rPr>
        <b/>
        <sz val="11"/>
        <color rgb="FFFF0000"/>
        <rFont val="Calibri"/>
      </rPr>
      <t>(3/6)</t>
    </r>
  </si>
  <si>
    <t>0801-2015-17707</t>
  </si>
  <si>
    <t>Col. La Sosa, MDC, FM</t>
  </si>
  <si>
    <t xml:space="preserve"> Madre: 9537-9660 Px:mp5155320@gmail.com</t>
  </si>
  <si>
    <t>10 años</t>
  </si>
  <si>
    <t>P: 36.4 Kg   (0.7) Lantus 14 U AD NR 5-4-5</t>
  </si>
  <si>
    <t>36 min</t>
  </si>
  <si>
    <t>33 min</t>
  </si>
  <si>
    <t xml:space="preserve">Lantus 11 U AD NR 5-4-5 </t>
  </si>
  <si>
    <t>Lantus 9 AD NR 5-4-4</t>
  </si>
  <si>
    <r>
      <rPr>
        <b/>
        <sz val="11"/>
        <color rgb="FF000000"/>
        <rFont val="Calibri"/>
      </rPr>
      <t xml:space="preserve">MONICA VALERIA MONJARREZ ZUNIGA (23/01/26) </t>
    </r>
    <r>
      <rPr>
        <b/>
        <sz val="11"/>
        <color rgb="FFFF0000"/>
        <rFont val="Calibri"/>
      </rPr>
      <t>(3/6)</t>
    </r>
  </si>
  <si>
    <t>0801-2010-21538</t>
  </si>
  <si>
    <t>Lomas de Toncontin, MDC, FM</t>
  </si>
  <si>
    <t>Madre: 9636-9244  Px: 3377-1986</t>
  </si>
  <si>
    <t>P: 52 Kg   (0.4) Lantus 6 U AC NR 6-6-4</t>
  </si>
  <si>
    <t>68 min</t>
  </si>
  <si>
    <t>32min</t>
  </si>
  <si>
    <t>Lantus 6 NR 6-6-4</t>
  </si>
  <si>
    <t>Lantus 4 NR 6-6-4</t>
  </si>
  <si>
    <r>
      <rPr>
        <b/>
        <sz val="11"/>
        <color theme="1"/>
        <rFont val="Calibri"/>
      </rPr>
      <t xml:space="preserve">STEFANNY NICOLLE ORDOÑEZ DORMES  (26/01/26)  </t>
    </r>
    <r>
      <rPr>
        <b/>
        <sz val="11"/>
        <color rgb="FFFF0000"/>
        <rFont val="Calibri"/>
      </rPr>
      <t>(3/6)**</t>
    </r>
  </si>
  <si>
    <t>0610-2010-00212</t>
  </si>
  <si>
    <t>Col. Elizabeth, Orocuina, Choluteca</t>
  </si>
  <si>
    <t>Px. 9507-7201</t>
  </si>
  <si>
    <t>P: 60.4 Kg (1.3)  Lantus 60 U AC NR 8-8-8</t>
  </si>
  <si>
    <t>71 min</t>
  </si>
  <si>
    <t>56 min</t>
  </si>
  <si>
    <t>Lantus 58 U AC NR 7-8-8</t>
  </si>
  <si>
    <t>Lantus 57 U NR 6-10-8</t>
  </si>
  <si>
    <r>
      <rPr>
        <b/>
        <sz val="11"/>
        <color theme="1"/>
        <rFont val="Calibri"/>
      </rPr>
      <t xml:space="preserve">ESTRELLA DINORAH ALMENDARES CASTRO  (27/01/26) </t>
    </r>
    <r>
      <rPr>
        <b/>
        <sz val="11"/>
        <color rgb="FFFFC000"/>
        <rFont val="Calibri"/>
      </rPr>
      <t xml:space="preserve"> </t>
    </r>
    <r>
      <rPr>
        <b/>
        <sz val="11"/>
        <color rgb="FFFF0000"/>
        <rFont val="Calibri"/>
      </rPr>
      <t>(3/6)</t>
    </r>
  </si>
  <si>
    <t xml:space="preserve">0801-2011-21029
</t>
  </si>
  <si>
    <t>Colonia Villa Freancesa, KM7, carretera Olancho</t>
  </si>
  <si>
    <t>Madre: 9378-8147  Px: 9714-3031</t>
  </si>
  <si>
    <t>Analogo de insulina/Metformina</t>
  </si>
  <si>
    <t>P: 44.7 Kg (0.2)  Lantus 10 unidades AC Metformina 1tab BID</t>
  </si>
  <si>
    <t>88 min</t>
  </si>
  <si>
    <t>Lantus 12 unidades AC Metformina TID</t>
  </si>
  <si>
    <t>Se reforzara plan de alimentacion 2500 calorias</t>
  </si>
  <si>
    <r>
      <rPr>
        <b/>
        <sz val="11"/>
        <color theme="1"/>
        <rFont val="Calibri"/>
      </rPr>
      <t>LUIS JEANCARLO ZELAYA HERNANDEZ  (26/01/26)</t>
    </r>
    <r>
      <rPr>
        <b/>
        <sz val="11"/>
        <color rgb="FF9900FF"/>
        <rFont val="Calibri"/>
      </rPr>
      <t xml:space="preserve"> </t>
    </r>
    <r>
      <rPr>
        <b/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>(3/6)</t>
    </r>
  </si>
  <si>
    <t>0813-2013-00068</t>
  </si>
  <si>
    <t>Barrio Yucanteca, Ojojona, FM</t>
  </si>
  <si>
    <t>Madre: 3366-1845  Px: 8800-3546  hernandezmaryory69@gmail. com</t>
  </si>
  <si>
    <t>P: 45.5 Kg (0.5)   Lantus 12 U AC NR 4-2-6</t>
  </si>
  <si>
    <t>51 min</t>
  </si>
  <si>
    <t>40 min</t>
  </si>
  <si>
    <t>Lantus 11 U AC NR 4-4-6</t>
  </si>
  <si>
    <t>Lantus 11 U  NR 4-4-4</t>
  </si>
  <si>
    <r>
      <rPr>
        <b/>
        <sz val="11"/>
        <color theme="1"/>
        <rFont val="Calibri"/>
      </rPr>
      <t xml:space="preserve">MILEIDY SARAY MANCIA ZAVALA  (29/01/26)  </t>
    </r>
    <r>
      <rPr>
        <b/>
        <sz val="11"/>
        <color rgb="FFFF0000"/>
        <rFont val="Calibri"/>
      </rPr>
      <t>(3/6)</t>
    </r>
  </si>
  <si>
    <t>0801-2016-02051</t>
  </si>
  <si>
    <t>Col. El Carrizal, MDC, FM</t>
  </si>
  <si>
    <t>Hermana: 9392-6851  Px: 9273-0933</t>
  </si>
  <si>
    <t>9 años</t>
  </si>
  <si>
    <t>P: 31.8 Kg (0.6)   Lantus 12 U AC NR 3-3-3</t>
  </si>
  <si>
    <t>Lantus 7 U AC NR 3-5-3</t>
  </si>
  <si>
    <t>Lantus 9 U AC NR 4-5-4</t>
  </si>
  <si>
    <t>Se reforzara plan de alimentacion 1800 calorias</t>
  </si>
  <si>
    <r>
      <rPr>
        <b/>
        <sz val="11"/>
        <color theme="1"/>
        <rFont val="Calibri"/>
      </rPr>
      <t xml:space="preserve">ELSY SARAY MEJIA LAGOS  (26/01/26)  </t>
    </r>
    <r>
      <rPr>
        <b/>
        <sz val="11"/>
        <color rgb="FFFF0000"/>
        <rFont val="Calibri"/>
      </rPr>
      <t>(3/6)</t>
    </r>
  </si>
  <si>
    <t>0801-2012-20179</t>
  </si>
  <si>
    <t>Col. El Porvenir, FM</t>
  </si>
  <si>
    <t>Madre: 8993-1732 Px: 3263-4662</t>
  </si>
  <si>
    <t>13 años</t>
  </si>
  <si>
    <t>P: 39.5 Kg (1.3)   Lantus 32 U AC NR 8-8-6</t>
  </si>
  <si>
    <t>37 min</t>
  </si>
  <si>
    <t>53 min</t>
  </si>
  <si>
    <t>Lantus 31 U AC NR 8-8-6</t>
  </si>
  <si>
    <t>Lantus 28 U AC NR 7-7-6</t>
  </si>
  <si>
    <r>
      <rPr>
        <b/>
        <strike/>
        <sz val="11"/>
        <color theme="1"/>
        <rFont val="Calibri"/>
      </rPr>
      <t xml:space="preserve">ANGEL MAURICIO BRICEÑO PEREZ  (13/01/26) </t>
    </r>
    <r>
      <rPr>
        <b/>
        <strike/>
        <sz val="11"/>
        <color rgb="FFFF0000"/>
        <rFont val="Calibri"/>
      </rPr>
      <t xml:space="preserve"> (2/6)</t>
    </r>
  </si>
  <si>
    <t>0801-2017-04243</t>
  </si>
  <si>
    <t>Guayabilla, carretera a Danli, FM</t>
  </si>
  <si>
    <t>Madre: 9578-3482  Px: 9553-3769</t>
  </si>
  <si>
    <t>8 años</t>
  </si>
  <si>
    <t>P: 29.9 Kg (0.8)   Lantus 16 U AC NR 5-3-1</t>
  </si>
  <si>
    <t>****</t>
  </si>
  <si>
    <t>67 min</t>
  </si>
  <si>
    <t>lantus</t>
  </si>
  <si>
    <t>monitor en uso 11 dias  *Se le coloco 2MCG solo lo uso un dia</t>
  </si>
  <si>
    <r>
      <rPr>
        <b/>
        <strike/>
        <sz val="11"/>
        <color rgb="FF000000"/>
        <rFont val="Calibri"/>
      </rPr>
      <t xml:space="preserve">JONATHAN EZEQUIEL VASQUEZ MENDEZ (15/01/26)
</t>
    </r>
    <r>
      <rPr>
        <b/>
        <strike/>
        <sz val="11"/>
        <color rgb="FFFF0000"/>
        <rFont val="Calibri"/>
      </rPr>
      <t>(2/6)</t>
    </r>
  </si>
  <si>
    <t>0801-2010-22415</t>
  </si>
  <si>
    <t>Col. Centroamerica, MDC,FM</t>
  </si>
  <si>
    <t>Madre: 9976-2353  Px: 9674-3812</t>
  </si>
  <si>
    <t xml:space="preserve"> Masculino</t>
  </si>
  <si>
    <t>P: 37 Kg (0.7)   Lantus 16 U AC NR 5-5-5</t>
  </si>
  <si>
    <t>162 min</t>
  </si>
  <si>
    <t>393 min</t>
  </si>
  <si>
    <t>Lantus 15 U AC NR 6-6-6</t>
  </si>
  <si>
    <t>*Solo se colocaron 2 MCG no hay apego al tx y mal uso del MCG</t>
  </si>
  <si>
    <r>
      <rPr>
        <b/>
        <sz val="11"/>
        <color rgb="FF000000"/>
        <rFont val="Calibri"/>
      </rPr>
      <t xml:space="preserve">JAFETH DAVID MONDRAGON NUÑEZ  (30/01/25) </t>
    </r>
    <r>
      <rPr>
        <b/>
        <sz val="11"/>
        <color rgb="FFFF0000"/>
        <rFont val="Calibri"/>
      </rPr>
      <t>(3/6)</t>
    </r>
  </si>
  <si>
    <t>0601-2008-02295</t>
  </si>
  <si>
    <t>Bo. Nueva Experanza, Choluteca, Choluteca</t>
  </si>
  <si>
    <t>Madre: 9630-0079  Px: 9780-2399</t>
  </si>
  <si>
    <t>p: 54.5Kg (0.9)     Lantus 30 U AC NR 6-8-6</t>
  </si>
  <si>
    <t>--------</t>
  </si>
  <si>
    <t>65 min</t>
  </si>
  <si>
    <t>86 min</t>
  </si>
  <si>
    <t>Lantus 28 U NR 7-8-6</t>
  </si>
  <si>
    <r>
      <rPr>
        <b/>
        <sz val="11"/>
        <color rgb="FF000000"/>
        <rFont val="Calibri"/>
      </rPr>
      <t xml:space="preserve">ODALIS MICHELLE PAGAN MENCIA  (30/01/26) </t>
    </r>
    <r>
      <rPr>
        <b/>
        <sz val="11"/>
        <color rgb="FFFF0000"/>
        <rFont val="Calibri"/>
      </rPr>
      <t>(3/6)</t>
    </r>
  </si>
  <si>
    <t>0321-2009-00009</t>
  </si>
  <si>
    <t>Aldea Buenos Aires, Taulabe, FM</t>
  </si>
  <si>
    <t>Madre: 9685-6814 Px: 9487-0245</t>
  </si>
  <si>
    <t>p: 58.6Kg (0.9)     Lantus 28 U AC NR 8-10-8</t>
  </si>
  <si>
    <t>62 min</t>
  </si>
  <si>
    <t>Lantus 28 U NR 8-10-8</t>
  </si>
  <si>
    <t>Lantus 28 U NR 8-9-8</t>
  </si>
  <si>
    <t>MATEO FARID WOODS PON  (20/01/26) (2/6)</t>
  </si>
  <si>
    <t>1501-2012-03075</t>
  </si>
  <si>
    <t>Barrio El Portillo, Juticalpa, Olancho</t>
  </si>
  <si>
    <t>Abuela: 3158-5232  Px: NO TIENE</t>
  </si>
  <si>
    <t>P: 52.5Kg (0.7)      Lantus 28 U AC NR 4-2-4</t>
  </si>
  <si>
    <t>66 min</t>
  </si>
  <si>
    <t>Lantus 27UNR 4-3-2</t>
  </si>
  <si>
    <t>Monitor 12 dias/Se modifica plan de Endo a 2500calorias</t>
  </si>
  <si>
    <t>WILSON JOSE TORRES ESCOBAR  (19/01/26) (2/6)</t>
  </si>
  <si>
    <t>1503-2016-03107</t>
  </si>
  <si>
    <t>Campamento Viejo, Catacamas, Olancho</t>
  </si>
  <si>
    <t>Madre: 9471-7259  Px: 9640-0548</t>
  </si>
  <si>
    <t>P: 32.2 Kg (1.4)     Lantus 21 U AC NR 9-9-9</t>
  </si>
  <si>
    <t>----------</t>
  </si>
  <si>
    <t>97 min</t>
  </si>
  <si>
    <t>Lantus 17 u NR 4-5-5</t>
  </si>
  <si>
    <t>1 monitor en uso 3 dias.</t>
  </si>
  <si>
    <r>
      <rPr>
        <b/>
        <sz val="11"/>
        <color rgb="FF000000"/>
        <rFont val="Calibri"/>
      </rPr>
      <t xml:space="preserve">SAUL ANDRES ESCALANTE GRADIZ  (30/01/26) </t>
    </r>
    <r>
      <rPr>
        <b/>
        <sz val="11"/>
        <color rgb="FFFF0000"/>
        <rFont val="Calibri"/>
      </rPr>
      <t>(3/6)</t>
    </r>
  </si>
  <si>
    <t>0615-2015-00223</t>
  </si>
  <si>
    <t>San marcos de Colon, Choluteca</t>
  </si>
  <si>
    <t xml:space="preserve">madre: 9433-7277 </t>
  </si>
  <si>
    <t>P: 32.8 Kg (0.8)     Lantus 16 U AC NR 4-4-4</t>
  </si>
  <si>
    <t>64 min</t>
  </si>
  <si>
    <t>45 min</t>
  </si>
  <si>
    <t>Lantus 16 U AC NR 4-4-3</t>
  </si>
  <si>
    <r>
      <rPr>
        <b/>
        <sz val="11"/>
        <color rgb="FF000000"/>
        <rFont val="Calibri"/>
      </rPr>
      <t xml:space="preserve">BIANCA VALENTINA ALMENDAREZ CHACON  (30/01/26) </t>
    </r>
    <r>
      <rPr>
        <b/>
        <sz val="11"/>
        <color rgb="FFFF0000"/>
        <rFont val="Calibri"/>
      </rPr>
      <t>(3/6)</t>
    </r>
  </si>
  <si>
    <t>0701-2015-00239</t>
  </si>
  <si>
    <t>Bo. San Antonio, Yuscaran, El Paraiso</t>
  </si>
  <si>
    <t>Madre: 9937-0338  Px:  8822-3482</t>
  </si>
  <si>
    <t>P: 31.2 Kg (0.7)     Lantus 10 U AC NR 4-4-4</t>
  </si>
  <si>
    <t>Lantus 10 U AC NR 4-5-4</t>
  </si>
  <si>
    <t>AMY FERNANDA CASTILLO MAIRENA (26/01/26) (2/6)</t>
  </si>
  <si>
    <t>0801-2013-05935</t>
  </si>
  <si>
    <t>Bo. La Leona,Tegucigalpa,  FM</t>
  </si>
  <si>
    <t>Madre; 98234236 px: 9466-4382</t>
  </si>
  <si>
    <t>P: 52.7Kg (1.4)     Lantus  24 U AC NR 16-23-16</t>
  </si>
  <si>
    <t>32 min</t>
  </si>
  <si>
    <t>Lantus 21 NR 15-20-14</t>
  </si>
  <si>
    <t xml:space="preserve">Plan de Alimentacion 1800 calorias </t>
  </si>
  <si>
    <t>HELEN ANAHI ZHEN LARA (21/01/26) (2/6)</t>
  </si>
  <si>
    <t>0801-2011-01788</t>
  </si>
  <si>
    <t>El hato de Enmedio, MDC, Fm</t>
  </si>
  <si>
    <t>Madre: 9688-8882  Px: 9276-5777</t>
  </si>
  <si>
    <t>P:67 Kg (1.0)     Lantus 42 U AC NR 10-10-10</t>
  </si>
  <si>
    <t>1695 min*</t>
  </si>
  <si>
    <t>Lantus 42 U AC NR 10-12-10</t>
  </si>
  <si>
    <t>MCG dio error a los 9 dias de uso</t>
  </si>
  <si>
    <t>MOISES DAVID CASCO FUNEZ   (19/01/26) (2/6)</t>
  </si>
  <si>
    <t>0801-2011-19543</t>
  </si>
  <si>
    <t>Valle de Amareteca, FM</t>
  </si>
  <si>
    <t>Madre: 9572-1776 Px:9315-3310</t>
  </si>
  <si>
    <t>P: 66.3Kg (0.7)    Lantus 30 U AC NR 6-6-7</t>
  </si>
  <si>
    <t xml:space="preserve"> Lantus 32 U AC NR 8-8-8</t>
  </si>
  <si>
    <t>Plan de alimentacion 2500 calorias/Endo</t>
  </si>
  <si>
    <t>KEYLIN SOLANGE BOLAÑOS STYLES (19/01/26) (2/6)</t>
  </si>
  <si>
    <t>1709-2010-00597</t>
  </si>
  <si>
    <t>San Lorenzo, Valle</t>
  </si>
  <si>
    <t>Madre: 3236-3092  Px: 3238-8375</t>
  </si>
  <si>
    <t>P: 53.3Kg (0.9)    Lantus 24 U AC NR 8-8-8</t>
  </si>
  <si>
    <t>59 min</t>
  </si>
  <si>
    <t xml:space="preserve"> Lantus 24 U AC NR 8-8-8</t>
  </si>
  <si>
    <t>Come chocolate en la madrugada Monitor en uso 13 dias</t>
  </si>
  <si>
    <t>MARIA FERNANDA MOLINA NUÑEZ (20/01/26) (2/6)</t>
  </si>
  <si>
    <t>0801-2015-22943</t>
  </si>
  <si>
    <t>Aldea Las Mesas, Km 38 carretera a Danli, FM</t>
  </si>
  <si>
    <t>Madre: 3228-8240 Px: 3315-5394</t>
  </si>
  <si>
    <t xml:space="preserve">10 años </t>
  </si>
  <si>
    <t>P: 31.2Kg (1.3)    Lantus 12 U AC NR 10-10-10</t>
  </si>
  <si>
    <t>58 min</t>
  </si>
  <si>
    <t>Lantus 12 U AC NR 11-10-10</t>
  </si>
  <si>
    <t>Se modifica plan de alimentacion 1800 calorias de ENDO</t>
  </si>
  <si>
    <t>DYLIN NICOLLE BEJARANO FUNES (21/01/26) (2/6)</t>
  </si>
  <si>
    <t>0806-2009-00124</t>
  </si>
  <si>
    <t>Guimaca, FM</t>
  </si>
  <si>
    <t>Padre:  9857-6397 Px: 9805-9645</t>
  </si>
  <si>
    <t>16 años</t>
  </si>
  <si>
    <t>P: 87.2 Kg Lantus 26 unidades Metformina 850 mg VO BID</t>
  </si>
  <si>
    <t>60 min</t>
  </si>
  <si>
    <t xml:space="preserve"> Lantus 26 u Metformina BID</t>
  </si>
  <si>
    <t>No mete datos de la comida</t>
  </si>
  <si>
    <t>ANGIE MARIANA IRIAS CASTRO  (23/01/26) (2/6)</t>
  </si>
  <si>
    <t>0801-2011-21457</t>
  </si>
  <si>
    <t>Prados Universitarios, MDC,Fm</t>
  </si>
  <si>
    <t>Tio Allan; 9976-1846  Px: 3315-6395</t>
  </si>
  <si>
    <t xml:space="preserve"> Femenino</t>
  </si>
  <si>
    <t>P: 42.5Kg (1.4)    Lantus 25 U AC NR 12-14-12</t>
  </si>
  <si>
    <t>Lantus 24 NR 12-14-12</t>
  </si>
  <si>
    <t>Valorar segun resultados 2do monitor31/12/25</t>
  </si>
  <si>
    <t>NELSON SAMUEL VELASQUEZ VELASQUEZ  (28/01/26) (1/6)</t>
  </si>
  <si>
    <t>0801-2008-10770</t>
  </si>
  <si>
    <t>Barrio El Reparto,MDC, FM</t>
  </si>
  <si>
    <t>Px:  3371-2495</t>
  </si>
  <si>
    <t>Analogos de insulina+Metformina</t>
  </si>
  <si>
    <t>P:65.7 Kg (0.4)Lantus 32 u AD Metformina 850mg BID</t>
  </si>
  <si>
    <t>Lantus 34 u NR 4 AA Metformina 850mg BID</t>
  </si>
  <si>
    <t>Lantus 34u NR 4 AA Metformina 850mg BID</t>
  </si>
  <si>
    <t>IRIS FERNANDA ANDINO RODRIGUEZ (22/01/26) (1/6)</t>
  </si>
  <si>
    <t>0810-2010-00048</t>
  </si>
  <si>
    <t>Px: 9820-4856</t>
  </si>
  <si>
    <t>P:54.9Kg (1.7) Lantus 48 NR16-18-16</t>
  </si>
  <si>
    <t xml:space="preserve">Yonathan Moises Funes Vindel (28-01-26) (1/6) </t>
  </si>
  <si>
    <t xml:space="preserve">1512-2009-00034
</t>
  </si>
  <si>
    <t>La union, Olancho</t>
  </si>
  <si>
    <t>MX: 9595-0909 Px: 9349-8940</t>
  </si>
  <si>
    <t>P: 70kg  Lantus 24 NR 5-5-5</t>
  </si>
  <si>
    <t>ENAN ONAY GOMEZ AVILA (29-01-26) (1/6)</t>
  </si>
  <si>
    <t>0704-2008-00931</t>
  </si>
  <si>
    <t>Conchagua, El Paraiso</t>
  </si>
  <si>
    <t>Mx: 8870-7635 Px: 9661-3743</t>
  </si>
  <si>
    <t>P: 47.8Kg (0.6) Lantus 17 NR: 5-5-5</t>
  </si>
  <si>
    <t xml:space="preserve">MCG primer monitor </t>
  </si>
  <si>
    <t>Se modifico dosis</t>
  </si>
  <si>
    <t>Dosis modificada</t>
  </si>
  <si>
    <t xml:space="preserve">TAR (arriba rango) </t>
  </si>
  <si>
    <t xml:space="preserve">Indice de riesgo de glucemia </t>
  </si>
  <si>
    <t>tiempo</t>
  </si>
  <si>
    <t>Dosis de Insulina</t>
  </si>
  <si>
    <t xml:space="preserve">Comentarios </t>
  </si>
  <si>
    <t>Muy alto (&gt;250)</t>
  </si>
  <si>
    <t xml:space="preserve">Se arruino el sensor </t>
  </si>
  <si>
    <t>22.12.25/ 29.12.25</t>
  </si>
  <si>
    <t>Hillary Jimena Ortiz David</t>
  </si>
  <si>
    <t>0801-2013-01859</t>
  </si>
  <si>
    <t>Res. Francisco Morazan</t>
  </si>
  <si>
    <t>22298560/ 99453841</t>
  </si>
  <si>
    <t>Fem</t>
  </si>
  <si>
    <t>Insulina Glargina 15 ui / Lispro 10ui en cada tiempo de comida</t>
  </si>
  <si>
    <t>0.97u/kg/día</t>
  </si>
  <si>
    <t>2 veces al día</t>
  </si>
  <si>
    <t>10.8%%</t>
  </si>
  <si>
    <t>52min</t>
  </si>
  <si>
    <t>lantus 16ui/ Lispro 10-10-11</t>
  </si>
  <si>
    <t>26.12.25</t>
  </si>
  <si>
    <t xml:space="preserve">Diego Andres Salgado Amador </t>
  </si>
  <si>
    <t>0801-2008-10442</t>
  </si>
  <si>
    <t>Prados Universitarios</t>
  </si>
  <si>
    <t>Masc</t>
  </si>
  <si>
    <t>Insulina Glargina 26 ui/ Lispro D 5ui A7ui C6ui</t>
  </si>
  <si>
    <t>0.6ui/kg/día</t>
  </si>
  <si>
    <t>ninguna</t>
  </si>
  <si>
    <t>29.12.25</t>
  </si>
  <si>
    <t xml:space="preserve">Angela Valentina Pineda Cerrato </t>
  </si>
  <si>
    <t>0820-2013-00086</t>
  </si>
  <si>
    <t>Cantarranas, FM</t>
  </si>
  <si>
    <t>Insulina Glargina 11 ui/ Lispro 3ui en cada tiempo de comida</t>
  </si>
  <si>
    <t>0.56ui/kg/día</t>
  </si>
  <si>
    <t>4 veces al día</t>
  </si>
  <si>
    <t>7.5%%</t>
  </si>
  <si>
    <t>30.12.25</t>
  </si>
  <si>
    <t>David Gabriel Molina Pineda</t>
  </si>
  <si>
    <t>0801-2017-17461</t>
  </si>
  <si>
    <t>Col.El Hogar</t>
  </si>
  <si>
    <t>Insulina Glargina 3ui/ Lispro 4-2-2</t>
  </si>
  <si>
    <t>0.55ui/kg/día</t>
  </si>
  <si>
    <t xml:space="preserve">6 veces al día </t>
  </si>
  <si>
    <t>12.01.26</t>
  </si>
  <si>
    <t>Daniela Pahola Maldonado Betanco</t>
  </si>
  <si>
    <t>0801-2010-22346</t>
  </si>
  <si>
    <t>Col. El Carrizal</t>
  </si>
  <si>
    <t>Insulina Glargina 28ui/ Lispro 5 ui en cada tiempo de comida</t>
  </si>
  <si>
    <t>0.95ui/kg/día</t>
  </si>
  <si>
    <t>13.01.26</t>
  </si>
  <si>
    <t>Daniel Alexander Garmendia Moncada</t>
  </si>
  <si>
    <t>0801-2014-10571</t>
  </si>
  <si>
    <t>Col.El Hato de enmedio</t>
  </si>
  <si>
    <t>Insulina Glargina 19ui/ Lispro 4ui en cada tiempo comida</t>
  </si>
  <si>
    <t>0.91ui/kg/día</t>
  </si>
  <si>
    <t>15.01.26</t>
  </si>
  <si>
    <t>Lemanh Enmanuel Hernandez Miranda</t>
  </si>
  <si>
    <t>0703-2010-00176</t>
  </si>
  <si>
    <t xml:space="preserve">El paraiso </t>
  </si>
  <si>
    <t>Insulina Glargina 32ui/ Lispro 6ui en cada tiempo de comida</t>
  </si>
  <si>
    <t>0.8ui/kg/día</t>
  </si>
  <si>
    <t>11.4%%</t>
  </si>
  <si>
    <t>FEMENINO</t>
  </si>
  <si>
    <t>MASCULINO</t>
  </si>
  <si>
    <t>TOTAL</t>
  </si>
  <si>
    <t>EDADES</t>
  </si>
  <si>
    <t>&lt;10 AÑOS</t>
  </si>
  <si>
    <t>11-15 AÑOS</t>
  </si>
  <si>
    <t>16-18 AÑOS</t>
  </si>
  <si>
    <t>PROCEDENCIA</t>
  </si>
  <si>
    <t>FCO MORAZAN</t>
  </si>
  <si>
    <t>COMAYAGUA</t>
  </si>
  <si>
    <t>CHOLUTECA</t>
  </si>
  <si>
    <t>OLANCHO</t>
  </si>
  <si>
    <t>LA PAZ</t>
  </si>
  <si>
    <t>EL PARAISO</t>
  </si>
  <si>
    <t>INTIBUCA</t>
  </si>
  <si>
    <t>VALLE</t>
  </si>
  <si>
    <r>
      <rPr>
        <b/>
        <sz val="11"/>
        <color rgb="FF000000"/>
        <rFont val="Calibri"/>
      </rPr>
      <t xml:space="preserve">JENNIFER ADRIANA CRUZ SALGADO  (28/01/26) </t>
    </r>
    <r>
      <rPr>
        <b/>
        <sz val="11"/>
        <color rgb="FF3D85C6"/>
        <rFont val="Calibri"/>
      </rPr>
      <t xml:space="preserve"> </t>
    </r>
    <r>
      <rPr>
        <b/>
        <sz val="11"/>
        <color rgb="FFFF0000"/>
        <rFont val="Calibri"/>
      </rPr>
      <t>(4/6)</t>
    </r>
  </si>
  <si>
    <t>ITEM</t>
  </si>
  <si>
    <t>NOMBRE</t>
  </si>
  <si>
    <t>TIR</t>
  </si>
  <si>
    <t>TIR 1</t>
  </si>
  <si>
    <t>TIR 2</t>
  </si>
  <si>
    <t>TIR 3</t>
  </si>
  <si>
    <t>PROMEDIO</t>
  </si>
  <si>
    <t>SEXO</t>
  </si>
  <si>
    <t>NIÑAS</t>
  </si>
  <si>
    <t>NIÑOS</t>
  </si>
  <si>
    <t>TAR ALTO</t>
  </si>
  <si>
    <t>TAR MUY ALTO</t>
  </si>
  <si>
    <t>TAR A1</t>
  </si>
  <si>
    <t>TAR MA1</t>
  </si>
  <si>
    <t>TAR MA 2</t>
  </si>
  <si>
    <t>TAR MA3</t>
  </si>
  <si>
    <t>TAR A2</t>
  </si>
  <si>
    <t>TAR A3</t>
  </si>
  <si>
    <t>TBR BAJO (54-59)</t>
  </si>
  <si>
    <t>TBR MUY BAJO (&lt;54)</t>
  </si>
  <si>
    <t>TBR B1</t>
  </si>
  <si>
    <t>TBR B2</t>
  </si>
  <si>
    <t>TBR B3</t>
  </si>
  <si>
    <t>TBR MB1</t>
  </si>
  <si>
    <t>TBR MB2</t>
  </si>
  <si>
    <t>TBR MB3</t>
  </si>
  <si>
    <t>INDICE RIESGO GLUCEMIA</t>
  </si>
  <si>
    <t>IRG 1</t>
  </si>
  <si>
    <t>IRG 2</t>
  </si>
  <si>
    <t>IRG 3</t>
  </si>
  <si>
    <t>TA</t>
  </si>
  <si>
    <t>TIEMPO ACTIVO</t>
  </si>
  <si>
    <t>TA 1</t>
  </si>
  <si>
    <t>TA 2</t>
  </si>
  <si>
    <t>TA 3</t>
  </si>
  <si>
    <t>COEFICIENTE DE VARIACION</t>
  </si>
  <si>
    <t>CV 1</t>
  </si>
  <si>
    <t>CV 2</t>
  </si>
  <si>
    <t>CV 3</t>
  </si>
  <si>
    <t>GMI 1</t>
  </si>
  <si>
    <t>GMI 2</t>
  </si>
  <si>
    <t>GMI 3</t>
  </si>
  <si>
    <t>IAN ELEZAR GONZALEZ ALVARENGA (02/02/26)</t>
  </si>
  <si>
    <t>0709-2001-00210</t>
  </si>
  <si>
    <t>CORRALITOS, OROPOLI, EL PARAISO</t>
  </si>
  <si>
    <t>MX: 9264-3507</t>
  </si>
  <si>
    <t>3 AÑOS</t>
  </si>
  <si>
    <t>P: 15 KG (0.9) Lantus 6 NR: 3-3-2</t>
  </si>
  <si>
    <t>PROMEDIO GENERAL TIR</t>
  </si>
  <si>
    <t>PROMEDIO NIÑAS TIR</t>
  </si>
  <si>
    <t>PROMEDIO NIÑOS TIR</t>
  </si>
  <si>
    <t>EDAD</t>
  </si>
  <si>
    <t>EDADES NIÑAS</t>
  </si>
  <si>
    <t>EDADES NIÑOS</t>
  </si>
  <si>
    <t>PROMEDIOS EDAD NIÑAS</t>
  </si>
  <si>
    <t>PROMEDIOS EDAD NIÑOS</t>
  </si>
  <si>
    <t>CANT</t>
  </si>
  <si>
    <t>PROMEDIOS</t>
  </si>
  <si>
    <r>
      <rPr>
        <b/>
        <sz val="11"/>
        <color theme="1"/>
        <rFont val="Calibri"/>
      </rPr>
      <t xml:space="preserve">ROGER VALENTIN GUTIERREZ ESPINOZA  (11/02/26) </t>
    </r>
    <r>
      <rPr>
        <b/>
        <sz val="11"/>
        <color rgb="FFFF0000"/>
        <rFont val="Calibri"/>
      </rPr>
      <t xml:space="preserve">(2/6) </t>
    </r>
  </si>
  <si>
    <t>KATHERIN MABEL GONZALEZ RAMIREZ (13-02-26) (1/6)</t>
  </si>
  <si>
    <t>9 AÑOS</t>
  </si>
  <si>
    <t>TIR 4</t>
  </si>
  <si>
    <t>Edad del debut</t>
  </si>
  <si>
    <r>
      <rPr>
        <b/>
        <sz val="11"/>
        <color rgb="FF000000"/>
        <rFont val="Calibri"/>
      </rPr>
      <t>ABNER DAVID SILVA CLEVENGER (30/01/26)</t>
    </r>
    <r>
      <rPr>
        <b/>
        <sz val="11"/>
        <color rgb="FF6AA84F"/>
        <rFont val="Calibri"/>
      </rPr>
      <t xml:space="preserve"> </t>
    </r>
    <r>
      <rPr>
        <b/>
        <sz val="11"/>
        <color rgb="FFFF0000"/>
        <rFont val="Calibri"/>
      </rPr>
      <t>(4/6)*** USA</t>
    </r>
  </si>
  <si>
    <t>12 AÑOS</t>
  </si>
  <si>
    <t>43 MIN</t>
  </si>
  <si>
    <t>rEVISAR DOSIS</t>
  </si>
  <si>
    <t>SI</t>
  </si>
  <si>
    <r>
      <rPr>
        <b/>
        <sz val="11"/>
        <color rgb="FF000000"/>
        <rFont val="Calibri"/>
      </rPr>
      <t xml:space="preserve">WILSON JAFETH FLORES GARCIA  (02/02/26) </t>
    </r>
    <r>
      <rPr>
        <b/>
        <sz val="11"/>
        <color rgb="FFFF0000"/>
        <rFont val="Calibri"/>
      </rPr>
      <t>(4/6)</t>
    </r>
  </si>
  <si>
    <t>100 min</t>
  </si>
  <si>
    <t xml:space="preserve">Lantus 18 NR 12-15-12 </t>
  </si>
  <si>
    <r>
      <rPr>
        <b/>
        <sz val="11"/>
        <color rgb="FF000000"/>
        <rFont val="Calibri"/>
      </rPr>
      <t xml:space="preserve">MONICA SOFIA QUIJADA GARCIA  (13/02/26) </t>
    </r>
    <r>
      <rPr>
        <b/>
        <sz val="11"/>
        <color rgb="FFFF0000"/>
        <rFont val="Calibri"/>
      </rPr>
      <t>(4/6)</t>
    </r>
  </si>
  <si>
    <t>4 años</t>
  </si>
  <si>
    <t>84 MIN</t>
  </si>
  <si>
    <t>Lantus 10 U NR 8-5-3</t>
  </si>
  <si>
    <t>CURSO CON CUADRO DE FAE, FIEBRES ALTAS CASI 10 DIAS ENFERMA</t>
  </si>
  <si>
    <r>
      <rPr>
        <b/>
        <sz val="11"/>
        <color theme="1"/>
        <rFont val="Calibri"/>
      </rPr>
      <t>IVANA ALEJANDRA BACA IZAGUIRRE (10/02/26</t>
    </r>
    <r>
      <rPr>
        <b/>
        <sz val="11"/>
        <color rgb="FF674EA7"/>
        <rFont val="Calibri"/>
      </rPr>
      <t xml:space="preserve">) </t>
    </r>
    <r>
      <rPr>
        <b/>
        <sz val="11"/>
        <color rgb="FFFF0000"/>
        <rFont val="Calibri"/>
      </rPr>
      <t>(4/6)**** Revisar MCG</t>
    </r>
  </si>
  <si>
    <t>Lantus 18 NR 14 -14-16</t>
  </si>
  <si>
    <t>paciente desconecto monitor solo estuvo en uso 9 dias  * Se reforzara plan de alimentacion  de Endo/ 3MCG  9 dias</t>
  </si>
  <si>
    <r>
      <rPr>
        <b/>
        <sz val="11"/>
        <color theme="1"/>
        <rFont val="Calibri"/>
      </rPr>
      <t xml:space="preserve">JOSE ANGEL PONCE SALAZAR (10/02/26) </t>
    </r>
    <r>
      <rPr>
        <b/>
        <sz val="11"/>
        <color rgb="FFFF0000"/>
        <rFont val="Calibri"/>
      </rPr>
      <t>(4/6)</t>
    </r>
  </si>
  <si>
    <t xml:space="preserve"> Lantus 21 U  NR 10-8-10</t>
  </si>
  <si>
    <r>
      <rPr>
        <b/>
        <sz val="11"/>
        <color theme="1"/>
        <rFont val="Calibri"/>
      </rPr>
      <t xml:space="preserve">LESLY DAYANA MELGAR MARQUEZ (12/02/26)  </t>
    </r>
    <r>
      <rPr>
        <b/>
        <sz val="11"/>
        <color rgb="FFFF0000"/>
        <rFont val="Calibri"/>
      </rPr>
      <t>(4/6)*** REVISAR MCG</t>
    </r>
  </si>
  <si>
    <r>
      <rPr>
        <b/>
        <sz val="11"/>
        <color rgb="FF000000"/>
        <rFont val="Calibri"/>
      </rPr>
      <t xml:space="preserve">ESTEFANY JULIETH PADILLA MEJIA (11/02/26) </t>
    </r>
    <r>
      <rPr>
        <b/>
        <sz val="11"/>
        <color rgb="FFFF0000"/>
        <rFont val="Calibri"/>
      </rPr>
      <t>(4/6)</t>
    </r>
  </si>
  <si>
    <t>2 años</t>
  </si>
  <si>
    <t>52 min</t>
  </si>
  <si>
    <t xml:space="preserve">Lantus 34  NR 3-3-2 </t>
  </si>
  <si>
    <r>
      <rPr>
        <b/>
        <sz val="11"/>
        <color rgb="FF000000"/>
        <rFont val="Calibri"/>
      </rPr>
      <t xml:space="preserve">MISLEYDI LUCILA VIDEA PADILLA  (13/02/26) </t>
    </r>
    <r>
      <rPr>
        <b/>
        <sz val="11"/>
        <color rgb="FFFF0000"/>
        <rFont val="Calibri"/>
      </rPr>
      <t>(4/6)</t>
    </r>
  </si>
  <si>
    <t>49 MIN</t>
  </si>
  <si>
    <t>Lantus 7 AD NR 5-4-4</t>
  </si>
  <si>
    <r>
      <rPr>
        <b/>
        <sz val="11"/>
        <color rgb="FF000000"/>
        <rFont val="Calibri"/>
      </rPr>
      <t xml:space="preserve">MONICA VALERIA MONJARREZ ZUNIGA (12/02/26) </t>
    </r>
    <r>
      <rPr>
        <b/>
        <sz val="11"/>
        <color rgb="FFFF0000"/>
        <rFont val="Calibri"/>
      </rPr>
      <t>(4/6)</t>
    </r>
  </si>
  <si>
    <r>
      <rPr>
        <b/>
        <sz val="11"/>
        <color theme="1"/>
        <rFont val="Calibri"/>
      </rPr>
      <t xml:space="preserve">STEFANNY NICOLLE ORDOÑEZ DORMES  (11/02/26)  </t>
    </r>
    <r>
      <rPr>
        <b/>
        <sz val="11"/>
        <color rgb="FFFF0000"/>
        <rFont val="Calibri"/>
      </rPr>
      <t>(4/6)** Revisar MCG</t>
    </r>
  </si>
  <si>
    <t>---------</t>
  </si>
  <si>
    <t>Lantus 55 U NR 8-9-8</t>
  </si>
  <si>
    <t>*Se desconecto el tercer MCG se da ultima oportunidad</t>
  </si>
  <si>
    <r>
      <rPr>
        <b/>
        <sz val="11"/>
        <color theme="1"/>
        <rFont val="Calibri"/>
      </rPr>
      <t xml:space="preserve">ESTRELLA DINORAH ALMENDARES CASTRO  (10/02/26) </t>
    </r>
    <r>
      <rPr>
        <b/>
        <sz val="11"/>
        <color rgb="FFFFC000"/>
        <rFont val="Calibri"/>
      </rPr>
      <t xml:space="preserve"> </t>
    </r>
    <r>
      <rPr>
        <b/>
        <sz val="11"/>
        <color rgb="FFFF0000"/>
        <rFont val="Calibri"/>
      </rPr>
      <t>(4/6)</t>
    </r>
  </si>
  <si>
    <r>
      <rPr>
        <b/>
        <sz val="11"/>
        <color rgb="FF000000"/>
        <rFont val="Calibri"/>
      </rPr>
      <t xml:space="preserve">WILSON JOSE TORRES ESCOBAR  (02/02/26) </t>
    </r>
    <r>
      <rPr>
        <b/>
        <sz val="11"/>
        <color rgb="FFFF0000"/>
        <rFont val="Calibri"/>
      </rPr>
      <t>(3/6)</t>
    </r>
  </si>
  <si>
    <t>103 min</t>
  </si>
  <si>
    <t>Lantus 17 U AC NR 5-6-5</t>
  </si>
  <si>
    <t>AMY FERNANDA CASTILLO MAIRENA (13/02/26) (3/6)</t>
  </si>
  <si>
    <t>33 MIN</t>
  </si>
  <si>
    <t>Lantus 22 NR 15-20-13</t>
  </si>
  <si>
    <t>HELEN ANAHI ZHEN LARA (12/02/26) (3/6)</t>
  </si>
  <si>
    <t>47 min</t>
  </si>
  <si>
    <t>Lantus 34 U AC NR 6-5-6</t>
  </si>
  <si>
    <t>MOISES DAVID CASCO FUNEZ   (02/02/26) (3/6)</t>
  </si>
  <si>
    <t>25 min</t>
  </si>
  <si>
    <t xml:space="preserve"> Lantus 30 U AC NR 6-6-6</t>
  </si>
  <si>
    <t>KEYLIN SOLANGE BOLAÑOS STYLES (02/02/26) (3/6)</t>
  </si>
  <si>
    <t>42 min</t>
  </si>
  <si>
    <t>Come chocolate en la madrugada Monitor en uso 13 dias/ Ultima oportunidad debe mejorar tiempo activo</t>
  </si>
  <si>
    <t>Si</t>
  </si>
  <si>
    <r>
      <rPr>
        <b/>
        <sz val="11"/>
        <color rgb="FF000000"/>
        <rFont val="Calibri"/>
      </rPr>
      <t xml:space="preserve">MARIA FERNANDA MOLINA NUÑEZ (10/02/26) </t>
    </r>
    <r>
      <rPr>
        <b/>
        <sz val="11"/>
        <color rgb="FFFF0000"/>
        <rFont val="Calibri"/>
      </rPr>
      <t>(3/6)</t>
    </r>
  </si>
  <si>
    <t>Lantus 12 U AC NR 10-10-10</t>
  </si>
  <si>
    <t>DYLIN NICOLLE BEJARANO FUNES (12/02/26) (3/6)</t>
  </si>
  <si>
    <t>16 AÑOS</t>
  </si>
  <si>
    <t>0 MIN</t>
  </si>
  <si>
    <r>
      <rPr>
        <b/>
        <sz val="11"/>
        <color theme="1"/>
        <rFont val="Calibri"/>
      </rPr>
      <t xml:space="preserve">Yonathan Moises Funes Vindel (11/02/26) </t>
    </r>
    <r>
      <rPr>
        <b/>
        <sz val="11"/>
        <color rgb="FFFF0000"/>
        <rFont val="Calibri"/>
      </rPr>
      <t xml:space="preserve">(2/6) </t>
    </r>
  </si>
  <si>
    <t>Lantus 25 NR 7-8-8</t>
  </si>
  <si>
    <r>
      <rPr>
        <b/>
        <sz val="11"/>
        <color theme="1"/>
        <rFont val="Calibri"/>
      </rPr>
      <t xml:space="preserve">ENAN ONAY GOMEZ AVILA (13-02-26) </t>
    </r>
    <r>
      <rPr>
        <b/>
        <sz val="11"/>
        <color rgb="FFFF0000"/>
        <rFont val="Calibri"/>
      </rPr>
      <t>(2/6)</t>
    </r>
  </si>
  <si>
    <t>53 MIN</t>
  </si>
  <si>
    <t>Lantus 15 NR: 6-6-6</t>
  </si>
  <si>
    <t>0801-2016-11761</t>
  </si>
  <si>
    <t>Col. El Pino, carretera vieja a Olancho</t>
  </si>
  <si>
    <t>Mx: 8810-4159   Px: 8860-6924</t>
  </si>
  <si>
    <t>Analogo de Insulina</t>
  </si>
  <si>
    <t>P: 45.2Kg ()  Lantus 14 U NR: 4-4-4</t>
  </si>
  <si>
    <t>0703-2012-03795</t>
  </si>
  <si>
    <t>La Libertad, Asabache, Danli, El Paraiso</t>
  </si>
  <si>
    <t>Px: 9252-5021</t>
  </si>
  <si>
    <t>P: 54.7Kg (0.8)Lantus 24 NR 8-8-8</t>
  </si>
  <si>
    <t>TAR MA4</t>
  </si>
  <si>
    <t>TAR A4</t>
  </si>
  <si>
    <t>TBR B4</t>
  </si>
  <si>
    <t>TBR MB4</t>
  </si>
  <si>
    <t>IRG 4</t>
  </si>
  <si>
    <t>TA 4</t>
  </si>
  <si>
    <t>CV 4</t>
  </si>
  <si>
    <t>GMI 4</t>
  </si>
  <si>
    <r>
      <rPr>
        <b/>
        <sz val="11"/>
        <color theme="1"/>
        <rFont val="Calibri"/>
      </rPr>
      <t xml:space="preserve">Valery Isabela Arias Rodriguez (17/02/26) </t>
    </r>
    <r>
      <rPr>
        <b/>
        <sz val="11"/>
        <color rgb="FFFF0000"/>
        <rFont val="Calibri"/>
      </rPr>
      <t xml:space="preserve"> (5/6)</t>
    </r>
  </si>
  <si>
    <t>10 AÑOS</t>
  </si>
  <si>
    <t>Lantus 23 NR11-13-7</t>
  </si>
  <si>
    <r>
      <rPr>
        <b/>
        <sz val="11"/>
        <color rgb="FF000000"/>
        <rFont val="Calibri"/>
      </rPr>
      <t xml:space="preserve">WILSON JAFETH FLORES GARCIA  (19/02/26) </t>
    </r>
    <r>
      <rPr>
        <b/>
        <sz val="11"/>
        <color rgb="FFFF0000"/>
        <rFont val="Calibri"/>
      </rPr>
      <t>(5/6)</t>
    </r>
  </si>
  <si>
    <t>57 min</t>
  </si>
  <si>
    <t>Lantus 14 NR 12-14-10</t>
  </si>
  <si>
    <r>
      <rPr>
        <b/>
        <sz val="11"/>
        <color theme="1"/>
        <rFont val="Calibri"/>
      </rPr>
      <t>ESTRELLA DINORAH ALMENDARES CASTRO  (10/02/26)</t>
    </r>
    <r>
      <rPr>
        <b/>
        <sz val="11"/>
        <color rgb="FFFFC000"/>
        <rFont val="Calibri"/>
      </rPr>
      <t xml:space="preserve">  </t>
    </r>
    <r>
      <rPr>
        <b/>
        <sz val="11"/>
        <color rgb="FFFF0000"/>
        <rFont val="Calibri"/>
      </rPr>
      <t>(4/6)</t>
    </r>
  </si>
  <si>
    <r>
      <rPr>
        <b/>
        <sz val="11"/>
        <color theme="1"/>
        <rFont val="Calibri"/>
      </rPr>
      <t>LUIS JEANCARLO ZELAYA HERNANDEZ  (16/02/26)</t>
    </r>
    <r>
      <rPr>
        <b/>
        <sz val="11"/>
        <color rgb="FF9900FF"/>
        <rFont val="Calibri"/>
      </rPr>
      <t xml:space="preserve"> </t>
    </r>
    <r>
      <rPr>
        <b/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>(3/6)</t>
    </r>
  </si>
  <si>
    <t xml:space="preserve">Plan de alimentacion 2000 calorias </t>
  </si>
  <si>
    <r>
      <rPr>
        <b/>
        <sz val="11"/>
        <color theme="1"/>
        <rFont val="Calibri"/>
      </rPr>
      <t xml:space="preserve">ELSY SARAY MEJIA LAGOS  (16/02/26)  </t>
    </r>
    <r>
      <rPr>
        <b/>
        <sz val="11"/>
        <color rgb="FFFF0000"/>
        <rFont val="Calibri"/>
      </rPr>
      <t>(4/6)</t>
    </r>
  </si>
  <si>
    <t>7 años</t>
  </si>
  <si>
    <t>Lantus 30 U AC NR 7-7-6</t>
  </si>
  <si>
    <r>
      <rPr>
        <b/>
        <sz val="11"/>
        <color rgb="FF000000"/>
        <rFont val="Calibri"/>
      </rPr>
      <t xml:space="preserve">JAFETH DAVID MONDRAGON NUÑEZ  (19/02/25) </t>
    </r>
    <r>
      <rPr>
        <b/>
        <sz val="11"/>
        <color rgb="FFFF0000"/>
        <rFont val="Calibri"/>
      </rPr>
      <t>(4/6)</t>
    </r>
  </si>
  <si>
    <t>92 min</t>
  </si>
  <si>
    <t>Lantus 29 U NR 6-7-5</t>
  </si>
  <si>
    <r>
      <rPr>
        <b/>
        <sz val="11"/>
        <color rgb="FF000000"/>
        <rFont val="Calibri"/>
      </rPr>
      <t xml:space="preserve">ODALIS MICHELLE PAGAN MENCIA  (20/02/26) </t>
    </r>
    <r>
      <rPr>
        <b/>
        <sz val="11"/>
        <color rgb="FFFF0000"/>
        <rFont val="Calibri"/>
      </rPr>
      <t>(4/6)</t>
    </r>
  </si>
  <si>
    <t>Lantus 27 U NR 7-8-6</t>
  </si>
  <si>
    <r>
      <rPr>
        <b/>
        <sz val="11"/>
        <color rgb="FF000000"/>
        <rFont val="Calibri"/>
      </rPr>
      <t xml:space="preserve">MATEO FARID WOODS PON  (16/02/26) </t>
    </r>
    <r>
      <rPr>
        <b/>
        <sz val="11"/>
        <color rgb="FFFF0000"/>
        <rFont val="Calibri"/>
      </rPr>
      <t>(3/6)</t>
    </r>
  </si>
  <si>
    <t>70 min</t>
  </si>
  <si>
    <t>Lantus 26UNR 5-4-4</t>
  </si>
  <si>
    <r>
      <rPr>
        <b/>
        <sz val="11"/>
        <color rgb="FF000000"/>
        <rFont val="Calibri"/>
      </rPr>
      <t xml:space="preserve">WILSON JOSE TORRES ESCOBAR  (16/02/26) </t>
    </r>
    <r>
      <rPr>
        <b/>
        <sz val="11"/>
        <color rgb="FFFF0000"/>
        <rFont val="Calibri"/>
      </rPr>
      <t>(4/6)</t>
    </r>
  </si>
  <si>
    <t>Lantus 14 U AC NR 4-5-4</t>
  </si>
  <si>
    <r>
      <rPr>
        <b/>
        <sz val="11"/>
        <color rgb="FF000000"/>
        <rFont val="Calibri"/>
      </rPr>
      <t xml:space="preserve">SAUL ANDRES ESCALANTE GRADIZ  (18/02/26) </t>
    </r>
    <r>
      <rPr>
        <b/>
        <sz val="11"/>
        <color rgb="FFFF0000"/>
        <rFont val="Calibri"/>
      </rPr>
      <t>(4/6)</t>
    </r>
  </si>
  <si>
    <t>Lantus 16 U AC NR 4-4-2</t>
  </si>
  <si>
    <r>
      <rPr>
        <b/>
        <sz val="11"/>
        <color rgb="FF000000"/>
        <rFont val="Calibri"/>
      </rPr>
      <t xml:space="preserve">BIANCA VALENTINA ALMENDAREZ CHACON  (18/02/26) </t>
    </r>
    <r>
      <rPr>
        <b/>
        <sz val="11"/>
        <color rgb="FFFF0000"/>
        <rFont val="Calibri"/>
      </rPr>
      <t>(4/6)</t>
    </r>
  </si>
  <si>
    <r>
      <rPr>
        <b/>
        <sz val="11"/>
        <color rgb="FF000000"/>
        <rFont val="Calibri"/>
      </rPr>
      <t xml:space="preserve">MOISES DAVID CASCO FUNEZ   (20/02/26) </t>
    </r>
    <r>
      <rPr>
        <b/>
        <sz val="11"/>
        <color rgb="FFFF0000"/>
        <rFont val="Calibri"/>
      </rPr>
      <t>(4/6)</t>
    </r>
  </si>
  <si>
    <t>80 min</t>
  </si>
  <si>
    <t xml:space="preserve"> Lantus 30 U AC NR 8-8-8</t>
  </si>
  <si>
    <t xml:space="preserve"> Lantus 29 U AC NR 8-8-8</t>
  </si>
  <si>
    <t>KEYLIN SOLANGE BOLAÑOS STYLES (16/02/26) (4/6)</t>
  </si>
  <si>
    <t>ANGIE MARIANA IRIAS CASTRO  (17/02/26) (3/6)</t>
  </si>
  <si>
    <t>72 min</t>
  </si>
  <si>
    <t>Lantus 24 NR 11-14-11</t>
  </si>
  <si>
    <t>2 MCG duro 9 dias</t>
  </si>
  <si>
    <r>
      <rPr>
        <b/>
        <sz val="11"/>
        <color rgb="FF000000"/>
        <rFont val="Calibri"/>
      </rPr>
      <t>NELSON SAMUEL VELASQUEZ VELASQUEZ  (18/02/26)</t>
    </r>
    <r>
      <rPr>
        <b/>
        <sz val="11"/>
        <color rgb="FFFF0000"/>
        <rFont val="Calibri"/>
      </rPr>
      <t xml:space="preserve"> (3/6)</t>
    </r>
  </si>
  <si>
    <t>Lantus 33u NR 10 AA Metformina 850mg BID</t>
  </si>
  <si>
    <t>edad debut</t>
  </si>
  <si>
    <t>&lt; 10 años</t>
  </si>
  <si>
    <t>11-15 años</t>
  </si>
  <si>
    <t>&gt; 15 años</t>
  </si>
  <si>
    <t>edad debut niñas</t>
  </si>
  <si>
    <t>edad debut niños</t>
  </si>
  <si>
    <r>
      <rPr>
        <b/>
        <sz val="11"/>
        <color rgb="FF000000"/>
        <rFont val="Calibri"/>
      </rPr>
      <t>ABNER DAVID SILVA CLEVENGER (30/01/26)</t>
    </r>
    <r>
      <rPr>
        <b/>
        <sz val="11"/>
        <color rgb="FF6AA84F"/>
        <rFont val="Calibri"/>
      </rPr>
      <t xml:space="preserve"> </t>
    </r>
    <r>
      <rPr>
        <b/>
        <sz val="11"/>
        <color rgb="FFFF0000"/>
        <rFont val="Calibri"/>
      </rPr>
      <t>(4/6)*** USA (4-16 al 30) (5-30 al 13)</t>
    </r>
  </si>
  <si>
    <t>Revisar dosis</t>
  </si>
  <si>
    <t xml:space="preserve">paciente desconecto monitor solo estuvo en uso 9 dias  * Se reforzara plan de alimentacion  de Endo/ 3MCG  9 dias/4MCG se esta educando al primo </t>
  </si>
  <si>
    <r>
      <rPr>
        <b/>
        <sz val="11"/>
        <color theme="1"/>
        <rFont val="Calibri"/>
      </rPr>
      <t>IVANA ALEJANDRA BACA IZAGUIRRE (24/02/26</t>
    </r>
    <r>
      <rPr>
        <b/>
        <sz val="11"/>
        <color rgb="FF674EA7"/>
        <rFont val="Calibri"/>
      </rPr>
      <t xml:space="preserve">) </t>
    </r>
    <r>
      <rPr>
        <b/>
        <sz val="11"/>
        <color rgb="FFFF0000"/>
        <rFont val="Calibri"/>
      </rPr>
      <t>(5/6)</t>
    </r>
  </si>
  <si>
    <t>Lantus 20 NR 14 -14-14</t>
  </si>
  <si>
    <r>
      <rPr>
        <b/>
        <sz val="11"/>
        <color theme="1"/>
        <rFont val="Calibri"/>
      </rPr>
      <t xml:space="preserve">JOSE ANGEL PONCE SALAZAR (24/02/26) </t>
    </r>
    <r>
      <rPr>
        <b/>
        <sz val="11"/>
        <color rgb="FFFF0000"/>
        <rFont val="Calibri"/>
      </rPr>
      <t>(5/6)</t>
    </r>
  </si>
  <si>
    <t xml:space="preserve"> Lantus 20 U  NR 10-8-10</t>
  </si>
  <si>
    <r>
      <rPr>
        <b/>
        <sz val="11"/>
        <color theme="1"/>
        <rFont val="Calibri"/>
      </rPr>
      <t xml:space="preserve">LESLY DAYANA MELGAR MARQUEZ (29/02/26)  </t>
    </r>
    <r>
      <rPr>
        <b/>
        <sz val="11"/>
        <color rgb="FFFF0000"/>
        <rFont val="Calibri"/>
      </rPr>
      <t>(5/6)</t>
    </r>
  </si>
  <si>
    <t>69 min</t>
  </si>
  <si>
    <t>Lantus 24 NR 18-17-16</t>
  </si>
  <si>
    <r>
      <rPr>
        <b/>
        <sz val="11"/>
        <color rgb="FF000000"/>
        <rFont val="Calibri"/>
      </rPr>
      <t xml:space="preserve">ESTEFANY JULIETH PADILLA MEJIA (25/02/26) </t>
    </r>
    <r>
      <rPr>
        <b/>
        <sz val="11"/>
        <color rgb="FFFF0000"/>
        <rFont val="Calibri"/>
      </rPr>
      <t>(5/6)</t>
    </r>
  </si>
  <si>
    <t>Lantus 33  NR 3-3-1</t>
  </si>
  <si>
    <r>
      <rPr>
        <b/>
        <sz val="11"/>
        <color rgb="FF000000"/>
        <rFont val="Calibri"/>
      </rPr>
      <t xml:space="preserve">MONICA VALERIA MONJARREZ ZUNIGA (26/02/26) </t>
    </r>
    <r>
      <rPr>
        <b/>
        <sz val="11"/>
        <color rgb="FFFF0000"/>
        <rFont val="Calibri"/>
      </rPr>
      <t>(5/6)</t>
    </r>
  </si>
  <si>
    <r>
      <rPr>
        <b/>
        <sz val="11"/>
        <color theme="1"/>
        <rFont val="Calibri"/>
      </rPr>
      <t xml:space="preserve">ESTRELLA DINORAH ALMENDARES CASTRO  (24/02/26) </t>
    </r>
    <r>
      <rPr>
        <b/>
        <sz val="11"/>
        <color rgb="FFFFC000"/>
        <rFont val="Calibri"/>
      </rPr>
      <t xml:space="preserve"> </t>
    </r>
    <r>
      <rPr>
        <b/>
        <sz val="11"/>
        <color rgb="FFFF0000"/>
        <rFont val="Calibri"/>
      </rPr>
      <t>(5/6)</t>
    </r>
  </si>
  <si>
    <t>116 min</t>
  </si>
  <si>
    <t>Lantus 10 unidades AC Metformina TID</t>
  </si>
  <si>
    <t xml:space="preserve">Se reforzara plan de alimentacion 2500 calorias/4 MCG se coloco muy atras presento varias hipoglicemias, </t>
  </si>
  <si>
    <r>
      <rPr>
        <b/>
        <sz val="11"/>
        <color theme="1"/>
        <rFont val="Calibri"/>
      </rPr>
      <t xml:space="preserve">MILEIDY SARAY MANCIA ZAVALA  (25/02/26)  </t>
    </r>
    <r>
      <rPr>
        <b/>
        <sz val="11"/>
        <color rgb="FFFF0000"/>
        <rFont val="Calibri"/>
      </rPr>
      <t>(3/6)</t>
    </r>
  </si>
  <si>
    <r>
      <rPr>
        <b/>
        <sz val="11"/>
        <color rgb="FF000000"/>
        <rFont val="Calibri"/>
      </rPr>
      <t xml:space="preserve">MARIA FERNANDA MOLINA NUÑEZ (24/02/26) </t>
    </r>
    <r>
      <rPr>
        <b/>
        <sz val="11"/>
        <color rgb="FFFF0000"/>
        <rFont val="Calibri"/>
      </rPr>
      <t>(4/6)</t>
    </r>
  </si>
  <si>
    <t>Lantus 13 U AC NR 11-11-11</t>
  </si>
  <si>
    <r>
      <rPr>
        <b/>
        <sz val="11"/>
        <color theme="1"/>
        <rFont val="Calibri"/>
      </rPr>
      <t xml:space="preserve">Yonathan Moises Funes Vindel (25/02/26) </t>
    </r>
    <r>
      <rPr>
        <b/>
        <sz val="11"/>
        <color rgb="FFFF0000"/>
        <rFont val="Calibri"/>
      </rPr>
      <t xml:space="preserve">(3/6) </t>
    </r>
  </si>
  <si>
    <t>Lantus 26 NR 8-10-10</t>
  </si>
  <si>
    <t>Se modifica plan de alimentacion a 2500 2MCG</t>
  </si>
  <si>
    <r>
      <rPr>
        <b/>
        <sz val="11"/>
        <color theme="1"/>
        <rFont val="Calibri"/>
      </rPr>
      <t xml:space="preserve">ROGER VALENTIN GUTIERREZ ESPINOZA  (25/02/26) </t>
    </r>
    <r>
      <rPr>
        <b/>
        <sz val="11"/>
        <color rgb="FFFF0000"/>
        <rFont val="Calibri"/>
      </rPr>
      <t xml:space="preserve">(2/6) </t>
    </r>
  </si>
  <si>
    <t>Lantus 14 NR 4-4-4</t>
  </si>
  <si>
    <r>
      <rPr>
        <b/>
        <sz val="11"/>
        <color theme="1"/>
        <rFont val="Calibri"/>
      </rPr>
      <t>KATHERIN MABEL GONZALEZ RAMIREZ</t>
    </r>
    <r>
      <rPr>
        <sz val="11"/>
        <color theme="1"/>
        <rFont val="Calibri"/>
      </rPr>
      <t xml:space="preserve"> (13-02-26) (1/6)</t>
    </r>
  </si>
  <si>
    <t>TIR 5</t>
  </si>
  <si>
    <t>TAR MA5</t>
  </si>
  <si>
    <t>TAR A5</t>
  </si>
  <si>
    <t>TBR B5</t>
  </si>
  <si>
    <t>TBR MB5</t>
  </si>
  <si>
    <t>IRG 5</t>
  </si>
  <si>
    <t>TA 5</t>
  </si>
  <si>
    <t>CV 5</t>
  </si>
  <si>
    <t>GMI 5</t>
  </si>
  <si>
    <t>*Pendinte hasta  hoy 56 MCG</t>
  </si>
  <si>
    <r>
      <rPr>
        <b/>
        <sz val="11"/>
        <color theme="1"/>
        <rFont val="Calibri"/>
      </rPr>
      <t xml:space="preserve">Valery Isabela Arias Rodriguez (03/03/26) </t>
    </r>
    <r>
      <rPr>
        <b/>
        <sz val="11"/>
        <color rgb="FFFF0000"/>
        <rFont val="Calibri"/>
      </rPr>
      <t xml:space="preserve"> (6)</t>
    </r>
  </si>
  <si>
    <t>28 MIN</t>
  </si>
  <si>
    <t>41 MIN</t>
  </si>
  <si>
    <t>60 MIN</t>
  </si>
  <si>
    <t>56 MIN</t>
  </si>
  <si>
    <t>48 min</t>
  </si>
  <si>
    <t>PEND DATO</t>
  </si>
  <si>
    <r>
      <rPr>
        <b/>
        <sz val="11"/>
        <color rgb="FFFFC000"/>
        <rFont val="Calibri"/>
      </rPr>
      <t>JENNIFER ADRIANA CRUZ SALGADO</t>
    </r>
    <r>
      <rPr>
        <b/>
        <sz val="11"/>
        <color rgb="FF000000"/>
        <rFont val="Calibri"/>
      </rPr>
      <t xml:space="preserve">
  (28/01/26) </t>
    </r>
    <r>
      <rPr>
        <b/>
        <sz val="11"/>
        <color rgb="FF3D85C6"/>
        <rFont val="Calibri"/>
      </rPr>
      <t xml:space="preserve"> </t>
    </r>
    <r>
      <rPr>
        <b/>
        <sz val="11"/>
        <color rgb="FFFF0000"/>
        <rFont val="Calibri"/>
      </rPr>
      <t>(4/6)</t>
    </r>
  </si>
  <si>
    <t>225 MIN</t>
  </si>
  <si>
    <t>Se arruino el cel lo compartia con la madrastra. Se refuerza plan de nutricion (2 MCG).  PROBLEMAS TIENE IHSS SOLO 4 MCG</t>
  </si>
  <si>
    <r>
      <rPr>
        <b/>
        <sz val="11"/>
        <color rgb="FF000000"/>
        <rFont val="Calibri"/>
      </rPr>
      <t>ABNER DAVID SILVA CLEVENGER (30/01/26)</t>
    </r>
    <r>
      <rPr>
        <b/>
        <sz val="11"/>
        <color rgb="FF6AA84F"/>
        <rFont val="Calibri"/>
      </rPr>
      <t xml:space="preserve"> </t>
    </r>
    <r>
      <rPr>
        <b/>
        <sz val="11"/>
        <color rgb="FFFF0000"/>
        <rFont val="Calibri"/>
      </rPr>
      <t>(7)</t>
    </r>
  </si>
  <si>
    <r>
      <rPr>
        <b/>
        <sz val="11"/>
        <color rgb="FF000000"/>
        <rFont val="Calibri"/>
      </rPr>
      <t xml:space="preserve">WILSON JAFETH FLORES GARCIA  (05/03/26) </t>
    </r>
    <r>
      <rPr>
        <b/>
        <sz val="11"/>
        <color rgb="FFFF0000"/>
        <rFont val="Calibri"/>
      </rPr>
      <t>(6)</t>
    </r>
  </si>
  <si>
    <t>67 MIN</t>
  </si>
  <si>
    <t>85 min</t>
  </si>
  <si>
    <t>Lantus 11 NR 12-11-9</t>
  </si>
  <si>
    <r>
      <rPr>
        <b/>
        <sz val="11"/>
        <color rgb="FF000000"/>
        <rFont val="Calibri"/>
      </rPr>
      <t xml:space="preserve">MONICA SOFIA QUIJADA GARCIA  (05/03/26) </t>
    </r>
    <r>
      <rPr>
        <b/>
        <sz val="11"/>
        <color rgb="FFFF0000"/>
        <rFont val="Calibri"/>
      </rPr>
      <t>(5)</t>
    </r>
  </si>
  <si>
    <t>46 MIN</t>
  </si>
  <si>
    <t>Lantus 10 U NR 6-5-3</t>
  </si>
  <si>
    <t xml:space="preserve">paciente desconecto monitor solo estuvo en uso 9 dias  * Se reforzara plan de alimentacion  de Endo/ </t>
  </si>
  <si>
    <r>
      <rPr>
        <b/>
        <sz val="11"/>
        <color theme="1"/>
        <rFont val="Calibri"/>
      </rPr>
      <t>IVANA ALEJANDRA BACA IZAGUIRRE (10/03/26</t>
    </r>
    <r>
      <rPr>
        <b/>
        <sz val="11"/>
        <color rgb="FF674EA7"/>
        <rFont val="Calibri"/>
      </rPr>
      <t xml:space="preserve">) </t>
    </r>
    <r>
      <rPr>
        <b/>
        <sz val="11"/>
        <color rgb="FFFF0000"/>
        <rFont val="Calibri"/>
      </rPr>
      <t>(6)</t>
    </r>
  </si>
  <si>
    <t>Lantus 20 NR 13 -14-13</t>
  </si>
  <si>
    <t xml:space="preserve">3MCG  9 dias/4MCG se esta educando al primo </t>
  </si>
  <si>
    <r>
      <rPr>
        <b/>
        <sz val="11"/>
        <color theme="1"/>
        <rFont val="Calibri"/>
      </rPr>
      <t xml:space="preserve">JOSE ANGEL PONCE SALAZAR (13/03/26) </t>
    </r>
    <r>
      <rPr>
        <b/>
        <sz val="11"/>
        <color rgb="FFFF0000"/>
        <rFont val="Calibri"/>
      </rPr>
      <t>(6/)</t>
    </r>
  </si>
  <si>
    <t xml:space="preserve"> Lantus 19 U  NR 10-8-10</t>
  </si>
  <si>
    <t>pend dato</t>
  </si>
  <si>
    <r>
      <rPr>
        <b/>
        <sz val="11"/>
        <color theme="1"/>
        <rFont val="Calibri"/>
      </rPr>
      <t xml:space="preserve">LESLY DAYANA MELGAR MARQUEZ (12/03/26)  </t>
    </r>
    <r>
      <rPr>
        <b/>
        <sz val="11"/>
        <color rgb="FFFF0000"/>
        <rFont val="Calibri"/>
      </rPr>
      <t>(6)</t>
    </r>
  </si>
  <si>
    <t>Lantus 22 NR 14-15-13</t>
  </si>
  <si>
    <r>
      <rPr>
        <b/>
        <sz val="11"/>
        <color rgb="FF000000"/>
        <rFont val="Calibri"/>
      </rPr>
      <t xml:space="preserve">ESTEFANY JULIETH PADILLA MEJIA (11/03/26) </t>
    </r>
    <r>
      <rPr>
        <b/>
        <sz val="11"/>
        <color rgb="FFFF0000"/>
        <rFont val="Calibri"/>
      </rPr>
      <t>(6/8)</t>
    </r>
  </si>
  <si>
    <t>Lantus 29  NR 3-3-1</t>
  </si>
  <si>
    <r>
      <rPr>
        <b/>
        <sz val="11"/>
        <color rgb="FF000000"/>
        <rFont val="Calibri"/>
      </rPr>
      <t xml:space="preserve">MISLEYDI LUCILA VIDEA PADILLA  (16/03/26) </t>
    </r>
    <r>
      <rPr>
        <b/>
        <sz val="11"/>
        <color rgb="FFFF0000"/>
        <rFont val="Calibri"/>
      </rPr>
      <t>(6)</t>
    </r>
  </si>
  <si>
    <t>65 MIN</t>
  </si>
  <si>
    <t>Lantus 6 AD NR 5-4-4</t>
  </si>
  <si>
    <r>
      <rPr>
        <b/>
        <sz val="11"/>
        <color rgb="FF000000"/>
        <rFont val="Calibri"/>
      </rPr>
      <t xml:space="preserve">MONICA VALERIA MONJARREZ ZUNIGA (12/03/26) </t>
    </r>
    <r>
      <rPr>
        <b/>
        <sz val="11"/>
        <color rgb="FFFF0000"/>
        <rFont val="Calibri"/>
      </rPr>
      <t>(6)</t>
    </r>
  </si>
  <si>
    <t>29 min</t>
  </si>
  <si>
    <t>Lantus 6 NR 7-7-4</t>
  </si>
  <si>
    <r>
      <rPr>
        <b/>
        <sz val="11"/>
        <color theme="1"/>
        <rFont val="Calibri"/>
      </rPr>
      <t xml:space="preserve">STEFANNY NICOLLE ORDOÑEZ DORMES  (11/03/26)  </t>
    </r>
    <r>
      <rPr>
        <b/>
        <sz val="11"/>
        <color rgb="FFFF0000"/>
        <rFont val="Calibri"/>
      </rPr>
      <t>(5)</t>
    </r>
  </si>
  <si>
    <t>Lantus 45 U NR 10-9-8</t>
  </si>
  <si>
    <r>
      <rPr>
        <b/>
        <sz val="11"/>
        <color theme="1"/>
        <rFont val="Calibri"/>
      </rPr>
      <t>ESTRELLA DINORAH ALMENDARES CASTRO  (10/03/26)</t>
    </r>
    <r>
      <rPr>
        <b/>
        <sz val="11"/>
        <color rgb="FFFFC000"/>
        <rFont val="Calibri"/>
      </rPr>
      <t xml:space="preserve">  </t>
    </r>
    <r>
      <rPr>
        <b/>
        <sz val="11"/>
        <color rgb="FFFF0000"/>
        <rFont val="Calibri"/>
      </rPr>
      <t>(6)</t>
    </r>
  </si>
  <si>
    <t>118 min</t>
  </si>
  <si>
    <r>
      <rPr>
        <b/>
        <sz val="11"/>
        <color theme="1"/>
        <rFont val="Calibri"/>
      </rPr>
      <t>LUIS JEANCARLO ZELAYA HERNANDEZ  (03/03/26)</t>
    </r>
    <r>
      <rPr>
        <b/>
        <sz val="11"/>
        <color rgb="FF9900FF"/>
        <rFont val="Calibri"/>
      </rPr>
      <t xml:space="preserve"> </t>
    </r>
    <r>
      <rPr>
        <b/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>(5)</t>
    </r>
  </si>
  <si>
    <t>50 MIN</t>
  </si>
  <si>
    <t>Lantus 10 U AC NR 4-4-4</t>
  </si>
  <si>
    <t>Plan de alimentacion 2000 calorias /No sabe como se despego el 4to MCG</t>
  </si>
  <si>
    <r>
      <rPr>
        <b/>
        <sz val="11"/>
        <color theme="1"/>
        <rFont val="Calibri"/>
      </rPr>
      <t xml:space="preserve">MILEIDY SARAY MANCIA ZAVALA  (25/02/26)  </t>
    </r>
    <r>
      <rPr>
        <b/>
        <sz val="11"/>
        <color rgb="FFFF0000"/>
        <rFont val="Calibri"/>
      </rPr>
      <t>(4)</t>
    </r>
  </si>
  <si>
    <t>111 min</t>
  </si>
  <si>
    <r>
      <rPr>
        <b/>
        <sz val="11"/>
        <color theme="1"/>
        <rFont val="Calibri"/>
      </rPr>
      <t xml:space="preserve">ELSY SARAY MEJIA LAGOS  (16/02/26)  </t>
    </r>
    <r>
      <rPr>
        <b/>
        <sz val="11"/>
        <color rgb="FFFF0000"/>
        <rFont val="Calibri"/>
      </rPr>
      <t>(5)</t>
    </r>
  </si>
  <si>
    <t>138 min</t>
  </si>
  <si>
    <t>73 min</t>
  </si>
  <si>
    <t>Lantus 26 U AC NR 7-7-6</t>
  </si>
  <si>
    <r>
      <rPr>
        <b/>
        <sz val="11"/>
        <color rgb="FF000000"/>
        <rFont val="Calibri"/>
      </rPr>
      <t xml:space="preserve">JAFETH DAVID MONDRAGON NUÑEZ  (05/03/26) </t>
    </r>
    <r>
      <rPr>
        <b/>
        <sz val="11"/>
        <color rgb="FFFF0000"/>
        <rFont val="Calibri"/>
      </rPr>
      <t>(5)</t>
    </r>
  </si>
  <si>
    <t>45 MIN</t>
  </si>
  <si>
    <t>76 min</t>
  </si>
  <si>
    <t>Lantus 29 U NR 6-7-6</t>
  </si>
  <si>
    <t>*Cita en Adultos 10/04/26 a las 11:00horas</t>
  </si>
  <si>
    <r>
      <rPr>
        <b/>
        <sz val="11"/>
        <color rgb="FF000000"/>
        <rFont val="Calibri"/>
      </rPr>
      <t xml:space="preserve">ODALIS MICHELLE PAGAN MENCIA  (06/03/26) </t>
    </r>
    <r>
      <rPr>
        <b/>
        <sz val="11"/>
        <color rgb="FFFF0000"/>
        <rFont val="Calibri"/>
      </rPr>
      <t>(5)</t>
    </r>
  </si>
  <si>
    <t>38 MIN</t>
  </si>
  <si>
    <t>Pen dato</t>
  </si>
  <si>
    <r>
      <rPr>
        <b/>
        <sz val="11"/>
        <color rgb="FF000000"/>
        <rFont val="Calibri"/>
      </rPr>
      <t xml:space="preserve">MATEO FARID WOODS PON  (06/03/26) </t>
    </r>
    <r>
      <rPr>
        <b/>
        <sz val="11"/>
        <color rgb="FFFF0000"/>
        <rFont val="Calibri"/>
      </rPr>
      <t>(4) 5MCG en uso</t>
    </r>
  </si>
  <si>
    <t>Lantus 24 U NR 4-2-3</t>
  </si>
  <si>
    <t>Pend dato</t>
  </si>
  <si>
    <r>
      <rPr>
        <b/>
        <sz val="11"/>
        <color rgb="FF000000"/>
        <rFont val="Calibri"/>
      </rPr>
      <t xml:space="preserve">WILSON JOSE TORRES ESCOBAR  (02/03/26) </t>
    </r>
    <r>
      <rPr>
        <b/>
        <sz val="11"/>
        <color rgb="FFFF0000"/>
        <rFont val="Calibri"/>
      </rPr>
      <t>(5) 6 MCG en uso</t>
    </r>
  </si>
  <si>
    <t>39 min</t>
  </si>
  <si>
    <t>Lantus 16 U AC NR 5-5-5</t>
  </si>
  <si>
    <r>
      <rPr>
        <b/>
        <sz val="11"/>
        <color rgb="FF000000"/>
        <rFont val="Calibri"/>
      </rPr>
      <t xml:space="preserve">SAUL ANDRES ESCALANTE GRADIZ  (04/03/26) </t>
    </r>
    <r>
      <rPr>
        <b/>
        <sz val="11"/>
        <color rgb="FFFF0000"/>
        <rFont val="Calibri"/>
      </rPr>
      <t>(5)</t>
    </r>
  </si>
  <si>
    <t>61 MIN</t>
  </si>
  <si>
    <t>Lantus 15 U AC NR 4-4-2</t>
  </si>
  <si>
    <r>
      <rPr>
        <b/>
        <sz val="11"/>
        <color rgb="FF000000"/>
        <rFont val="Calibri"/>
      </rPr>
      <t xml:space="preserve">BIANCA VALENTINA ALMENDAREZ CHACON  (04/03/26) </t>
    </r>
    <r>
      <rPr>
        <b/>
        <sz val="11"/>
        <color rgb="FFFF0000"/>
        <rFont val="Calibri"/>
      </rPr>
      <t>(5) 6 MCG en uso</t>
    </r>
  </si>
  <si>
    <t>Lantus 10 U AC NR 5-5-5</t>
  </si>
  <si>
    <r>
      <rPr>
        <b/>
        <sz val="11"/>
        <color rgb="FF000000"/>
        <rFont val="Calibri"/>
      </rPr>
      <t xml:space="preserve">AMY FERNANDA CASTILLO MAIRENA (02/03/26) </t>
    </r>
    <r>
      <rPr>
        <b/>
        <sz val="11"/>
        <color rgb="FFFF0000"/>
        <rFont val="Calibri"/>
      </rPr>
      <t>(5)</t>
    </r>
  </si>
  <si>
    <t>Lantus 20 NR 14-18-11</t>
  </si>
  <si>
    <r>
      <rPr>
        <b/>
        <sz val="11"/>
        <color rgb="FF000000"/>
        <rFont val="Calibri"/>
      </rPr>
      <t xml:space="preserve">HELEN ANAHI ZHEN LARA (05/03/26) </t>
    </r>
    <r>
      <rPr>
        <b/>
        <sz val="11"/>
        <color rgb="FFFF0000"/>
        <rFont val="Calibri"/>
      </rPr>
      <t>(4)</t>
    </r>
  </si>
  <si>
    <t>Lantus 32 U AC NR 5-5-5</t>
  </si>
  <si>
    <r>
      <rPr>
        <b/>
        <sz val="11"/>
        <color rgb="FF000000"/>
        <rFont val="Calibri"/>
      </rPr>
      <t xml:space="preserve">MOISES DAVID CASCO FUNEZ   (06/03/26) </t>
    </r>
    <r>
      <rPr>
        <b/>
        <sz val="11"/>
        <color rgb="FFFF0000"/>
        <rFont val="Calibri"/>
      </rPr>
      <t>(5)</t>
    </r>
  </si>
  <si>
    <t xml:space="preserve"> Lantus 27 U AC NR 8-8-8</t>
  </si>
  <si>
    <r>
      <rPr>
        <b/>
        <sz val="11"/>
        <color rgb="FF000000"/>
        <rFont val="Calibri"/>
      </rPr>
      <t xml:space="preserve">KEYLIN SOLANGE BOLAÑOS STYLES (02/03/26) </t>
    </r>
    <r>
      <rPr>
        <b/>
        <sz val="11"/>
        <color rgb="FFCC0000"/>
        <rFont val="Calibri"/>
      </rPr>
      <t>(6)</t>
    </r>
  </si>
  <si>
    <t>44 MIN</t>
  </si>
  <si>
    <t xml:space="preserve"> Lantus 22 U AC NR 8-8-8</t>
  </si>
  <si>
    <r>
      <rPr>
        <b/>
        <sz val="11"/>
        <color rgb="FF000000"/>
        <rFont val="Calibri"/>
      </rPr>
      <t xml:space="preserve">MARIA FERNANDA MOLINA NUÑEZ (10/03/26) </t>
    </r>
    <r>
      <rPr>
        <b/>
        <sz val="11"/>
        <color rgb="FFFF0000"/>
        <rFont val="Calibri"/>
      </rPr>
      <t>(5)</t>
    </r>
  </si>
  <si>
    <t>Lantus 12 U AC NR 10-11-9</t>
  </si>
  <si>
    <r>
      <rPr>
        <b/>
        <sz val="11"/>
        <color rgb="FF000000"/>
        <rFont val="Calibri"/>
      </rPr>
      <t>DYLIN NICOLLE BEJARANO FUNES</t>
    </r>
    <r>
      <rPr>
        <b/>
        <sz val="11"/>
        <color rgb="FFFFC000"/>
        <rFont val="Calibri"/>
      </rPr>
      <t xml:space="preserve"> </t>
    </r>
    <r>
      <rPr>
        <b/>
        <sz val="11"/>
        <color rgb="FF000000"/>
        <rFont val="Calibri"/>
      </rPr>
      <t xml:space="preserve">(13/03/26) </t>
    </r>
    <r>
      <rPr>
        <b/>
        <sz val="11"/>
        <color rgb="FFFF0000"/>
        <rFont val="Calibri"/>
      </rPr>
      <t>(4)</t>
    </r>
  </si>
  <si>
    <t xml:space="preserve"> Lantus 30 u Metformina BID</t>
  </si>
  <si>
    <r>
      <rPr>
        <b/>
        <sz val="11"/>
        <color rgb="FF000000"/>
        <rFont val="Calibri"/>
      </rPr>
      <t>ANGIE MARIANA IRIAS CASTRO  (03/03/26)</t>
    </r>
    <r>
      <rPr>
        <b/>
        <sz val="11"/>
        <color rgb="FFA61C00"/>
        <rFont val="Calibri"/>
      </rPr>
      <t xml:space="preserve"> (4)</t>
    </r>
  </si>
  <si>
    <t>77 MIN</t>
  </si>
  <si>
    <t>88 MIN</t>
  </si>
  <si>
    <t>Lantus 22 NR 11-13-11</t>
  </si>
  <si>
    <r>
      <rPr>
        <b/>
        <sz val="11"/>
        <color rgb="FF000000"/>
        <rFont val="Calibri"/>
      </rPr>
      <t>NELSON SAMUEL VELASQUEZ VELASQUEZ  (04/03/26)</t>
    </r>
    <r>
      <rPr>
        <b/>
        <sz val="11"/>
        <color rgb="FFFF0000"/>
        <rFont val="Calibri"/>
      </rPr>
      <t xml:space="preserve"> (4)</t>
    </r>
  </si>
  <si>
    <t>355 MIN</t>
  </si>
  <si>
    <t>136 MIN</t>
  </si>
  <si>
    <t>Lantus 32u NR 8 AA Metformina 850mg BID</t>
  </si>
  <si>
    <r>
      <rPr>
        <b/>
        <sz val="11"/>
        <color theme="1"/>
        <rFont val="Calibri"/>
      </rPr>
      <t xml:space="preserve">Yonathan Moises Funes Vindel (11/03/26) </t>
    </r>
    <r>
      <rPr>
        <b/>
        <sz val="11"/>
        <color rgb="FFFF0000"/>
        <rFont val="Calibri"/>
      </rPr>
      <t xml:space="preserve">(4) </t>
    </r>
  </si>
  <si>
    <t>Lantus 24 NR 8-10-10</t>
  </si>
  <si>
    <r>
      <rPr>
        <b/>
        <sz val="11"/>
        <color theme="1"/>
        <rFont val="Calibri"/>
      </rPr>
      <t>ENAN ONAY GOMEZ AVILA</t>
    </r>
    <r>
      <rPr>
        <b/>
        <sz val="11"/>
        <color rgb="FF70AD47"/>
        <rFont val="Calibri"/>
      </rPr>
      <t xml:space="preserve"> </t>
    </r>
    <r>
      <rPr>
        <b/>
        <sz val="11"/>
        <color theme="1"/>
        <rFont val="Calibri"/>
      </rPr>
      <t xml:space="preserve">(13-02-26) </t>
    </r>
    <r>
      <rPr>
        <b/>
        <sz val="11"/>
        <color rgb="FFFF0000"/>
        <rFont val="Calibri"/>
      </rPr>
      <t>(2)</t>
    </r>
    <r>
      <rPr>
        <b/>
        <sz val="11"/>
        <color rgb="FF70AD47"/>
        <rFont val="Calibri"/>
      </rPr>
      <t xml:space="preserve"> </t>
    </r>
  </si>
  <si>
    <t xml:space="preserve">63 min </t>
  </si>
  <si>
    <r>
      <rPr>
        <b/>
        <sz val="11"/>
        <color theme="1"/>
        <rFont val="Calibri"/>
      </rPr>
      <t xml:space="preserve">ROGER VALENTIN GUTIERREZ ESPINOZA  (12/03/26) </t>
    </r>
    <r>
      <rPr>
        <b/>
        <sz val="11"/>
        <color rgb="FFFF0000"/>
        <rFont val="Calibri"/>
      </rPr>
      <t xml:space="preserve">(3) </t>
    </r>
  </si>
  <si>
    <t>P: 45.2Kg (0.5)  Lantus 14 U NR: 4-4-4</t>
  </si>
  <si>
    <t>34 min</t>
  </si>
  <si>
    <t>Lantus 14 NR 5-5-4</t>
  </si>
  <si>
    <t>Pend dato 3 MCG</t>
  </si>
  <si>
    <r>
      <rPr>
        <b/>
        <sz val="11"/>
        <color theme="1"/>
        <rFont val="Calibri"/>
      </rPr>
      <t>KATHERIN MABEL GONZALEZ RAMIREZ (02-03-26)</t>
    </r>
    <r>
      <rPr>
        <b/>
        <sz val="11"/>
        <color rgb="FFFF0000"/>
        <rFont val="Calibri"/>
      </rPr>
      <t xml:space="preserve"> (2)</t>
    </r>
  </si>
  <si>
    <t>Dosis</t>
  </si>
  <si>
    <t>Pend dato 2 MCG</t>
  </si>
  <si>
    <r>
      <rPr>
        <sz val="11"/>
        <color theme="1"/>
        <rFont val="Calibri"/>
      </rPr>
      <t>LOIDA ESTHER DIAZ SALGADO (12/03/26)</t>
    </r>
    <r>
      <rPr>
        <b/>
        <sz val="11"/>
        <color rgb="FFFF0000"/>
        <rFont val="Calibri"/>
      </rPr>
      <t xml:space="preserve"> (1)</t>
    </r>
    <r>
      <rPr>
        <sz val="11"/>
        <color theme="1"/>
        <rFont val="Calibri"/>
      </rPr>
      <t xml:space="preserve">
</t>
    </r>
  </si>
  <si>
    <t>0826-2009-00123</t>
  </si>
  <si>
    <t>Cañada, Valle de Angeles, FM</t>
  </si>
  <si>
    <t>Mx: 8739-9290 Px: 9336-6971</t>
  </si>
  <si>
    <t>P: 52.1Kg (0.7) Lantus 24U NR: 4-6-4</t>
  </si>
  <si>
    <t>107 min</t>
  </si>
  <si>
    <t>Pend dato 1MCG</t>
  </si>
  <si>
    <t>Monitor donado 27/02/26</t>
  </si>
  <si>
    <t>DANIA ROSMERY VASQUEZ MADRID (13/03/26) (1)</t>
  </si>
  <si>
    <t>0309-2009-00069</t>
  </si>
  <si>
    <t>Lejamani, Comayagua</t>
  </si>
  <si>
    <t>Px: 9326-0868 Hx:9754-1512</t>
  </si>
  <si>
    <t>P: 72kg (0.9)  Lantus 32 NR: 12-12-12</t>
  </si>
  <si>
    <t>Pend dato 1 MCG</t>
  </si>
  <si>
    <t>TIR 6</t>
  </si>
  <si>
    <t>TIR 7</t>
  </si>
  <si>
    <t>TAR MA6</t>
  </si>
  <si>
    <t>TAR MA7</t>
  </si>
  <si>
    <t>TAR A6</t>
  </si>
  <si>
    <t>TAR A7</t>
  </si>
  <si>
    <t>TBR B6</t>
  </si>
  <si>
    <t>TBR B7</t>
  </si>
  <si>
    <t>TBR MB6</t>
  </si>
  <si>
    <t>TBR MB7</t>
  </si>
  <si>
    <t>IRG 6</t>
  </si>
  <si>
    <t>IRG 7</t>
  </si>
  <si>
    <t>TA 6</t>
  </si>
  <si>
    <t>TA 7</t>
  </si>
  <si>
    <t>CV 6</t>
  </si>
  <si>
    <t>CV 7</t>
  </si>
  <si>
    <t>GMI 6</t>
  </si>
  <si>
    <t>GMI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</si>
</sst>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/m/yyyy"/>
    <numFmt numFmtId="165" formatCode="d\-m"/>
    <numFmt numFmtId="166" formatCode="d/m/yy"/>
    <numFmt numFmtId="167" formatCode="dd\-mm\-yy"/>
    <numFmt numFmtId="168" formatCode="dd/mm/yy"/>
    <numFmt numFmtId="169" formatCode="0.0%"/>
    <numFmt numFmtId="170" formatCode="0.0"/>
  </numFmts>
  <fonts count="24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30"/>
      <color theme="1"/>
      <name val="Calibri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7"/>
      <color theme="1"/>
      <name val="Calibri"/>
    </font>
    <font>
      <b/>
      <sz val="11"/>
      <color rgb="FF3D85C6"/>
      <name val="Calibri"/>
    </font>
    <font>
      <b/>
      <sz val="11"/>
      <color rgb="FF6AA84F"/>
      <name val="Calibri"/>
    </font>
    <font>
      <b/>
      <sz val="11"/>
      <color rgb="FF000000"/>
      <name val="Calibri"/>
    </font>
    <font>
      <b/>
      <sz val="11"/>
      <color theme="7"/>
      <name val="Calibri"/>
    </font>
    <font>
      <strike/>
      <sz val="11"/>
      <color theme="1"/>
      <name val="Calibri"/>
      <scheme val="minor"/>
    </font>
    <font>
      <b/>
      <strike/>
      <sz val="11"/>
      <color theme="1"/>
      <name val="Calibri"/>
      <scheme val="minor"/>
    </font>
    <font>
      <b/>
      <strike/>
      <sz val="11"/>
      <color rgb="FF000000"/>
      <name val="Calibri"/>
    </font>
    <font>
      <b/>
      <sz val="11"/>
      <color rgb="FFFF0000"/>
      <name val="Calibri"/>
    </font>
    <font>
      <b/>
      <sz val="11"/>
      <color rgb="FF674EA7"/>
      <name val="Calibri"/>
    </font>
    <font>
      <b/>
      <sz val="11"/>
      <color rgb="FFFFC000"/>
      <name val="Calibri"/>
    </font>
    <font>
      <b/>
      <sz val="11"/>
      <color rgb="FF9900FF"/>
      <name val="Calibri"/>
    </font>
    <font>
      <b/>
      <strike/>
      <sz val="11"/>
      <color theme="1"/>
      <name val="Calibri"/>
    </font>
    <font>
      <b/>
      <strike/>
      <sz val="11"/>
      <color rgb="FFFF0000"/>
      <name val="Calibri"/>
    </font>
    <font>
      <b/>
      <sz val="11"/>
      <color rgb="FFCC0000"/>
      <name val="Calibri"/>
    </font>
    <font>
      <b/>
      <sz val="11"/>
      <color rgb="FFA61C00"/>
      <name val="Calibri"/>
    </font>
    <font>
      <b/>
      <sz val="11"/>
      <color rgb="FF70AD47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72">
    <xf numFmtId="0" fontId="0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6" xfId="0" applyFont="1" applyBorder="1"/>
    <xf numFmtId="0" fontId="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6" xfId="0" applyFont="1" applyBorder="1"/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2" xfId="0" applyFont="1" applyBorder="1" applyAlignment="1"/>
    <xf numFmtId="0" fontId="1" fillId="0" borderId="10" xfId="0" applyFont="1" applyBorder="1" applyAlignment="1"/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0" xfId="0" applyFont="1" applyBorder="1"/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6" xfId="0" applyFont="1" applyBorder="1" applyAlignment="1"/>
    <xf numFmtId="0" fontId="1" fillId="0" borderId="2" xfId="0" applyFont="1" applyBorder="1" applyAlignment="1">
      <alignment horizontal="center" vertical="center"/>
    </xf>
    <xf numFmtId="0" fontId="1" fillId="0" borderId="8" xfId="0" applyFont="1" applyBorder="1"/>
    <xf numFmtId="10" fontId="1" fillId="0" borderId="10" xfId="0" applyNumberFormat="1" applyFont="1" applyBorder="1"/>
    <xf numFmtId="0" fontId="1" fillId="0" borderId="6" xfId="0" applyFont="1" applyBorder="1" applyAlignment="1"/>
    <xf numFmtId="0" fontId="6" fillId="0" borderId="10" xfId="0" applyFont="1" applyBorder="1" applyAlignment="1"/>
    <xf numFmtId="0" fontId="1" fillId="0" borderId="4" xfId="0" applyFont="1" applyBorder="1" applyAlignment="1">
      <alignment horizontal="center" vertical="center"/>
    </xf>
    <xf numFmtId="0" fontId="2" fillId="0" borderId="6" xfId="0" applyFont="1" applyBorder="1" applyAlignment="1"/>
    <xf numFmtId="10" fontId="1" fillId="0" borderId="6" xfId="0" applyNumberFormat="1" applyFont="1" applyBorder="1"/>
    <xf numFmtId="10" fontId="1" fillId="0" borderId="6" xfId="0" applyNumberFormat="1" applyFont="1" applyBorder="1" applyAlignment="1"/>
    <xf numFmtId="0" fontId="6" fillId="0" borderId="11" xfId="0" applyFont="1" applyBorder="1"/>
    <xf numFmtId="9" fontId="1" fillId="0" borderId="6" xfId="0" applyNumberFormat="1" applyFont="1" applyBorder="1" applyAlignment="1"/>
    <xf numFmtId="10" fontId="6" fillId="0" borderId="6" xfId="0" applyNumberFormat="1" applyFont="1" applyBorder="1" applyAlignment="1"/>
    <xf numFmtId="0" fontId="8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6" fillId="0" borderId="5" xfId="0" applyFont="1" applyBorder="1"/>
    <xf numFmtId="9" fontId="6" fillId="0" borderId="6" xfId="0" applyNumberFormat="1" applyFont="1" applyBorder="1" applyAlignment="1"/>
    <xf numFmtId="0" fontId="9" fillId="0" borderId="6" xfId="0" applyFont="1" applyBorder="1" applyAlignment="1"/>
    <xf numFmtId="0" fontId="10" fillId="0" borderId="6" xfId="0" applyFont="1" applyBorder="1" applyAlignment="1"/>
    <xf numFmtId="14" fontId="6" fillId="0" borderId="6" xfId="0" applyNumberFormat="1" applyFont="1" applyBorder="1" applyAlignment="1"/>
    <xf numFmtId="16" fontId="1" fillId="0" borderId="6" xfId="0" applyNumberFormat="1" applyFont="1" applyBorder="1"/>
    <xf numFmtId="0" fontId="2" fillId="0" borderId="6" xfId="0" applyFont="1" applyBorder="1" applyAlignment="1">
      <alignment wrapText="1"/>
    </xf>
    <xf numFmtId="9" fontId="1" fillId="0" borderId="6" xfId="0" applyNumberFormat="1" applyFont="1" applyBorder="1"/>
    <xf numFmtId="164" fontId="6" fillId="0" borderId="6" xfId="0" applyNumberFormat="1" applyFont="1" applyBorder="1" applyAlignment="1"/>
    <xf numFmtId="0" fontId="10" fillId="0" borderId="6" xfId="0" applyFont="1" applyBorder="1" applyAlignment="1">
      <alignment wrapText="1"/>
    </xf>
    <xf numFmtId="14" fontId="1" fillId="0" borderId="6" xfId="0" applyNumberFormat="1" applyFont="1" applyBorder="1"/>
    <xf numFmtId="0" fontId="11" fillId="0" borderId="6" xfId="0" applyFont="1" applyBorder="1" applyAlignment="1"/>
    <xf numFmtId="165" fontId="1" fillId="0" borderId="6" xfId="0" applyNumberFormat="1" applyFont="1" applyBorder="1" applyAlignment="1"/>
    <xf numFmtId="166" fontId="6" fillId="0" borderId="6" xfId="0" applyNumberFormat="1" applyFont="1" applyBorder="1" applyAlignment="1"/>
    <xf numFmtId="0" fontId="1" fillId="0" borderId="6" xfId="0" applyFont="1" applyBorder="1" applyAlignment="1">
      <alignment horizontal="center"/>
    </xf>
    <xf numFmtId="0" fontId="12" fillId="0" borderId="6" xfId="0" applyFont="1" applyBorder="1" applyAlignment="1"/>
    <xf numFmtId="0" fontId="12" fillId="0" borderId="6" xfId="0" applyFont="1" applyBorder="1"/>
    <xf numFmtId="0" fontId="13" fillId="0" borderId="6" xfId="0" applyFont="1" applyBorder="1" applyAlignment="1"/>
    <xf numFmtId="10" fontId="12" fillId="0" borderId="6" xfId="0" applyNumberFormat="1" applyFont="1" applyBorder="1" applyAlignment="1"/>
    <xf numFmtId="9" fontId="12" fillId="0" borderId="6" xfId="0" applyNumberFormat="1" applyFont="1" applyBorder="1" applyAlignment="1"/>
    <xf numFmtId="0" fontId="14" fillId="0" borderId="6" xfId="0" applyFont="1" applyBorder="1" applyAlignment="1"/>
    <xf numFmtId="0" fontId="1" fillId="0" borderId="6" xfId="0" applyFont="1" applyBorder="1" applyAlignment="1">
      <alignment wrapText="1"/>
    </xf>
    <xf numFmtId="165" fontId="6" fillId="0" borderId="6" xfId="0" applyNumberFormat="1" applyFont="1" applyBorder="1" applyAlignment="1"/>
    <xf numFmtId="167" fontId="6" fillId="0" borderId="6" xfId="0" applyNumberFormat="1" applyFont="1" applyBorder="1" applyAlignment="1"/>
    <xf numFmtId="168" fontId="6" fillId="0" borderId="0" xfId="0" applyNumberFormat="1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6" fillId="0" borderId="0" xfId="0" applyFont="1" applyAlignment="1"/>
    <xf numFmtId="0" fontId="2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/>
    <xf numFmtId="0" fontId="2" fillId="0" borderId="10" xfId="0" applyFont="1" applyBorder="1" applyAlignment="1"/>
    <xf numFmtId="10" fontId="1" fillId="0" borderId="10" xfId="0" applyNumberFormat="1" applyFont="1" applyBorder="1" applyAlignment="1"/>
    <xf numFmtId="10" fontId="6" fillId="0" borderId="10" xfId="0" applyNumberFormat="1" applyFont="1" applyBorder="1" applyAlignment="1"/>
    <xf numFmtId="14" fontId="6" fillId="0" borderId="0" xfId="0" applyNumberFormat="1" applyFont="1" applyAlignment="1"/>
    <xf numFmtId="164" fontId="6" fillId="0" borderId="0" xfId="0" applyNumberFormat="1" applyFont="1" applyAlignment="1"/>
    <xf numFmtId="14" fontId="1" fillId="0" borderId="0" xfId="0" applyNumberFormat="1" applyFont="1"/>
    <xf numFmtId="166" fontId="6" fillId="0" borderId="0" xfId="0" applyNumberFormat="1" applyFont="1" applyAlignment="1"/>
    <xf numFmtId="10" fontId="6" fillId="0" borderId="0" xfId="0" applyNumberFormat="1" applyFont="1" applyAlignment="1"/>
    <xf numFmtId="0" fontId="1" fillId="0" borderId="0" xfId="0" applyFont="1" applyAlignment="1">
      <alignment wrapText="1"/>
    </xf>
    <xf numFmtId="165" fontId="6" fillId="0" borderId="0" xfId="0" applyNumberFormat="1" applyFont="1" applyAlignment="1"/>
    <xf numFmtId="0" fontId="0" fillId="0" borderId="0" xfId="0" applyFont="1" applyAlignment="1"/>
    <xf numFmtId="0" fontId="3" fillId="0" borderId="3" xfId="0" applyFont="1" applyBorder="1" applyAlignment="1">
      <alignment vertical="center" wrapText="1"/>
    </xf>
    <xf numFmtId="0" fontId="5" fillId="0" borderId="9" xfId="0" applyFont="1" applyBorder="1" applyAlignment="1"/>
    <xf numFmtId="0" fontId="5" fillId="0" borderId="10" xfId="0" applyFont="1" applyBorder="1" applyAlignment="1"/>
    <xf numFmtId="0" fontId="4" fillId="0" borderId="3" xfId="0" applyFont="1" applyBorder="1" applyAlignment="1">
      <alignment vertical="center" wrapText="1"/>
    </xf>
    <xf numFmtId="10" fontId="0" fillId="0" borderId="0" xfId="0" applyNumberFormat="1" applyFont="1" applyAlignment="1"/>
    <xf numFmtId="169" fontId="0" fillId="0" borderId="0" xfId="0" applyNumberFormat="1" applyFont="1" applyAlignment="1"/>
    <xf numFmtId="0" fontId="2" fillId="0" borderId="3" xfId="0" applyFont="1" applyBorder="1" applyAlignment="1"/>
    <xf numFmtId="0" fontId="2" fillId="0" borderId="16" xfId="0" applyFont="1" applyBorder="1" applyAlignment="1"/>
    <xf numFmtId="0" fontId="2" fillId="0" borderId="0" xfId="0" applyFont="1" applyFill="1" applyBorder="1" applyAlignment="1"/>
    <xf numFmtId="0" fontId="10" fillId="0" borderId="9" xfId="0" applyFont="1" applyFill="1" applyBorder="1" applyAlignment="1"/>
    <xf numFmtId="0" fontId="10" fillId="0" borderId="0" xfId="0" applyFont="1" applyFill="1" applyBorder="1" applyAlignment="1"/>
    <xf numFmtId="0" fontId="1" fillId="0" borderId="16" xfId="0" applyFont="1" applyBorder="1" applyAlignment="1"/>
    <xf numFmtId="0" fontId="0" fillId="0" borderId="0" xfId="0" applyFont="1" applyAlignment="1"/>
    <xf numFmtId="0" fontId="2" fillId="0" borderId="0" xfId="0" applyFont="1" applyBorder="1" applyAlignment="1"/>
    <xf numFmtId="169" fontId="0" fillId="0" borderId="0" xfId="0" applyNumberFormat="1" applyFont="1" applyBorder="1" applyAlignment="1"/>
    <xf numFmtId="169" fontId="6" fillId="0" borderId="0" xfId="0" applyNumberFormat="1" applyFont="1" applyBorder="1"/>
    <xf numFmtId="0" fontId="0" fillId="0" borderId="0" xfId="0" applyFont="1" applyFill="1" applyBorder="1" applyAlignment="1"/>
    <xf numFmtId="170" fontId="0" fillId="0" borderId="0" xfId="0" applyNumberFormat="1" applyFont="1" applyAlignment="1"/>
    <xf numFmtId="0" fontId="0" fillId="0" borderId="0" xfId="0" applyFont="1" applyAlignme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1" fillId="2" borderId="6" xfId="0" applyFont="1" applyFill="1" applyBorder="1"/>
    <xf numFmtId="0" fontId="1" fillId="2" borderId="6" xfId="0" applyFont="1" applyFill="1" applyBorder="1" applyAlignment="1"/>
    <xf numFmtId="0" fontId="6" fillId="2" borderId="6" xfId="0" applyFont="1" applyFill="1" applyBorder="1" applyAlignment="1"/>
    <xf numFmtId="0" fontId="1" fillId="3" borderId="6" xfId="0" applyFont="1" applyFill="1" applyBorder="1"/>
    <xf numFmtId="0" fontId="1" fillId="4" borderId="6" xfId="0" applyFont="1" applyFill="1" applyBorder="1"/>
    <xf numFmtId="0" fontId="6" fillId="4" borderId="6" xfId="0" applyFont="1" applyFill="1" applyBorder="1" applyAlignment="1"/>
    <xf numFmtId="0" fontId="1" fillId="5" borderId="6" xfId="0" applyFont="1" applyFill="1" applyBorder="1"/>
    <xf numFmtId="0" fontId="1" fillId="6" borderId="6" xfId="0" applyFont="1" applyFill="1" applyBorder="1"/>
    <xf numFmtId="0" fontId="6" fillId="6" borderId="6" xfId="0" applyFont="1" applyFill="1" applyBorder="1" applyAlignment="1"/>
    <xf numFmtId="0" fontId="6" fillId="6" borderId="0" xfId="0" applyFont="1" applyFill="1" applyAlignment="1"/>
    <xf numFmtId="0" fontId="1" fillId="7" borderId="6" xfId="0" applyFont="1" applyFill="1" applyBorder="1"/>
    <xf numFmtId="0" fontId="6" fillId="5" borderId="6" xfId="0" applyFont="1" applyFill="1" applyBorder="1" applyAlignment="1"/>
    <xf numFmtId="0" fontId="6" fillId="5" borderId="0" xfId="0" applyFont="1" applyFill="1" applyAlignment="1"/>
    <xf numFmtId="169" fontId="0" fillId="0" borderId="0" xfId="1" applyNumberFormat="1" applyFont="1" applyAlignment="1"/>
    <xf numFmtId="0" fontId="1" fillId="0" borderId="0" xfId="0" applyFont="1" applyBorder="1" applyAlignment="1"/>
    <xf numFmtId="2" fontId="0" fillId="0" borderId="0" xfId="0" applyNumberFormat="1" applyFont="1" applyAlignme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0" fillId="0" borderId="16" xfId="0" applyFont="1" applyBorder="1" applyAlignment="1"/>
    <xf numFmtId="169" fontId="0" fillId="0" borderId="16" xfId="0" applyNumberFormat="1" applyFont="1" applyBorder="1" applyAlignme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Font="1" applyAlignment="1"/>
    <xf numFmtId="169" fontId="1" fillId="0" borderId="6" xfId="1" applyNumberFormat="1" applyFont="1" applyBorder="1" applyAlignment="1"/>
    <xf numFmtId="169" fontId="6" fillId="0" borderId="6" xfId="1" applyNumberFormat="1" applyFont="1" applyBorder="1" applyAlignment="1"/>
    <xf numFmtId="169" fontId="0" fillId="0" borderId="6" xfId="1" applyNumberFormat="1" applyFont="1" applyBorder="1" applyAlignme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Font="1" applyAlignment="1"/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2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8" xfId="0" applyFont="1" applyBorder="1"/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5" fillId="0" borderId="13" xfId="0" applyFont="1" applyBorder="1"/>
    <xf numFmtId="0" fontId="2" fillId="0" borderId="7" xfId="0" applyFont="1" applyBorder="1" applyAlignment="1">
      <alignment horizontal="center" vertical="center"/>
    </xf>
    <xf numFmtId="0" fontId="5" fillId="0" borderId="14" xfId="0" applyFont="1" applyBorder="1"/>
    <xf numFmtId="0" fontId="2" fillId="0" borderId="14" xfId="0" applyFont="1" applyBorder="1" applyAlignment="1">
      <alignment horizontal="center"/>
    </xf>
    <xf numFmtId="0" fontId="5" fillId="0" borderId="15" xfId="0" applyFont="1" applyBorder="1"/>
    <xf numFmtId="0" fontId="3" fillId="0" borderId="3" xfId="0" applyFont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Font="1" applyBorder="1" applyAlignment="1"/>
    <xf numFmtId="0" fontId="0" fillId="0" borderId="9" xfId="0" applyFont="1" applyFill="1" applyBorder="1" applyAlignment="1"/>
    <xf numFmtId="10" fontId="6" fillId="0" borderId="6" xfId="1" applyNumberFormat="1" applyFont="1" applyBorder="1" applyAlignment="1"/>
    <xf numFmtId="0" fontId="6" fillId="0" borderId="3" xfId="0" applyFont="1" applyBorder="1" applyAlignment="1"/>
    <xf numFmtId="10" fontId="6" fillId="0" borderId="3" xfId="0" applyNumberFormat="1" applyFont="1" applyBorder="1" applyAlignment="1"/>
    <xf numFmtId="0" fontId="6" fillId="0" borderId="3" xfId="0" applyFont="1" applyBorder="1"/>
    <xf numFmtId="9" fontId="6" fillId="0" borderId="3" xfId="0" applyNumberFormat="1" applyFont="1" applyBorder="1" applyAlignment="1"/>
    <xf numFmtId="0" fontId="6" fillId="0" borderId="16" xfId="0" applyFont="1" applyBorder="1" applyAlignment="1"/>
    <xf numFmtId="0" fontId="0" fillId="0" borderId="16" xfId="0" applyFont="1" applyFill="1" applyBorder="1" applyAlignment="1"/>
    <xf numFmtId="10" fontId="6" fillId="0" borderId="16" xfId="0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B47F2"/>
      <color rgb="FFFF993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B47F2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'HMEP analisis'!$A$47:$A$49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TOTAL</c:v>
                </c:pt>
              </c:strCache>
            </c:strRef>
          </c:cat>
          <c:val>
            <c:numRef>
              <c:f>'HMEP analisis'!$B$47:$B$49</c:f>
              <c:numCache>
                <c:formatCode>General</c:formatCode>
                <c:ptCount val="3"/>
                <c:pt idx="0">
                  <c:v>23</c:v>
                </c:pt>
                <c:pt idx="1">
                  <c:v>13</c:v>
                </c:pt>
                <c:pt idx="2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90752"/>
        <c:axId val="132889072"/>
      </c:barChart>
      <c:catAx>
        <c:axId val="1328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889072"/>
        <c:crosses val="autoZero"/>
        <c:auto val="1"/>
        <c:lblAlgn val="ctr"/>
        <c:lblOffset val="100"/>
        <c:noMultiLvlLbl val="0"/>
      </c:catAx>
      <c:valAx>
        <c:axId val="1328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8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PROCEDENCIA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'HMEP analisis'!$A$62:$A$71</c:f>
              <c:strCache>
                <c:ptCount val="9"/>
                <c:pt idx="0">
                  <c:v>FCO MORAZAN</c:v>
                </c:pt>
                <c:pt idx="1">
                  <c:v>COMAYAGUA</c:v>
                </c:pt>
                <c:pt idx="2">
                  <c:v>CHOLUTECA</c:v>
                </c:pt>
                <c:pt idx="3">
                  <c:v>OLANCHO</c:v>
                </c:pt>
                <c:pt idx="4">
                  <c:v>LA PAZ</c:v>
                </c:pt>
                <c:pt idx="5">
                  <c:v>EL PARAISO</c:v>
                </c:pt>
                <c:pt idx="6">
                  <c:v>INTIBUCA</c:v>
                </c:pt>
                <c:pt idx="7">
                  <c:v>VALLE</c:v>
                </c:pt>
                <c:pt idx="8">
                  <c:v>TOTAL</c:v>
                </c:pt>
              </c:strCache>
            </c:strRef>
          </c:cat>
          <c:val>
            <c:numRef>
              <c:f>'HMEP analisis'!$B$62:$B$71</c:f>
              <c:numCache>
                <c:formatCode>General</c:formatCode>
                <c:ptCount val="10"/>
                <c:pt idx="0">
                  <c:v>19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52064"/>
        <c:axId val="47046320"/>
      </c:barChart>
      <c:catAx>
        <c:axId val="13475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46320"/>
        <c:crosses val="autoZero"/>
        <c:auto val="1"/>
        <c:lblAlgn val="ctr"/>
        <c:lblOffset val="100"/>
        <c:noMultiLvlLbl val="0"/>
      </c:catAx>
      <c:valAx>
        <c:axId val="4704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75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CANTIDAD TOTAL POR EDAD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'HMEP analisis'!$B$54</c:f>
              <c:strCache>
                <c:ptCount val="1"/>
                <c:pt idx="0">
                  <c:v>CANT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'HMEP analisis'!$A$55:$A$58</c:f>
              <c:strCache>
                <c:ptCount val="4"/>
                <c:pt idx="0">
                  <c:v>&lt;10 AÑOS</c:v>
                </c:pt>
                <c:pt idx="1">
                  <c:v>11-15 AÑOS</c:v>
                </c:pt>
                <c:pt idx="2">
                  <c:v>16-18 AÑOS</c:v>
                </c:pt>
                <c:pt idx="3">
                  <c:v>TOTAL</c:v>
                </c:pt>
              </c:strCache>
            </c:strRef>
          </c:cat>
          <c:val>
            <c:numRef>
              <c:f>'HMEP analisis'!$B$55:$B$58</c:f>
              <c:numCache>
                <c:formatCode>General</c:formatCode>
                <c:ptCount val="4"/>
                <c:pt idx="0">
                  <c:v>8</c:v>
                </c:pt>
                <c:pt idx="1">
                  <c:v>19</c:v>
                </c:pt>
                <c:pt idx="2">
                  <c:v>9</c:v>
                </c:pt>
                <c:pt idx="3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785712"/>
        <c:axId val="213790192"/>
      </c:barChart>
      <c:catAx>
        <c:axId val="21378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790192"/>
        <c:crosses val="autoZero"/>
        <c:auto val="1"/>
        <c:lblAlgn val="ctr"/>
        <c:lblOffset val="100"/>
        <c:noMultiLvlLbl val="0"/>
      </c:catAx>
      <c:valAx>
        <c:axId val="21379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78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CANTIDAD NIÑAS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'HMEP analisis'!$B$74</c:f>
              <c:strCache>
                <c:ptCount val="1"/>
                <c:pt idx="0">
                  <c:v>CANT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'HMEP analisis'!$A$75:$A$78</c:f>
              <c:strCache>
                <c:ptCount val="4"/>
                <c:pt idx="0">
                  <c:v>&lt;10 AÑOS</c:v>
                </c:pt>
                <c:pt idx="1">
                  <c:v>11-15 AÑOS</c:v>
                </c:pt>
                <c:pt idx="2">
                  <c:v>16-18 AÑOS</c:v>
                </c:pt>
                <c:pt idx="3">
                  <c:v>TOTAL</c:v>
                </c:pt>
              </c:strCache>
            </c:strRef>
          </c:cat>
          <c:val>
            <c:numRef>
              <c:f>'HMEP analisis'!$B$75:$B$78</c:f>
              <c:numCache>
                <c:formatCode>General</c:formatCode>
                <c:ptCount val="4"/>
                <c:pt idx="0">
                  <c:v>5</c:v>
                </c:pt>
                <c:pt idx="1">
                  <c:v>13</c:v>
                </c:pt>
                <c:pt idx="2">
                  <c:v>5</c:v>
                </c:pt>
                <c:pt idx="3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43936"/>
        <c:axId val="132143376"/>
      </c:barChart>
      <c:catAx>
        <c:axId val="13214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43376"/>
        <c:crosses val="autoZero"/>
        <c:auto val="1"/>
        <c:lblAlgn val="ctr"/>
        <c:lblOffset val="100"/>
        <c:noMultiLvlLbl val="0"/>
      </c:catAx>
      <c:valAx>
        <c:axId val="1321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4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CANTIDAD NIÑOS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'HMEP analisis'!$B$82</c:f>
              <c:strCache>
                <c:ptCount val="1"/>
                <c:pt idx="0">
                  <c:v>CANT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'HMEP analisis'!$A$83:$A$86</c:f>
              <c:strCache>
                <c:ptCount val="4"/>
                <c:pt idx="0">
                  <c:v>&lt;10 AÑOS</c:v>
                </c:pt>
                <c:pt idx="1">
                  <c:v>11-15 AÑOS</c:v>
                </c:pt>
                <c:pt idx="2">
                  <c:v>16-18 AÑOS</c:v>
                </c:pt>
                <c:pt idx="3">
                  <c:v>TOTAL</c:v>
                </c:pt>
              </c:strCache>
            </c:strRef>
          </c:cat>
          <c:val>
            <c:numRef>
              <c:f>'HMEP analisis'!$B$83:$B$86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613360"/>
        <c:axId val="219613920"/>
      </c:barChart>
      <c:catAx>
        <c:axId val="21961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613920"/>
        <c:crosses val="autoZero"/>
        <c:auto val="1"/>
        <c:lblAlgn val="ctr"/>
        <c:lblOffset val="100"/>
        <c:noMultiLvlLbl val="0"/>
      </c:catAx>
      <c:valAx>
        <c:axId val="2196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6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TIR!$C$42</c:f>
              <c:strCache>
                <c:ptCount val="1"/>
                <c:pt idx="0">
                  <c:v>PROMEDIO GENERAL TIR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TIR!$F$4:$L$4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TIR!$F$42:$L$42</c:f>
              <c:numCache>
                <c:formatCode>0.0%</c:formatCode>
                <c:ptCount val="7"/>
                <c:pt idx="0">
                  <c:v>0.62479411764705883</c:v>
                </c:pt>
                <c:pt idx="1">
                  <c:v>0.70738235294117635</c:v>
                </c:pt>
                <c:pt idx="2">
                  <c:v>0.73</c:v>
                </c:pt>
                <c:pt idx="3">
                  <c:v>0.72220967741935482</c:v>
                </c:pt>
                <c:pt idx="4">
                  <c:v>0.76408695652173919</c:v>
                </c:pt>
                <c:pt idx="5">
                  <c:v>0.75981818181818173</c:v>
                </c:pt>
                <c:pt idx="6">
                  <c:v>0.72799999999999998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616160"/>
        <c:axId val="219616720"/>
      </c:barChart>
      <c:catAx>
        <c:axId val="21961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616720"/>
        <c:crosses val="autoZero"/>
        <c:auto val="1"/>
        <c:lblAlgn val="ctr"/>
        <c:lblOffset val="100"/>
        <c:noMultiLvlLbl val="0"/>
      </c:catAx>
      <c:valAx>
        <c:axId val="21961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61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TIR!$C$72</c:f>
              <c:strCache>
                <c:ptCount val="1"/>
                <c:pt idx="0">
                  <c:v>PROMEDIO NIÑAS TIR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TIR!$D$46:$J$46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TIR!$D$72:$J$72</c:f>
              <c:numCache>
                <c:formatCode>0.0%</c:formatCode>
                <c:ptCount val="7"/>
                <c:pt idx="0">
                  <c:v>0.62368181818181812</c:v>
                </c:pt>
                <c:pt idx="1">
                  <c:v>0.71076190476190471</c:v>
                </c:pt>
                <c:pt idx="2">
                  <c:v>0.70194999999999996</c:v>
                </c:pt>
                <c:pt idx="3">
                  <c:v>0.68937499999999985</c:v>
                </c:pt>
                <c:pt idx="4">
                  <c:v>0.75253333333333339</c:v>
                </c:pt>
                <c:pt idx="5">
                  <c:v>0.79600000000000004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618960"/>
        <c:axId val="219619520"/>
      </c:barChart>
      <c:catAx>
        <c:axId val="21961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619520"/>
        <c:crosses val="autoZero"/>
        <c:auto val="1"/>
        <c:lblAlgn val="ctr"/>
        <c:lblOffset val="100"/>
        <c:noMultiLvlLbl val="0"/>
      </c:catAx>
      <c:valAx>
        <c:axId val="2196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61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TIR!$C$90</c:f>
              <c:strCache>
                <c:ptCount val="1"/>
                <c:pt idx="0">
                  <c:v>PROMEDIO NIÑOS TIR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TIR!$D$75:$J$75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TIR!$D$90:$J$90</c:f>
              <c:numCache>
                <c:formatCode>0.0%</c:formatCode>
                <c:ptCount val="7"/>
                <c:pt idx="0">
                  <c:v>0.56941666666666657</c:v>
                </c:pt>
                <c:pt idx="1">
                  <c:v>0.68908333333333349</c:v>
                </c:pt>
                <c:pt idx="2">
                  <c:v>0.76590909090909076</c:v>
                </c:pt>
                <c:pt idx="3">
                  <c:v>0.78190909090909078</c:v>
                </c:pt>
                <c:pt idx="4">
                  <c:v>0.78574999999999995</c:v>
                </c:pt>
                <c:pt idx="5">
                  <c:v>0.66333333333333333</c:v>
                </c:pt>
                <c:pt idx="6">
                  <c:v>0.72799999999999998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420016"/>
        <c:axId val="218420576"/>
      </c:barChart>
      <c:catAx>
        <c:axId val="21842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8420576"/>
        <c:crosses val="autoZero"/>
        <c:auto val="1"/>
        <c:lblAlgn val="ctr"/>
        <c:lblOffset val="100"/>
        <c:noMultiLvlLbl val="0"/>
      </c:catAx>
      <c:valAx>
        <c:axId val="21842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842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TIR PROMEDIO POR EDAD NIÑAS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TIR!$C$96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TIR!$D$95:$H$95</c:f>
              <c:strCache>
                <c:ptCount val="5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</c:strCache>
            </c:strRef>
          </c:cat>
          <c:val>
            <c:numRef>
              <c:f>TIR!$D$96:$H$96</c:f>
              <c:numCache>
                <c:formatCode>0.0%</c:formatCode>
                <c:ptCount val="5"/>
                <c:pt idx="0">
                  <c:v>0.70320000000000005</c:v>
                </c:pt>
                <c:pt idx="1">
                  <c:v>0.77480000000000004</c:v>
                </c:pt>
                <c:pt idx="2">
                  <c:v>0.76960000000000006</c:v>
                </c:pt>
                <c:pt idx="3">
                  <c:v>0.73339999999999994</c:v>
                </c:pt>
                <c:pt idx="4">
                  <c:v>0.75275000000000003</c:v>
                </c:pt>
              </c:numCache>
            </c:numRef>
          </c:val>
        </c:ser>
        <c:ser>
          <c:idx val="1"/>
          <c:order val="1"/>
          <c:tx>
            <c:strRef>
              <c:f>TIR!$C$97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TIR!$D$95:$H$95</c:f>
              <c:strCache>
                <c:ptCount val="5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</c:strCache>
            </c:strRef>
          </c:cat>
          <c:val>
            <c:numRef>
              <c:f>TIR!$D$97:$H$97</c:f>
              <c:numCache>
                <c:formatCode>0.0%</c:formatCode>
                <c:ptCount val="5"/>
                <c:pt idx="0">
                  <c:v>0.62292307692307702</c:v>
                </c:pt>
                <c:pt idx="1">
                  <c:v>0.69699999999999995</c:v>
                </c:pt>
                <c:pt idx="2">
                  <c:v>0.79999999999999993</c:v>
                </c:pt>
                <c:pt idx="3">
                  <c:v>0.698125</c:v>
                </c:pt>
                <c:pt idx="4">
                  <c:v>0.73980000000000001</c:v>
                </c:pt>
              </c:numCache>
            </c:numRef>
          </c:val>
        </c:ser>
        <c:ser>
          <c:idx val="2"/>
          <c:order val="2"/>
          <c:tx>
            <c:strRef>
              <c:f>TIR!$C$98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TIR!$D$95:$H$95</c:f>
              <c:strCache>
                <c:ptCount val="5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</c:strCache>
            </c:strRef>
          </c:cat>
          <c:val>
            <c:numRef>
              <c:f>TIR!$D$98:$H$98</c:f>
              <c:numCache>
                <c:formatCode>0.0%</c:formatCode>
                <c:ptCount val="5"/>
                <c:pt idx="0">
                  <c:v>0.47660000000000002</c:v>
                </c:pt>
                <c:pt idx="1">
                  <c:v>0.66366666666666674</c:v>
                </c:pt>
                <c:pt idx="2">
                  <c:v>0.46366666666666662</c:v>
                </c:pt>
                <c:pt idx="3">
                  <c:v>0.58100000000000007</c:v>
                </c:pt>
                <c:pt idx="4">
                  <c:v>0.879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423936"/>
        <c:axId val="218424496"/>
      </c:barChart>
      <c:catAx>
        <c:axId val="21842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8424496"/>
        <c:crosses val="autoZero"/>
        <c:auto val="1"/>
        <c:lblAlgn val="ctr"/>
        <c:lblOffset val="100"/>
        <c:noMultiLvlLbl val="0"/>
      </c:catAx>
      <c:valAx>
        <c:axId val="218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842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TIR PROMEDIO POR EDAD NIÑOS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TIR!$C$103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TIR!$D$102:$H$102</c:f>
              <c:strCache>
                <c:ptCount val="5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</c:strCache>
            </c:strRef>
          </c:cat>
          <c:val>
            <c:numRef>
              <c:f>TIR!$D$103:$H$103</c:f>
              <c:numCache>
                <c:formatCode>0.0%</c:formatCode>
                <c:ptCount val="5"/>
                <c:pt idx="0">
                  <c:v>0.68066666666666664</c:v>
                </c:pt>
                <c:pt idx="1">
                  <c:v>0.67399999999999993</c:v>
                </c:pt>
                <c:pt idx="2">
                  <c:v>0.7599999999999999</c:v>
                </c:pt>
                <c:pt idx="3">
                  <c:v>0.7350000000000001</c:v>
                </c:pt>
                <c:pt idx="4">
                  <c:v>0.6885</c:v>
                </c:pt>
              </c:numCache>
            </c:numRef>
          </c:val>
        </c:ser>
        <c:ser>
          <c:idx val="1"/>
          <c:order val="1"/>
          <c:tx>
            <c:strRef>
              <c:f>TIR!$C$104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TIR!$D$102:$H$102</c:f>
              <c:strCache>
                <c:ptCount val="5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</c:strCache>
            </c:strRef>
          </c:cat>
          <c:val>
            <c:numRef>
              <c:f>TIR!$D$104:$H$104</c:f>
              <c:numCache>
                <c:formatCode>0.0%</c:formatCode>
                <c:ptCount val="5"/>
                <c:pt idx="0">
                  <c:v>0.55983333333333329</c:v>
                </c:pt>
                <c:pt idx="1">
                  <c:v>0.71366666666666667</c:v>
                </c:pt>
                <c:pt idx="2">
                  <c:v>0.79800000000000004</c:v>
                </c:pt>
                <c:pt idx="3">
                  <c:v>0.77533333333333332</c:v>
                </c:pt>
                <c:pt idx="4">
                  <c:v>0.82279999999999998</c:v>
                </c:pt>
              </c:numCache>
            </c:numRef>
          </c:val>
        </c:ser>
        <c:ser>
          <c:idx val="2"/>
          <c:order val="2"/>
          <c:tx>
            <c:strRef>
              <c:f>TIR!$C$105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TIR!$D$102:$H$102</c:f>
              <c:strCache>
                <c:ptCount val="5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</c:strCache>
            </c:strRef>
          </c:cat>
          <c:val>
            <c:numRef>
              <c:f>TIR!$D$105:$H$105</c:f>
              <c:numCache>
                <c:formatCode>0.0%</c:formatCode>
                <c:ptCount val="5"/>
                <c:pt idx="0">
                  <c:v>0.58199999999999996</c:v>
                </c:pt>
                <c:pt idx="1">
                  <c:v>0.70525000000000004</c:v>
                </c:pt>
                <c:pt idx="2">
                  <c:v>0.751</c:v>
                </c:pt>
                <c:pt idx="3">
                  <c:v>0.82633333333333336</c:v>
                </c:pt>
                <c:pt idx="4">
                  <c:v>0.79500000000000004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911696"/>
        <c:axId val="219912256"/>
      </c:barChart>
      <c:catAx>
        <c:axId val="21991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912256"/>
        <c:crosses val="autoZero"/>
        <c:auto val="1"/>
        <c:lblAlgn val="ctr"/>
        <c:lblOffset val="100"/>
        <c:noMultiLvlLbl val="0"/>
      </c:catAx>
      <c:valAx>
        <c:axId val="21991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91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general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TIR!$C$128</c:f>
              <c:strCache>
                <c:ptCount val="1"/>
                <c:pt idx="0">
                  <c:v>&lt; 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TIR!$D$127:$J$127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TIR!$D$128:$J$128</c:f>
              <c:numCache>
                <c:formatCode>0.0%</c:formatCode>
                <c:ptCount val="7"/>
                <c:pt idx="0">
                  <c:v>0.6692307692307693</c:v>
                </c:pt>
                <c:pt idx="1">
                  <c:v>0.76533333333333342</c:v>
                </c:pt>
                <c:pt idx="2">
                  <c:v>0.75941666666666674</c:v>
                </c:pt>
                <c:pt idx="3">
                  <c:v>0.69081818181818178</c:v>
                </c:pt>
                <c:pt idx="4">
                  <c:v>0.71555555555555561</c:v>
                </c:pt>
                <c:pt idx="5">
                  <c:v>0.78325</c:v>
                </c:pt>
              </c:numCache>
            </c:numRef>
          </c:val>
        </c:ser>
        <c:ser>
          <c:idx val="1"/>
          <c:order val="1"/>
          <c:tx>
            <c:strRef>
              <c:f>TIR!$C$129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TIR!$D$127:$J$127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TIR!$D$129:$J$129</c:f>
              <c:numCache>
                <c:formatCode>0.0%</c:formatCode>
                <c:ptCount val="7"/>
                <c:pt idx="0">
                  <c:v>0.62531249999999994</c:v>
                </c:pt>
                <c:pt idx="1">
                  <c:v>0.73081250000000009</c:v>
                </c:pt>
                <c:pt idx="2">
                  <c:v>0.75464285714285728</c:v>
                </c:pt>
                <c:pt idx="3">
                  <c:v>0.74017857142857124</c:v>
                </c:pt>
                <c:pt idx="4">
                  <c:v>0.78516666666666668</c:v>
                </c:pt>
                <c:pt idx="5">
                  <c:v>0.74642857142857155</c:v>
                </c:pt>
                <c:pt idx="6">
                  <c:v>0.72799999999999998</c:v>
                </c:pt>
              </c:numCache>
            </c:numRef>
          </c:val>
        </c:ser>
        <c:ser>
          <c:idx val="2"/>
          <c:order val="2"/>
          <c:tx>
            <c:strRef>
              <c:f>TIR!$C$130</c:f>
              <c:strCache>
                <c:ptCount val="1"/>
                <c:pt idx="0">
                  <c:v>&gt; 15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TIR!$D$127:$J$127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TIR!$D$130:$J$130</c:f>
              <c:numCache>
                <c:formatCode>0.0%</c:formatCode>
                <c:ptCount val="7"/>
                <c:pt idx="0">
                  <c:v>0.44600000000000001</c:v>
                </c:pt>
                <c:pt idx="1">
                  <c:v>0.69750000000000001</c:v>
                </c:pt>
                <c:pt idx="2">
                  <c:v>0.45899999999999996</c:v>
                </c:pt>
                <c:pt idx="3">
                  <c:v>0.66649999999999998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916176"/>
        <c:axId val="219916736"/>
      </c:barChart>
      <c:catAx>
        <c:axId val="21991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916736"/>
        <c:crosses val="autoZero"/>
        <c:auto val="1"/>
        <c:lblAlgn val="ctr"/>
        <c:lblOffset val="100"/>
        <c:noMultiLvlLbl val="0"/>
      </c:catAx>
      <c:valAx>
        <c:axId val="21991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91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NIÑAS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TIR!$C$134</c:f>
              <c:strCache>
                <c:ptCount val="1"/>
                <c:pt idx="0">
                  <c:v>&lt; 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TIR!$D$133:$J$133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TIR!$D$134:$J$134</c:f>
              <c:numCache>
                <c:formatCode>0.0%</c:formatCode>
                <c:ptCount val="7"/>
                <c:pt idx="0">
                  <c:v>0.64166666666666672</c:v>
                </c:pt>
                <c:pt idx="1">
                  <c:v>0.73949999999999994</c:v>
                </c:pt>
                <c:pt idx="2">
                  <c:v>0.7669999999999999</c:v>
                </c:pt>
                <c:pt idx="3">
                  <c:v>0.71749999999999992</c:v>
                </c:pt>
                <c:pt idx="4">
                  <c:v>0.74442857142857144</c:v>
                </c:pt>
                <c:pt idx="5">
                  <c:v>0.79633333333333345</c:v>
                </c:pt>
              </c:numCache>
            </c:numRef>
          </c:val>
        </c:ser>
        <c:ser>
          <c:idx val="1"/>
          <c:order val="1"/>
          <c:tx>
            <c:strRef>
              <c:f>TIR!$C$135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TIR!$D$133:$J$133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TIR!$D$135:$J$135</c:f>
              <c:numCache>
                <c:formatCode>0.0%</c:formatCode>
                <c:ptCount val="7"/>
                <c:pt idx="0">
                  <c:v>0.60459999999999992</c:v>
                </c:pt>
                <c:pt idx="1">
                  <c:v>0.70189999999999997</c:v>
                </c:pt>
                <c:pt idx="2">
                  <c:v>0.81399999999999995</c:v>
                </c:pt>
                <c:pt idx="3">
                  <c:v>0.70050000000000012</c:v>
                </c:pt>
                <c:pt idx="4">
                  <c:v>0.74257142857142866</c:v>
                </c:pt>
                <c:pt idx="5">
                  <c:v>0.79580000000000006</c:v>
                </c:pt>
              </c:numCache>
            </c:numRef>
          </c:val>
        </c:ser>
        <c:ser>
          <c:idx val="2"/>
          <c:order val="2"/>
          <c:tx>
            <c:strRef>
              <c:f>TIR!$C$136</c:f>
              <c:strCache>
                <c:ptCount val="1"/>
                <c:pt idx="0">
                  <c:v>&gt; 15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TIR!$D$133:$J$133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TIR!$D$136:$J$136</c:f>
              <c:numCache>
                <c:formatCode>0.0%</c:formatCode>
                <c:ptCount val="7"/>
                <c:pt idx="0">
                  <c:v>0.40950000000000003</c:v>
                </c:pt>
                <c:pt idx="1">
                  <c:v>0.745</c:v>
                </c:pt>
                <c:pt idx="2">
                  <c:v>6.3E-2</c:v>
                </c:pt>
                <c:pt idx="3">
                  <c:v>0.46500000000000002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947616"/>
        <c:axId val="219948176"/>
      </c:barChart>
      <c:catAx>
        <c:axId val="21994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948176"/>
        <c:crosses val="autoZero"/>
        <c:auto val="1"/>
        <c:lblAlgn val="ctr"/>
        <c:lblOffset val="100"/>
        <c:noMultiLvlLbl val="0"/>
      </c:catAx>
      <c:valAx>
        <c:axId val="21994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9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NIÑOS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TIR!$C$139</c:f>
              <c:strCache>
                <c:ptCount val="1"/>
                <c:pt idx="0">
                  <c:v>&lt; 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TIR!$D$138:$J$138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TIR!$D$139:$J$139</c:f>
              <c:numCache>
                <c:formatCode>0.0%</c:formatCode>
                <c:ptCount val="7"/>
                <c:pt idx="0">
                  <c:v>0.55049999999999999</c:v>
                </c:pt>
                <c:pt idx="1">
                  <c:v>0.61949999999999994</c:v>
                </c:pt>
                <c:pt idx="2">
                  <c:v>0.74424999999999997</c:v>
                </c:pt>
                <c:pt idx="3">
                  <c:v>0.6196666666666667</c:v>
                </c:pt>
                <c:pt idx="4">
                  <c:v>0.61450000000000005</c:v>
                </c:pt>
                <c:pt idx="5">
                  <c:v>0.74399999999999999</c:v>
                </c:pt>
              </c:numCache>
            </c:numRef>
          </c:val>
        </c:ser>
        <c:ser>
          <c:idx val="1"/>
          <c:order val="1"/>
          <c:tx>
            <c:strRef>
              <c:f>TIR!$C$140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TIR!$D$138:$J$138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TIR!$D$140:$J$140</c:f>
              <c:numCache>
                <c:formatCode>0.0%</c:formatCode>
                <c:ptCount val="7"/>
                <c:pt idx="0">
                  <c:v>0.6472</c:v>
                </c:pt>
                <c:pt idx="1">
                  <c:v>0.77679999999999993</c:v>
                </c:pt>
                <c:pt idx="2">
                  <c:v>0.81059999999999999</c:v>
                </c:pt>
                <c:pt idx="3">
                  <c:v>0.81159999999999999</c:v>
                </c:pt>
                <c:pt idx="4">
                  <c:v>0.84479999999999988</c:v>
                </c:pt>
                <c:pt idx="5">
                  <c:v>0.623</c:v>
                </c:pt>
                <c:pt idx="6">
                  <c:v>0.72799999999999998</c:v>
                </c:pt>
              </c:numCache>
            </c:numRef>
          </c:val>
        </c:ser>
        <c:ser>
          <c:idx val="2"/>
          <c:order val="2"/>
          <c:tx>
            <c:strRef>
              <c:f>TIR!$C$141</c:f>
              <c:strCache>
                <c:ptCount val="1"/>
                <c:pt idx="0">
                  <c:v>&gt; 15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TIR!$D$138:$J$138</c:f>
              <c:strCache>
                <c:ptCount val="7"/>
                <c:pt idx="0">
                  <c:v>TIR 1</c:v>
                </c:pt>
                <c:pt idx="1">
                  <c:v>TIR 2</c:v>
                </c:pt>
                <c:pt idx="2">
                  <c:v>TIR 3</c:v>
                </c:pt>
                <c:pt idx="3">
                  <c:v>TIR 4</c:v>
                </c:pt>
                <c:pt idx="4">
                  <c:v>TIR 5</c:v>
                </c:pt>
                <c:pt idx="5">
                  <c:v>TIR 6</c:v>
                </c:pt>
                <c:pt idx="6">
                  <c:v>TIR 7</c:v>
                </c:pt>
              </c:strCache>
            </c:strRef>
          </c:cat>
          <c:val>
            <c:numRef>
              <c:f>TIR!$D$141:$J$141</c:f>
              <c:numCache>
                <c:formatCode>0.0%</c:formatCode>
                <c:ptCount val="7"/>
                <c:pt idx="0">
                  <c:v>0.51900000000000002</c:v>
                </c:pt>
                <c:pt idx="1">
                  <c:v>0.65</c:v>
                </c:pt>
                <c:pt idx="2">
                  <c:v>0.85499999999999998</c:v>
                </c:pt>
                <c:pt idx="3">
                  <c:v>0.86799999999999999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952096"/>
        <c:axId val="219952656"/>
      </c:barChart>
      <c:catAx>
        <c:axId val="21995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952656"/>
        <c:crosses val="autoZero"/>
        <c:auto val="1"/>
        <c:lblAlgn val="ctr"/>
        <c:lblOffset val="100"/>
        <c:noMultiLvlLbl val="0"/>
      </c:catAx>
      <c:valAx>
        <c:axId val="2199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95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 NIÑAS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TAR!$B$45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TAR!$C$44:$P$45</c:f>
              <c:multiLvlStrCache>
                <c:ptCount val="14"/>
                <c:lvl>
                  <c:pt idx="0">
                    <c:v>19,5%</c:v>
                  </c:pt>
                  <c:pt idx="1">
                    <c:v>16,4%</c:v>
                  </c:pt>
                  <c:pt idx="2">
                    <c:v>14,3%</c:v>
                  </c:pt>
                  <c:pt idx="3">
                    <c:v>17,4%</c:v>
                  </c:pt>
                  <c:pt idx="4">
                    <c:v>17,1%</c:v>
                  </c:pt>
                  <c:pt idx="5">
                    <c:v>13,1%</c:v>
                  </c:pt>
                  <c:pt idx="7">
                    <c:v>15,2%</c:v>
                  </c:pt>
                  <c:pt idx="8">
                    <c:v>8,9%</c:v>
                  </c:pt>
                  <c:pt idx="9">
                    <c:v>6,1%</c:v>
                  </c:pt>
                  <c:pt idx="10">
                    <c:v>8,1%</c:v>
                  </c:pt>
                  <c:pt idx="11">
                    <c:v>3,6%</c:v>
                  </c:pt>
                  <c:pt idx="12">
                    <c:v>2,7%</c:v>
                  </c:pt>
                </c:lvl>
                <c:lvl>
                  <c:pt idx="0">
                    <c:v>TAR A1</c:v>
                  </c:pt>
                  <c:pt idx="1">
                    <c:v>TAR A2</c:v>
                  </c:pt>
                  <c:pt idx="2">
                    <c:v>TAR A3</c:v>
                  </c:pt>
                  <c:pt idx="3">
                    <c:v>TAR A4</c:v>
                  </c:pt>
                  <c:pt idx="4">
                    <c:v>TAR A5</c:v>
                  </c:pt>
                  <c:pt idx="5">
                    <c:v>TAR A6</c:v>
                  </c:pt>
                  <c:pt idx="6">
                    <c:v>TAR A7</c:v>
                  </c:pt>
                  <c:pt idx="7">
                    <c:v>TAR MA1</c:v>
                  </c:pt>
                  <c:pt idx="8">
                    <c:v>TAR MA 2</c:v>
                  </c:pt>
                  <c:pt idx="9">
                    <c:v>TAR MA3</c:v>
                  </c:pt>
                  <c:pt idx="10">
                    <c:v>TAR MA4</c:v>
                  </c:pt>
                  <c:pt idx="11">
                    <c:v>TAR MA5</c:v>
                  </c:pt>
                  <c:pt idx="12">
                    <c:v>TAR MA6</c:v>
                  </c:pt>
                  <c:pt idx="13">
                    <c:v>TAR MA7</c:v>
                  </c:pt>
                </c:lvl>
              </c:multiLvlStrCache>
            </c:multiLvlStrRef>
          </c:cat>
          <c:val>
            <c:numRef>
              <c:f>TAR!$C$45:$P$45</c:f>
              <c:numCache>
                <c:formatCode>0.0%</c:formatCode>
                <c:ptCount val="14"/>
                <c:pt idx="0">
                  <c:v>0.19513043478260872</c:v>
                </c:pt>
                <c:pt idx="1">
                  <c:v>0.16357142857142859</c:v>
                </c:pt>
                <c:pt idx="2">
                  <c:v>0.14325000000000002</c:v>
                </c:pt>
                <c:pt idx="3">
                  <c:v>0.17419999999999997</c:v>
                </c:pt>
                <c:pt idx="4">
                  <c:v>0.17120000000000005</c:v>
                </c:pt>
                <c:pt idx="5">
                  <c:v>0.13137499999999999</c:v>
                </c:pt>
                <c:pt idx="7">
                  <c:v>0.15230434782608696</c:v>
                </c:pt>
                <c:pt idx="8">
                  <c:v>8.8666666666666644E-2</c:v>
                </c:pt>
                <c:pt idx="9">
                  <c:v>6.094999999999999E-2</c:v>
                </c:pt>
                <c:pt idx="10">
                  <c:v>8.1350000000000006E-2</c:v>
                </c:pt>
                <c:pt idx="11">
                  <c:v>3.6266666666666669E-2</c:v>
                </c:pt>
                <c:pt idx="12">
                  <c:v>2.7375E-2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100608"/>
        <c:axId val="220101168"/>
      </c:barChart>
      <c:catAx>
        <c:axId val="22010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101168"/>
        <c:crosses val="autoZero"/>
        <c:auto val="1"/>
        <c:lblAlgn val="ctr"/>
        <c:lblOffset val="100"/>
        <c:noMultiLvlLbl val="0"/>
      </c:catAx>
      <c:valAx>
        <c:axId val="2201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10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 NIÑOS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TAR!$B$49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TAR!$C$48:$P$48</c:f>
              <c:strCache>
                <c:ptCount val="14"/>
                <c:pt idx="0">
                  <c:v>TAR A1</c:v>
                </c:pt>
                <c:pt idx="1">
                  <c:v>TAR A2</c:v>
                </c:pt>
                <c:pt idx="2">
                  <c:v>TAR A3</c:v>
                </c:pt>
                <c:pt idx="3">
                  <c:v>TAR A4</c:v>
                </c:pt>
                <c:pt idx="4">
                  <c:v>TAR A5</c:v>
                </c:pt>
                <c:pt idx="5">
                  <c:v>TAR A6</c:v>
                </c:pt>
                <c:pt idx="6">
                  <c:v>TAR A7</c:v>
                </c:pt>
                <c:pt idx="7">
                  <c:v>TAR MA1</c:v>
                </c:pt>
                <c:pt idx="8">
                  <c:v>TAR MA 2</c:v>
                </c:pt>
                <c:pt idx="9">
                  <c:v>TAR MA3</c:v>
                </c:pt>
                <c:pt idx="10">
                  <c:v>TAR MA4</c:v>
                </c:pt>
                <c:pt idx="11">
                  <c:v>TAR MA5</c:v>
                </c:pt>
                <c:pt idx="12">
                  <c:v>TAR MA6</c:v>
                </c:pt>
                <c:pt idx="13">
                  <c:v>TAR MA7</c:v>
                </c:pt>
              </c:strCache>
            </c:strRef>
          </c:cat>
          <c:val>
            <c:numRef>
              <c:f>TAR!$C$49:$P$49</c:f>
              <c:numCache>
                <c:formatCode>0.0%</c:formatCode>
                <c:ptCount val="14"/>
                <c:pt idx="0">
                  <c:v>0.21961538461538466</c:v>
                </c:pt>
                <c:pt idx="1">
                  <c:v>0.17292307692307693</c:v>
                </c:pt>
                <c:pt idx="2">
                  <c:v>0.13083333333333333</c:v>
                </c:pt>
                <c:pt idx="3">
                  <c:v>0.1248181818181818</c:v>
                </c:pt>
                <c:pt idx="4">
                  <c:v>0.11862499999999999</c:v>
                </c:pt>
                <c:pt idx="5">
                  <c:v>0.14033333333333334</c:v>
                </c:pt>
                <c:pt idx="6">
                  <c:v>0.159</c:v>
                </c:pt>
                <c:pt idx="7">
                  <c:v>0.14884615384615388</c:v>
                </c:pt>
                <c:pt idx="8">
                  <c:v>9.5999999999999988E-2</c:v>
                </c:pt>
                <c:pt idx="9">
                  <c:v>6.4000000000000001E-2</c:v>
                </c:pt>
                <c:pt idx="10">
                  <c:v>4.561538461538462E-2</c:v>
                </c:pt>
                <c:pt idx="11">
                  <c:v>4.9000000000000002E-2</c:v>
                </c:pt>
                <c:pt idx="12">
                  <c:v>0.19</c:v>
                </c:pt>
                <c:pt idx="13">
                  <c:v>9.2999999999999999E-2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103408"/>
        <c:axId val="220103968"/>
      </c:barChart>
      <c:catAx>
        <c:axId val="22010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103968"/>
        <c:crosses val="autoZero"/>
        <c:auto val="1"/>
        <c:lblAlgn val="ctr"/>
        <c:lblOffset val="100"/>
        <c:noMultiLvlLbl val="0"/>
      </c:catAx>
      <c:valAx>
        <c:axId val="22010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10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TAR ALTO NIÑAS Y NIÑOS</a:t>
            </a:r>
          </a:p>
        </c:rich>
      </c:tx>
      <c:layout>
        <c:manualLayout>
          <c:xMode val="edge"/>
          <c:yMode val="edge"/>
          <c:x val="0.2708123359580052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TAR!$B$65</c:f>
              <c:strCache>
                <c:ptCount val="1"/>
                <c:pt idx="0">
                  <c:v>NIÑAS</c:v>
                </c:pt>
              </c:strCache>
            </c:strRef>
          </c:tx>
          <c:spPr>
            <a:solidFill>
              <a:srgbClr val="FB47F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TAR!$C$64:$I$64</c:f>
              <c:strCache>
                <c:ptCount val="7"/>
                <c:pt idx="0">
                  <c:v>TAR A1</c:v>
                </c:pt>
                <c:pt idx="1">
                  <c:v>TAR A2</c:v>
                </c:pt>
                <c:pt idx="2">
                  <c:v>TAR A3</c:v>
                </c:pt>
                <c:pt idx="3">
                  <c:v>TAR A4</c:v>
                </c:pt>
                <c:pt idx="4">
                  <c:v>TAR A5</c:v>
                </c:pt>
                <c:pt idx="5">
                  <c:v>TAR A6</c:v>
                </c:pt>
                <c:pt idx="6">
                  <c:v>TAR A7</c:v>
                </c:pt>
              </c:strCache>
            </c:strRef>
          </c:cat>
          <c:val>
            <c:numRef>
              <c:f>TAR!$C$65:$I$65</c:f>
              <c:numCache>
                <c:formatCode>0.0%</c:formatCode>
                <c:ptCount val="7"/>
                <c:pt idx="0">
                  <c:v>0.19513043478260872</c:v>
                </c:pt>
                <c:pt idx="1">
                  <c:v>0.16357142857142859</c:v>
                </c:pt>
                <c:pt idx="2">
                  <c:v>0.14325000000000002</c:v>
                </c:pt>
                <c:pt idx="3">
                  <c:v>0.17419999999999997</c:v>
                </c:pt>
                <c:pt idx="4">
                  <c:v>0.17120000000000005</c:v>
                </c:pt>
                <c:pt idx="5">
                  <c:v>0.13137499999999999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TAR!$B$66</c:f>
              <c:strCache>
                <c:ptCount val="1"/>
                <c:pt idx="0">
                  <c:v>NIÑOS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TAR!$C$64:$I$64</c:f>
              <c:strCache>
                <c:ptCount val="7"/>
                <c:pt idx="0">
                  <c:v>TAR A1</c:v>
                </c:pt>
                <c:pt idx="1">
                  <c:v>TAR A2</c:v>
                </c:pt>
                <c:pt idx="2">
                  <c:v>TAR A3</c:v>
                </c:pt>
                <c:pt idx="3">
                  <c:v>TAR A4</c:v>
                </c:pt>
                <c:pt idx="4">
                  <c:v>TAR A5</c:v>
                </c:pt>
                <c:pt idx="5">
                  <c:v>TAR A6</c:v>
                </c:pt>
                <c:pt idx="6">
                  <c:v>TAR A7</c:v>
                </c:pt>
              </c:strCache>
            </c:strRef>
          </c:cat>
          <c:val>
            <c:numRef>
              <c:f>TAR!$C$66:$I$66</c:f>
              <c:numCache>
                <c:formatCode>0.0%</c:formatCode>
                <c:ptCount val="7"/>
                <c:pt idx="0">
                  <c:v>0.21961538461538466</c:v>
                </c:pt>
                <c:pt idx="1">
                  <c:v>0.17292307692307693</c:v>
                </c:pt>
                <c:pt idx="2">
                  <c:v>0.13083333333333333</c:v>
                </c:pt>
                <c:pt idx="3">
                  <c:v>0.1248181818181818</c:v>
                </c:pt>
                <c:pt idx="4">
                  <c:v>0.11862499999999999</c:v>
                </c:pt>
                <c:pt idx="5">
                  <c:v>0.14033333333333334</c:v>
                </c:pt>
                <c:pt idx="6">
                  <c:v>0.159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617200"/>
        <c:axId val="220617760"/>
      </c:barChart>
      <c:catAx>
        <c:axId val="22061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617760"/>
        <c:crosses val="autoZero"/>
        <c:auto val="1"/>
        <c:lblAlgn val="ctr"/>
        <c:lblOffset val="100"/>
        <c:noMultiLvlLbl val="0"/>
      </c:catAx>
      <c:valAx>
        <c:axId val="2206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61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TAR MUY ALTO NIÑOS Y NIÑAS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TAR!$B$65</c:f>
              <c:strCache>
                <c:ptCount val="1"/>
                <c:pt idx="0">
                  <c:v>NIÑAS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TAR!$J$64:$P$64</c:f>
              <c:strCache>
                <c:ptCount val="7"/>
                <c:pt idx="0">
                  <c:v>TAR MA1</c:v>
                </c:pt>
                <c:pt idx="1">
                  <c:v>TAR MA 2</c:v>
                </c:pt>
                <c:pt idx="2">
                  <c:v>TAR MA3</c:v>
                </c:pt>
                <c:pt idx="3">
                  <c:v>TAR MA4</c:v>
                </c:pt>
                <c:pt idx="4">
                  <c:v>TAR MA5</c:v>
                </c:pt>
                <c:pt idx="5">
                  <c:v>TAR MA6</c:v>
                </c:pt>
                <c:pt idx="6">
                  <c:v>TAR MA7</c:v>
                </c:pt>
              </c:strCache>
            </c:strRef>
          </c:cat>
          <c:val>
            <c:numRef>
              <c:f>TAR!$J$65:$P$65</c:f>
              <c:numCache>
                <c:formatCode>0.0%</c:formatCode>
                <c:ptCount val="7"/>
                <c:pt idx="0">
                  <c:v>0.15230434782608696</c:v>
                </c:pt>
                <c:pt idx="1">
                  <c:v>8.8666666666666644E-2</c:v>
                </c:pt>
                <c:pt idx="2">
                  <c:v>6.094999999999999E-2</c:v>
                </c:pt>
                <c:pt idx="3">
                  <c:v>8.1350000000000006E-2</c:v>
                </c:pt>
                <c:pt idx="4">
                  <c:v>3.6266666666666669E-2</c:v>
                </c:pt>
                <c:pt idx="5">
                  <c:v>2.7375E-2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TAR!$B$66</c:f>
              <c:strCache>
                <c:ptCount val="1"/>
                <c:pt idx="0">
                  <c:v>NIÑOS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TAR!$J$64:$P$64</c:f>
              <c:strCache>
                <c:ptCount val="7"/>
                <c:pt idx="0">
                  <c:v>TAR MA1</c:v>
                </c:pt>
                <c:pt idx="1">
                  <c:v>TAR MA 2</c:v>
                </c:pt>
                <c:pt idx="2">
                  <c:v>TAR MA3</c:v>
                </c:pt>
                <c:pt idx="3">
                  <c:v>TAR MA4</c:v>
                </c:pt>
                <c:pt idx="4">
                  <c:v>TAR MA5</c:v>
                </c:pt>
                <c:pt idx="5">
                  <c:v>TAR MA6</c:v>
                </c:pt>
                <c:pt idx="6">
                  <c:v>TAR MA7</c:v>
                </c:pt>
              </c:strCache>
            </c:strRef>
          </c:cat>
          <c:val>
            <c:numRef>
              <c:f>TAR!$J$66:$P$66</c:f>
              <c:numCache>
                <c:formatCode>0.0%</c:formatCode>
                <c:ptCount val="7"/>
                <c:pt idx="0">
                  <c:v>0.14884615384615388</c:v>
                </c:pt>
                <c:pt idx="1">
                  <c:v>9.5999999999999988E-2</c:v>
                </c:pt>
                <c:pt idx="2">
                  <c:v>6.4000000000000001E-2</c:v>
                </c:pt>
                <c:pt idx="3">
                  <c:v>4.561538461538462E-2</c:v>
                </c:pt>
                <c:pt idx="4">
                  <c:v>4.9000000000000002E-2</c:v>
                </c:pt>
                <c:pt idx="5">
                  <c:v>0.19</c:v>
                </c:pt>
                <c:pt idx="6">
                  <c:v>9.2999999999999999E-2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621120"/>
        <c:axId val="220621680"/>
      </c:barChart>
      <c:catAx>
        <c:axId val="22062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621680"/>
        <c:crosses val="autoZero"/>
        <c:auto val="1"/>
        <c:lblAlgn val="ctr"/>
        <c:lblOffset val="100"/>
        <c:noMultiLvlLbl val="0"/>
      </c:catAx>
      <c:valAx>
        <c:axId val="2206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62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 ALTO NIÑAS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TAR!$B$53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TAR!$C$52:$I$52</c:f>
              <c:strCache>
                <c:ptCount val="7"/>
                <c:pt idx="0">
                  <c:v>TAR A1</c:v>
                </c:pt>
                <c:pt idx="1">
                  <c:v>TAR A2</c:v>
                </c:pt>
                <c:pt idx="2">
                  <c:v>TAR A3</c:v>
                </c:pt>
                <c:pt idx="3">
                  <c:v>TAR A4</c:v>
                </c:pt>
                <c:pt idx="4">
                  <c:v>TAR A5</c:v>
                </c:pt>
                <c:pt idx="5">
                  <c:v>TAR A6</c:v>
                </c:pt>
                <c:pt idx="6">
                  <c:v>TAR A7</c:v>
                </c:pt>
              </c:strCache>
            </c:strRef>
          </c:cat>
          <c:val>
            <c:numRef>
              <c:f>TAR!$C$53:$I$53</c:f>
              <c:numCache>
                <c:formatCode>0.0%</c:formatCode>
                <c:ptCount val="7"/>
                <c:pt idx="0">
                  <c:v>0.17599999999999999</c:v>
                </c:pt>
                <c:pt idx="1">
                  <c:v>0.15160000000000001</c:v>
                </c:pt>
                <c:pt idx="2">
                  <c:v>0.15460000000000002</c:v>
                </c:pt>
                <c:pt idx="3">
                  <c:v>0.15540000000000001</c:v>
                </c:pt>
                <c:pt idx="4">
                  <c:v>0.17849999999999999</c:v>
                </c:pt>
                <c:pt idx="5">
                  <c:v>8.6999999999999994E-2</c:v>
                </c:pt>
              </c:numCache>
            </c:numRef>
          </c:val>
        </c:ser>
        <c:ser>
          <c:idx val="1"/>
          <c:order val="1"/>
          <c:tx>
            <c:strRef>
              <c:f>TAR!$B$54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TAR!$C$52:$I$52</c:f>
              <c:strCache>
                <c:ptCount val="7"/>
                <c:pt idx="0">
                  <c:v>TAR A1</c:v>
                </c:pt>
                <c:pt idx="1">
                  <c:v>TAR A2</c:v>
                </c:pt>
                <c:pt idx="2">
                  <c:v>TAR A3</c:v>
                </c:pt>
                <c:pt idx="3">
                  <c:v>TAR A4</c:v>
                </c:pt>
                <c:pt idx="4">
                  <c:v>TAR A5</c:v>
                </c:pt>
                <c:pt idx="5">
                  <c:v>TAR A6</c:v>
                </c:pt>
                <c:pt idx="6">
                  <c:v>TAR A7</c:v>
                </c:pt>
              </c:strCache>
            </c:strRef>
          </c:cat>
          <c:val>
            <c:numRef>
              <c:f>TAR!$C$54:$I$54</c:f>
              <c:numCache>
                <c:formatCode>0.0%</c:formatCode>
                <c:ptCount val="7"/>
                <c:pt idx="0">
                  <c:v>0.17676923076923076</c:v>
                </c:pt>
                <c:pt idx="1">
                  <c:v>0.16561538461538461</c:v>
                </c:pt>
                <c:pt idx="2">
                  <c:v>0.13236363636363635</c:v>
                </c:pt>
                <c:pt idx="3">
                  <c:v>0.159</c:v>
                </c:pt>
                <c:pt idx="4">
                  <c:v>0.1777</c:v>
                </c:pt>
                <c:pt idx="5">
                  <c:v>0.13771428571428571</c:v>
                </c:pt>
              </c:numCache>
            </c:numRef>
          </c:val>
        </c:ser>
        <c:ser>
          <c:idx val="2"/>
          <c:order val="2"/>
          <c:tx>
            <c:strRef>
              <c:f>TAR!$B$55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TAR!$C$52:$I$52</c:f>
              <c:strCache>
                <c:ptCount val="7"/>
                <c:pt idx="0">
                  <c:v>TAR A1</c:v>
                </c:pt>
                <c:pt idx="1">
                  <c:v>TAR A2</c:v>
                </c:pt>
                <c:pt idx="2">
                  <c:v>TAR A3</c:v>
                </c:pt>
                <c:pt idx="3">
                  <c:v>TAR A4</c:v>
                </c:pt>
                <c:pt idx="4">
                  <c:v>TAR A5</c:v>
                </c:pt>
                <c:pt idx="5">
                  <c:v>TAR A6</c:v>
                </c:pt>
                <c:pt idx="6">
                  <c:v>TAR A7</c:v>
                </c:pt>
              </c:strCache>
            </c:strRef>
          </c:cat>
          <c:val>
            <c:numRef>
              <c:f>TAR!$C$55:$I$55</c:f>
              <c:numCache>
                <c:formatCode>0.0%</c:formatCode>
                <c:ptCount val="7"/>
                <c:pt idx="0">
                  <c:v>0.26200000000000001</c:v>
                </c:pt>
                <c:pt idx="1">
                  <c:v>0.17466666666666666</c:v>
                </c:pt>
                <c:pt idx="2">
                  <c:v>0.21199999999999999</c:v>
                </c:pt>
                <c:pt idx="3">
                  <c:v>0.26633333333333337</c:v>
                </c:pt>
                <c:pt idx="4">
                  <c:v>7.6999999999999999E-2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508976"/>
        <c:axId val="220509536"/>
      </c:barChart>
      <c:catAx>
        <c:axId val="22050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509536"/>
        <c:crosses val="autoZero"/>
        <c:auto val="1"/>
        <c:lblAlgn val="ctr"/>
        <c:lblOffset val="100"/>
        <c:noMultiLvlLbl val="0"/>
      </c:catAx>
      <c:valAx>
        <c:axId val="22050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50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 MUY ALTO NIÑAS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TAR!$B$53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TAR!$J$52:$P$52</c:f>
              <c:strCache>
                <c:ptCount val="7"/>
                <c:pt idx="0">
                  <c:v>TAR MA1</c:v>
                </c:pt>
                <c:pt idx="1">
                  <c:v>TAR MA 2</c:v>
                </c:pt>
                <c:pt idx="2">
                  <c:v>TAR MA3</c:v>
                </c:pt>
                <c:pt idx="3">
                  <c:v>TAR MA4</c:v>
                </c:pt>
                <c:pt idx="4">
                  <c:v>TAR MA5</c:v>
                </c:pt>
                <c:pt idx="5">
                  <c:v>TAR MA6</c:v>
                </c:pt>
                <c:pt idx="6">
                  <c:v>TAR MA7</c:v>
                </c:pt>
              </c:strCache>
            </c:strRef>
          </c:cat>
          <c:val>
            <c:numRef>
              <c:f>TAR!$J$53:$P$53</c:f>
              <c:numCache>
                <c:formatCode>0.0%</c:formatCode>
                <c:ptCount val="7"/>
                <c:pt idx="0">
                  <c:v>7.8999999999999987E-2</c:v>
                </c:pt>
                <c:pt idx="1">
                  <c:v>4.82E-2</c:v>
                </c:pt>
                <c:pt idx="2">
                  <c:v>5.6750000000000002E-2</c:v>
                </c:pt>
                <c:pt idx="3">
                  <c:v>0.10875</c:v>
                </c:pt>
                <c:pt idx="4">
                  <c:v>4.8250000000000001E-2</c:v>
                </c:pt>
              </c:numCache>
            </c:numRef>
          </c:val>
        </c:ser>
        <c:ser>
          <c:idx val="1"/>
          <c:order val="1"/>
          <c:tx>
            <c:strRef>
              <c:f>TAR!$B$54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TAR!$J$52:$P$52</c:f>
              <c:strCache>
                <c:ptCount val="7"/>
                <c:pt idx="0">
                  <c:v>TAR MA1</c:v>
                </c:pt>
                <c:pt idx="1">
                  <c:v>TAR MA 2</c:v>
                </c:pt>
                <c:pt idx="2">
                  <c:v>TAR MA3</c:v>
                </c:pt>
                <c:pt idx="3">
                  <c:v>TAR MA4</c:v>
                </c:pt>
                <c:pt idx="4">
                  <c:v>TAR MA5</c:v>
                </c:pt>
                <c:pt idx="5">
                  <c:v>TAR MA6</c:v>
                </c:pt>
                <c:pt idx="6">
                  <c:v>TAR MA7</c:v>
                </c:pt>
              </c:strCache>
            </c:strRef>
          </c:cat>
          <c:val>
            <c:numRef>
              <c:f>TAR!$J$54:$P$54</c:f>
              <c:numCache>
                <c:formatCode>0.0%</c:formatCode>
                <c:ptCount val="7"/>
                <c:pt idx="0">
                  <c:v>0.15607692307692306</c:v>
                </c:pt>
                <c:pt idx="1">
                  <c:v>0.10699999999999998</c:v>
                </c:pt>
                <c:pt idx="2">
                  <c:v>2.7166666666666669E-2</c:v>
                </c:pt>
                <c:pt idx="3">
                  <c:v>7.325000000000001E-2</c:v>
                </c:pt>
                <c:pt idx="4">
                  <c:v>3.5099999999999999E-2</c:v>
                </c:pt>
                <c:pt idx="5">
                  <c:v>3.1285714285714285E-2</c:v>
                </c:pt>
              </c:numCache>
            </c:numRef>
          </c:val>
        </c:ser>
        <c:ser>
          <c:idx val="2"/>
          <c:order val="2"/>
          <c:tx>
            <c:strRef>
              <c:f>TAR!$B$55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TAR!$J$52:$P$52</c:f>
              <c:strCache>
                <c:ptCount val="7"/>
                <c:pt idx="0">
                  <c:v>TAR MA1</c:v>
                </c:pt>
                <c:pt idx="1">
                  <c:v>TAR MA 2</c:v>
                </c:pt>
                <c:pt idx="2">
                  <c:v>TAR MA3</c:v>
                </c:pt>
                <c:pt idx="3">
                  <c:v>TAR MA4</c:v>
                </c:pt>
                <c:pt idx="4">
                  <c:v>TAR MA5</c:v>
                </c:pt>
                <c:pt idx="5">
                  <c:v>TAR MA6</c:v>
                </c:pt>
                <c:pt idx="6">
                  <c:v>TAR MA7</c:v>
                </c:pt>
              </c:strCache>
            </c:strRef>
          </c:cat>
          <c:val>
            <c:numRef>
              <c:f>TAR!$J$55:$P$55</c:f>
              <c:numCache>
                <c:formatCode>0.0%</c:formatCode>
                <c:ptCount val="7"/>
                <c:pt idx="0">
                  <c:v>0.21580000000000005</c:v>
                </c:pt>
                <c:pt idx="1">
                  <c:v>7.6666666666666675E-2</c:v>
                </c:pt>
                <c:pt idx="2">
                  <c:v>0.222</c:v>
                </c:pt>
                <c:pt idx="3">
                  <c:v>0.10433333333333333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513456"/>
        <c:axId val="220514016"/>
      </c:barChart>
      <c:catAx>
        <c:axId val="22051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514016"/>
        <c:crosses val="autoZero"/>
        <c:auto val="1"/>
        <c:lblAlgn val="ctr"/>
        <c:lblOffset val="100"/>
        <c:noMultiLvlLbl val="0"/>
      </c:catAx>
      <c:valAx>
        <c:axId val="2205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51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 ALTO NIÑOS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TAR!$B$59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TAR!$C$58:$I$58</c:f>
              <c:strCache>
                <c:ptCount val="7"/>
                <c:pt idx="0">
                  <c:v>TAR A1</c:v>
                </c:pt>
                <c:pt idx="1">
                  <c:v>TAR A2</c:v>
                </c:pt>
                <c:pt idx="2">
                  <c:v>TAR A3</c:v>
                </c:pt>
                <c:pt idx="3">
                  <c:v>TAR A4</c:v>
                </c:pt>
                <c:pt idx="4">
                  <c:v>TAR A5</c:v>
                </c:pt>
                <c:pt idx="5">
                  <c:v>TAR A6</c:v>
                </c:pt>
                <c:pt idx="6">
                  <c:v>TAR A7</c:v>
                </c:pt>
              </c:strCache>
            </c:strRef>
          </c:cat>
          <c:val>
            <c:numRef>
              <c:f>TAR!$C$59:$I$59</c:f>
              <c:numCache>
                <c:formatCode>0.0%</c:formatCode>
                <c:ptCount val="7"/>
                <c:pt idx="0">
                  <c:v>0.15333333333333332</c:v>
                </c:pt>
                <c:pt idx="1">
                  <c:v>0.20333333333333334</c:v>
                </c:pt>
                <c:pt idx="2">
                  <c:v>0.14866666666666667</c:v>
                </c:pt>
                <c:pt idx="3">
                  <c:v>0.13650000000000001</c:v>
                </c:pt>
                <c:pt idx="4">
                  <c:v>0.17399999999999999</c:v>
                </c:pt>
              </c:numCache>
            </c:numRef>
          </c:val>
        </c:ser>
        <c:ser>
          <c:idx val="1"/>
          <c:order val="1"/>
          <c:tx>
            <c:strRef>
              <c:f>TAR!$B$60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TAR!$C$58:$I$58</c:f>
              <c:strCache>
                <c:ptCount val="7"/>
                <c:pt idx="0">
                  <c:v>TAR A1</c:v>
                </c:pt>
                <c:pt idx="1">
                  <c:v>TAR A2</c:v>
                </c:pt>
                <c:pt idx="2">
                  <c:v>TAR A3</c:v>
                </c:pt>
                <c:pt idx="3">
                  <c:v>TAR A4</c:v>
                </c:pt>
                <c:pt idx="4">
                  <c:v>TAR A5</c:v>
                </c:pt>
                <c:pt idx="5">
                  <c:v>TAR A6</c:v>
                </c:pt>
                <c:pt idx="6">
                  <c:v>TAR A7</c:v>
                </c:pt>
              </c:strCache>
            </c:strRef>
          </c:cat>
          <c:val>
            <c:numRef>
              <c:f>TAR!$C$60:$I$60</c:f>
              <c:numCache>
                <c:formatCode>0.0%</c:formatCode>
                <c:ptCount val="7"/>
                <c:pt idx="0">
                  <c:v>0.22750000000000001</c:v>
                </c:pt>
                <c:pt idx="1">
                  <c:v>0.15883333333333333</c:v>
                </c:pt>
                <c:pt idx="2">
                  <c:v>0.11733333333333333</c:v>
                </c:pt>
                <c:pt idx="3">
                  <c:v>0.12333333333333334</c:v>
                </c:pt>
                <c:pt idx="4">
                  <c:v>9.5000000000000001E-2</c:v>
                </c:pt>
                <c:pt idx="5">
                  <c:v>0.14033333333333334</c:v>
                </c:pt>
                <c:pt idx="6">
                  <c:v>0.159</c:v>
                </c:pt>
              </c:numCache>
            </c:numRef>
          </c:val>
        </c:ser>
        <c:ser>
          <c:idx val="2"/>
          <c:order val="2"/>
          <c:tx>
            <c:strRef>
              <c:f>TAR!$B$61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TAR!$C$58:$I$58</c:f>
              <c:strCache>
                <c:ptCount val="7"/>
                <c:pt idx="0">
                  <c:v>TAR A1</c:v>
                </c:pt>
                <c:pt idx="1">
                  <c:v>TAR A2</c:v>
                </c:pt>
                <c:pt idx="2">
                  <c:v>TAR A3</c:v>
                </c:pt>
                <c:pt idx="3">
                  <c:v>TAR A4</c:v>
                </c:pt>
                <c:pt idx="4">
                  <c:v>TAR A5</c:v>
                </c:pt>
                <c:pt idx="5">
                  <c:v>TAR A6</c:v>
                </c:pt>
                <c:pt idx="6">
                  <c:v>TAR A7</c:v>
                </c:pt>
              </c:strCache>
            </c:strRef>
          </c:cat>
          <c:val>
            <c:numRef>
              <c:f>TAR!$C$61:$I$61</c:f>
              <c:numCache>
                <c:formatCode>0.0%</c:formatCode>
                <c:ptCount val="7"/>
                <c:pt idx="0">
                  <c:v>0.25750000000000001</c:v>
                </c:pt>
                <c:pt idx="1">
                  <c:v>0.17125000000000001</c:v>
                </c:pt>
                <c:pt idx="2">
                  <c:v>0.13999999999999999</c:v>
                </c:pt>
                <c:pt idx="3">
                  <c:v>0.12</c:v>
                </c:pt>
                <c:pt idx="4">
                  <c:v>0.126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968384"/>
        <c:axId val="220968944"/>
      </c:barChart>
      <c:catAx>
        <c:axId val="22096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968944"/>
        <c:crosses val="autoZero"/>
        <c:auto val="1"/>
        <c:lblAlgn val="ctr"/>
        <c:lblOffset val="100"/>
        <c:noMultiLvlLbl val="0"/>
      </c:catAx>
      <c:valAx>
        <c:axId val="22096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96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 MUY ALTO NIÑOS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TAR!$B$59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TAR!$J$58:$P$58</c:f>
              <c:strCache>
                <c:ptCount val="7"/>
                <c:pt idx="0">
                  <c:v>TAR MA1</c:v>
                </c:pt>
                <c:pt idx="1">
                  <c:v>TAR MA 2</c:v>
                </c:pt>
                <c:pt idx="2">
                  <c:v>TAR MA3</c:v>
                </c:pt>
                <c:pt idx="3">
                  <c:v>TAR MA4</c:v>
                </c:pt>
                <c:pt idx="4">
                  <c:v>TAR MA5</c:v>
                </c:pt>
                <c:pt idx="5">
                  <c:v>TAR MA6</c:v>
                </c:pt>
                <c:pt idx="6">
                  <c:v>TAR MA7</c:v>
                </c:pt>
              </c:strCache>
            </c:strRef>
          </c:cat>
          <c:val>
            <c:numRef>
              <c:f>TAR!$J$59:$P$59</c:f>
              <c:numCache>
                <c:formatCode>0.0%</c:formatCode>
                <c:ptCount val="7"/>
                <c:pt idx="0">
                  <c:v>6.2E-2</c:v>
                </c:pt>
                <c:pt idx="1">
                  <c:v>8.900000000000001E-2</c:v>
                </c:pt>
                <c:pt idx="2">
                  <c:v>5.1333333333333335E-2</c:v>
                </c:pt>
                <c:pt idx="3">
                  <c:v>8.7000000000000008E-2</c:v>
                </c:pt>
                <c:pt idx="4">
                  <c:v>9.8500000000000004E-2</c:v>
                </c:pt>
              </c:numCache>
            </c:numRef>
          </c:val>
        </c:ser>
        <c:ser>
          <c:idx val="1"/>
          <c:order val="1"/>
          <c:tx>
            <c:strRef>
              <c:f>TAR!$B$60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TAR!$J$58:$P$58</c:f>
              <c:strCache>
                <c:ptCount val="7"/>
                <c:pt idx="0">
                  <c:v>TAR MA1</c:v>
                </c:pt>
                <c:pt idx="1">
                  <c:v>TAR MA 2</c:v>
                </c:pt>
                <c:pt idx="2">
                  <c:v>TAR MA3</c:v>
                </c:pt>
                <c:pt idx="3">
                  <c:v>TAR MA4</c:v>
                </c:pt>
                <c:pt idx="4">
                  <c:v>TAR MA5</c:v>
                </c:pt>
                <c:pt idx="5">
                  <c:v>TAR MA6</c:v>
                </c:pt>
                <c:pt idx="6">
                  <c:v>TAR MA7</c:v>
                </c:pt>
              </c:strCache>
            </c:strRef>
          </c:cat>
          <c:val>
            <c:numRef>
              <c:f>TAR!$J$60:$P$60</c:f>
              <c:numCache>
                <c:formatCode>0.0%</c:formatCode>
                <c:ptCount val="7"/>
                <c:pt idx="0">
                  <c:v>0.19216666666666668</c:v>
                </c:pt>
                <c:pt idx="1">
                  <c:v>0.11340000000000001</c:v>
                </c:pt>
                <c:pt idx="2">
                  <c:v>6.140000000000001E-2</c:v>
                </c:pt>
                <c:pt idx="3">
                  <c:v>6.7799999999999999E-2</c:v>
                </c:pt>
                <c:pt idx="4">
                  <c:v>5.6333333333333339E-2</c:v>
                </c:pt>
                <c:pt idx="5">
                  <c:v>0.19</c:v>
                </c:pt>
                <c:pt idx="6">
                  <c:v>9.2999999999999999E-2</c:v>
                </c:pt>
              </c:numCache>
            </c:numRef>
          </c:val>
        </c:ser>
        <c:ser>
          <c:idx val="2"/>
          <c:order val="2"/>
          <c:tx>
            <c:strRef>
              <c:f>TAR!$B$61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TAR!$J$58:$P$58</c:f>
              <c:strCache>
                <c:ptCount val="7"/>
                <c:pt idx="0">
                  <c:v>TAR MA1</c:v>
                </c:pt>
                <c:pt idx="1">
                  <c:v>TAR MA 2</c:v>
                </c:pt>
                <c:pt idx="2">
                  <c:v>TAR MA3</c:v>
                </c:pt>
                <c:pt idx="3">
                  <c:v>TAR MA4</c:v>
                </c:pt>
                <c:pt idx="4">
                  <c:v>TAR MA5</c:v>
                </c:pt>
                <c:pt idx="5">
                  <c:v>TAR MA6</c:v>
                </c:pt>
                <c:pt idx="6">
                  <c:v>TAR MA7</c:v>
                </c:pt>
              </c:strCache>
            </c:strRef>
          </c:cat>
          <c:val>
            <c:numRef>
              <c:f>TAR!$J$61:$P$61</c:f>
              <c:numCache>
                <c:formatCode>0.0%</c:formatCode>
                <c:ptCount val="7"/>
                <c:pt idx="0">
                  <c:v>0.14900000000000002</c:v>
                </c:pt>
                <c:pt idx="1">
                  <c:v>0.10350000000000001</c:v>
                </c:pt>
                <c:pt idx="2">
                  <c:v>8.1000000000000003E-2</c:v>
                </c:pt>
                <c:pt idx="3">
                  <c:v>2.6666666666666668E-2</c:v>
                </c:pt>
                <c:pt idx="4">
                  <c:v>2.5999999999999999E-2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972864"/>
        <c:axId val="220973424"/>
      </c:barChart>
      <c:catAx>
        <c:axId val="2209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973424"/>
        <c:crosses val="autoZero"/>
        <c:auto val="1"/>
        <c:lblAlgn val="ctr"/>
        <c:lblOffset val="100"/>
        <c:noMultiLvlLbl val="0"/>
      </c:catAx>
      <c:valAx>
        <c:axId val="22097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9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TBR MUY BAJO NIÑAS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TBR!$B$44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TBR!$C$43:$I$43</c:f>
              <c:strCache>
                <c:ptCount val="7"/>
                <c:pt idx="0">
                  <c:v>TBR B1</c:v>
                </c:pt>
                <c:pt idx="1">
                  <c:v>TBR B2</c:v>
                </c:pt>
                <c:pt idx="2">
                  <c:v>TBR B3</c:v>
                </c:pt>
                <c:pt idx="3">
                  <c:v>TBR B4</c:v>
                </c:pt>
                <c:pt idx="4">
                  <c:v>TBR B5</c:v>
                </c:pt>
                <c:pt idx="5">
                  <c:v>TBR B6</c:v>
                </c:pt>
                <c:pt idx="6">
                  <c:v>TBR B7</c:v>
                </c:pt>
              </c:strCache>
            </c:strRef>
          </c:cat>
          <c:val>
            <c:numRef>
              <c:f>TBR!$C$44:$I$44</c:f>
              <c:numCache>
                <c:formatCode>0.00%</c:formatCode>
                <c:ptCount val="7"/>
                <c:pt idx="0">
                  <c:v>2.9956521739130437E-2</c:v>
                </c:pt>
                <c:pt idx="1">
                  <c:v>2.7904761904761908E-2</c:v>
                </c:pt>
                <c:pt idx="2">
                  <c:v>3.2800000000000003E-2</c:v>
                </c:pt>
                <c:pt idx="3">
                  <c:v>4.3600000000000007E-2</c:v>
                </c:pt>
                <c:pt idx="4">
                  <c:v>3.5200000000000002E-2</c:v>
                </c:pt>
                <c:pt idx="5">
                  <c:v>1.9499999999999997E-2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205456"/>
        <c:axId val="221206016"/>
      </c:barChart>
      <c:catAx>
        <c:axId val="22120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206016"/>
        <c:crosses val="autoZero"/>
        <c:auto val="1"/>
        <c:lblAlgn val="ctr"/>
        <c:lblOffset val="100"/>
        <c:noMultiLvlLbl val="0"/>
      </c:catAx>
      <c:valAx>
        <c:axId val="22120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20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TBR BAJO NIÑAS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TBR!$B$44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TBR!$J$43:$P$43</c:f>
              <c:strCache>
                <c:ptCount val="7"/>
                <c:pt idx="0">
                  <c:v>TBR MB1</c:v>
                </c:pt>
                <c:pt idx="1">
                  <c:v>TBR MB2</c:v>
                </c:pt>
                <c:pt idx="2">
                  <c:v>TBR MB3</c:v>
                </c:pt>
                <c:pt idx="3">
                  <c:v>TBR MB4</c:v>
                </c:pt>
                <c:pt idx="4">
                  <c:v>TBR MB5</c:v>
                </c:pt>
                <c:pt idx="5">
                  <c:v>TBR MB6</c:v>
                </c:pt>
                <c:pt idx="6">
                  <c:v>TBR MB7</c:v>
                </c:pt>
              </c:strCache>
            </c:strRef>
          </c:cat>
          <c:val>
            <c:numRef>
              <c:f>TBR!$J$44:$P$44</c:f>
              <c:numCache>
                <c:formatCode>0.00%</c:formatCode>
                <c:ptCount val="7"/>
                <c:pt idx="0">
                  <c:v>1.3695652173913046E-2</c:v>
                </c:pt>
                <c:pt idx="1">
                  <c:v>8.7142857142857161E-3</c:v>
                </c:pt>
                <c:pt idx="2">
                  <c:v>1.1050000000000001E-2</c:v>
                </c:pt>
                <c:pt idx="3">
                  <c:v>1.15E-2</c:v>
                </c:pt>
                <c:pt idx="4">
                  <c:v>2.4333333333333335E-2</c:v>
                </c:pt>
                <c:pt idx="5">
                  <c:v>1.8749999999999999E-3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618848"/>
        <c:axId val="221619408"/>
      </c:barChart>
      <c:catAx>
        <c:axId val="22161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619408"/>
        <c:crosses val="autoZero"/>
        <c:auto val="1"/>
        <c:lblAlgn val="ctr"/>
        <c:lblOffset val="100"/>
        <c:noMultiLvlLbl val="0"/>
      </c:catAx>
      <c:valAx>
        <c:axId val="221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61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PROMEDIO TBR MUY BAJO NIÑOS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TBR!$B$48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TBR!$C$47:$I$47</c:f>
              <c:strCache>
                <c:ptCount val="7"/>
                <c:pt idx="0">
                  <c:v>TBR B1</c:v>
                </c:pt>
                <c:pt idx="1">
                  <c:v>TBR B2</c:v>
                </c:pt>
                <c:pt idx="2">
                  <c:v>TBR B3</c:v>
                </c:pt>
                <c:pt idx="3">
                  <c:v>TBR B4</c:v>
                </c:pt>
                <c:pt idx="4">
                  <c:v>TBR B5</c:v>
                </c:pt>
                <c:pt idx="5">
                  <c:v>TBR B6</c:v>
                </c:pt>
                <c:pt idx="6">
                  <c:v>TBR B7</c:v>
                </c:pt>
              </c:strCache>
            </c:strRef>
          </c:cat>
          <c:val>
            <c:numRef>
              <c:f>TBR!$C$48:$I$48</c:f>
              <c:numCache>
                <c:formatCode>0.00%</c:formatCode>
                <c:ptCount val="7"/>
                <c:pt idx="0">
                  <c:v>3.0384615384615385E-2</c:v>
                </c:pt>
                <c:pt idx="1">
                  <c:v>2.2461538461538463E-2</c:v>
                </c:pt>
                <c:pt idx="2">
                  <c:v>2.9250000000000009E-2</c:v>
                </c:pt>
                <c:pt idx="3">
                  <c:v>2.8818181818181819E-2</c:v>
                </c:pt>
                <c:pt idx="4">
                  <c:v>4.1750000000000002E-2</c:v>
                </c:pt>
                <c:pt idx="5">
                  <c:v>6.433333333333334E-2</c:v>
                </c:pt>
                <c:pt idx="6">
                  <c:v>1.6E-2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621648"/>
        <c:axId val="221622208"/>
      </c:barChart>
      <c:catAx>
        <c:axId val="2216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622208"/>
        <c:crosses val="autoZero"/>
        <c:auto val="1"/>
        <c:lblAlgn val="ctr"/>
        <c:lblOffset val="100"/>
        <c:noMultiLvlLbl val="0"/>
      </c:catAx>
      <c:valAx>
        <c:axId val="2216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62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TBR BAJO NIÑOS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TBR!$B$48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TBR!$J$47:$P$47</c:f>
              <c:strCache>
                <c:ptCount val="7"/>
                <c:pt idx="0">
                  <c:v>TBR MB1</c:v>
                </c:pt>
                <c:pt idx="1">
                  <c:v>TBR MB2</c:v>
                </c:pt>
                <c:pt idx="2">
                  <c:v>TBR MB3</c:v>
                </c:pt>
                <c:pt idx="3">
                  <c:v>TBR MB4</c:v>
                </c:pt>
                <c:pt idx="4">
                  <c:v>TBR MB5</c:v>
                </c:pt>
                <c:pt idx="5">
                  <c:v>TBR MB6</c:v>
                </c:pt>
                <c:pt idx="6">
                  <c:v>TBR MB7</c:v>
                </c:pt>
              </c:strCache>
            </c:strRef>
          </c:cat>
          <c:val>
            <c:numRef>
              <c:f>TBR!$J$48:$P$48</c:f>
              <c:numCache>
                <c:formatCode>0.00%</c:formatCode>
                <c:ptCount val="7"/>
                <c:pt idx="0">
                  <c:v>7.3076923076923067E-3</c:v>
                </c:pt>
                <c:pt idx="1">
                  <c:v>6.6923076923076918E-3</c:v>
                </c:pt>
                <c:pt idx="2">
                  <c:v>4.5000000000000005E-3</c:v>
                </c:pt>
                <c:pt idx="3">
                  <c:v>9.6363636363636356E-3</c:v>
                </c:pt>
                <c:pt idx="4">
                  <c:v>4.8750000000000009E-3</c:v>
                </c:pt>
                <c:pt idx="5">
                  <c:v>5.3333333333333332E-3</c:v>
                </c:pt>
                <c:pt idx="6">
                  <c:v>4.0000000000000001E-3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624448"/>
        <c:axId val="221625008"/>
      </c:barChart>
      <c:catAx>
        <c:axId val="22162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625008"/>
        <c:crosses val="autoZero"/>
        <c:auto val="1"/>
        <c:lblAlgn val="ctr"/>
        <c:lblOffset val="100"/>
        <c:noMultiLvlLbl val="0"/>
      </c:catAx>
      <c:valAx>
        <c:axId val="22162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62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TBR MUY BAJO NIÑAS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TBR!$B$52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TBR!$C$51:$I$51</c:f>
              <c:strCache>
                <c:ptCount val="7"/>
                <c:pt idx="0">
                  <c:v>TBR B1</c:v>
                </c:pt>
                <c:pt idx="1">
                  <c:v>TBR B2</c:v>
                </c:pt>
                <c:pt idx="2">
                  <c:v>TBR B3</c:v>
                </c:pt>
                <c:pt idx="3">
                  <c:v>TBR B4</c:v>
                </c:pt>
                <c:pt idx="4">
                  <c:v>TBR B5</c:v>
                </c:pt>
                <c:pt idx="5">
                  <c:v>TBR B6</c:v>
                </c:pt>
                <c:pt idx="6">
                  <c:v>TBR B7</c:v>
                </c:pt>
              </c:strCache>
            </c:strRef>
          </c:cat>
          <c:val>
            <c:numRef>
              <c:f>TBR!$C$52:$I$52</c:f>
              <c:numCache>
                <c:formatCode>0.0%</c:formatCode>
                <c:ptCount val="7"/>
                <c:pt idx="0">
                  <c:v>3.9400000000000004E-2</c:v>
                </c:pt>
                <c:pt idx="1">
                  <c:v>2.0799999999999999E-2</c:v>
                </c:pt>
                <c:pt idx="2">
                  <c:v>2.5399999999999999E-2</c:v>
                </c:pt>
                <c:pt idx="3">
                  <c:v>1.9800000000000002E-2</c:v>
                </c:pt>
                <c:pt idx="4">
                  <c:v>1.7749999999999998E-2</c:v>
                </c:pt>
                <c:pt idx="5">
                  <c:v>1E-3</c:v>
                </c:pt>
              </c:numCache>
            </c:numRef>
          </c:val>
        </c:ser>
        <c:ser>
          <c:idx val="1"/>
          <c:order val="1"/>
          <c:tx>
            <c:strRef>
              <c:f>TBR!$B$53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TBR!$C$51:$I$51</c:f>
              <c:strCache>
                <c:ptCount val="7"/>
                <c:pt idx="0">
                  <c:v>TBR B1</c:v>
                </c:pt>
                <c:pt idx="1">
                  <c:v>TBR B2</c:v>
                </c:pt>
                <c:pt idx="2">
                  <c:v>TBR B3</c:v>
                </c:pt>
                <c:pt idx="3">
                  <c:v>TBR B4</c:v>
                </c:pt>
                <c:pt idx="4">
                  <c:v>TBR B5</c:v>
                </c:pt>
                <c:pt idx="5">
                  <c:v>TBR B6</c:v>
                </c:pt>
                <c:pt idx="6">
                  <c:v>TBR B7</c:v>
                </c:pt>
              </c:strCache>
            </c:strRef>
          </c:cat>
          <c:val>
            <c:numRef>
              <c:f>TBR!$C$53:$I$53</c:f>
              <c:numCache>
                <c:formatCode>0.0%</c:formatCode>
                <c:ptCount val="7"/>
                <c:pt idx="0">
                  <c:v>2.4307692307692311E-2</c:v>
                </c:pt>
                <c:pt idx="1">
                  <c:v>2.7461538461538461E-2</c:v>
                </c:pt>
                <c:pt idx="2">
                  <c:v>2.8416666666666663E-2</c:v>
                </c:pt>
                <c:pt idx="3">
                  <c:v>5.541666666666667E-2</c:v>
                </c:pt>
                <c:pt idx="4">
                  <c:v>4.1300000000000003E-2</c:v>
                </c:pt>
                <c:pt idx="5">
                  <c:v>2.2142857142857138E-2</c:v>
                </c:pt>
              </c:numCache>
            </c:numRef>
          </c:val>
        </c:ser>
        <c:ser>
          <c:idx val="2"/>
          <c:order val="2"/>
          <c:tx>
            <c:strRef>
              <c:f>TBR!$B$54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TBR!$C$51:$I$51</c:f>
              <c:strCache>
                <c:ptCount val="7"/>
                <c:pt idx="0">
                  <c:v>TBR B1</c:v>
                </c:pt>
                <c:pt idx="1">
                  <c:v>TBR B2</c:v>
                </c:pt>
                <c:pt idx="2">
                  <c:v>TBR B3</c:v>
                </c:pt>
                <c:pt idx="3">
                  <c:v>TBR B4</c:v>
                </c:pt>
                <c:pt idx="4">
                  <c:v>TBR B5</c:v>
                </c:pt>
                <c:pt idx="5">
                  <c:v>TBR B6</c:v>
                </c:pt>
                <c:pt idx="6">
                  <c:v>TBR B7</c:v>
                </c:pt>
              </c:strCache>
            </c:strRef>
          </c:cat>
          <c:val>
            <c:numRef>
              <c:f>TBR!$C$54:$I$54</c:f>
              <c:numCache>
                <c:formatCode>0.0%</c:formatCode>
                <c:ptCount val="7"/>
                <c:pt idx="0">
                  <c:v>3.5199999999999995E-2</c:v>
                </c:pt>
                <c:pt idx="1">
                  <c:v>4.1666666666666664E-2</c:v>
                </c:pt>
                <c:pt idx="2">
                  <c:v>6.2666666666666662E-2</c:v>
                </c:pt>
                <c:pt idx="3">
                  <c:v>3.5999999999999997E-2</c:v>
                </c:pt>
                <c:pt idx="4">
                  <c:v>4.3999999999999997E-2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628368"/>
        <c:axId val="221628928"/>
      </c:barChart>
      <c:catAx>
        <c:axId val="22162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628928"/>
        <c:crosses val="autoZero"/>
        <c:auto val="1"/>
        <c:lblAlgn val="ctr"/>
        <c:lblOffset val="100"/>
        <c:noMultiLvlLbl val="0"/>
      </c:catAx>
      <c:valAx>
        <c:axId val="22162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62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TBR BAJO NIÑAS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TBR!$B$52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TBR!$J$51:$P$51</c:f>
              <c:strCache>
                <c:ptCount val="7"/>
                <c:pt idx="0">
                  <c:v>TBR MB1</c:v>
                </c:pt>
                <c:pt idx="1">
                  <c:v>TBR MB2</c:v>
                </c:pt>
                <c:pt idx="2">
                  <c:v>TBR MB3</c:v>
                </c:pt>
                <c:pt idx="3">
                  <c:v>TBR MB4</c:v>
                </c:pt>
                <c:pt idx="4">
                  <c:v>TBR MB5</c:v>
                </c:pt>
                <c:pt idx="5">
                  <c:v>TBR MB6</c:v>
                </c:pt>
                <c:pt idx="6">
                  <c:v>TBR MB7</c:v>
                </c:pt>
              </c:strCache>
            </c:strRef>
          </c:cat>
          <c:val>
            <c:numRef>
              <c:f>TBR!$J$52:$P$52</c:f>
              <c:numCache>
                <c:formatCode>0.0%</c:formatCode>
                <c:ptCount val="7"/>
                <c:pt idx="0">
                  <c:v>2.4000000000000002E-3</c:v>
                </c:pt>
                <c:pt idx="1">
                  <c:v>3.0000000000000001E-3</c:v>
                </c:pt>
                <c:pt idx="2">
                  <c:v>4.9999999999999992E-3</c:v>
                </c:pt>
                <c:pt idx="3">
                  <c:v>4.3999999999999994E-3</c:v>
                </c:pt>
                <c:pt idx="4">
                  <c:v>1.75E-3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TBR!$B$53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TBR!$J$51:$P$51</c:f>
              <c:strCache>
                <c:ptCount val="7"/>
                <c:pt idx="0">
                  <c:v>TBR MB1</c:v>
                </c:pt>
                <c:pt idx="1">
                  <c:v>TBR MB2</c:v>
                </c:pt>
                <c:pt idx="2">
                  <c:v>TBR MB3</c:v>
                </c:pt>
                <c:pt idx="3">
                  <c:v>TBR MB4</c:v>
                </c:pt>
                <c:pt idx="4">
                  <c:v>TBR MB5</c:v>
                </c:pt>
                <c:pt idx="5">
                  <c:v>TBR MB6</c:v>
                </c:pt>
                <c:pt idx="6">
                  <c:v>TBR MB7</c:v>
                </c:pt>
              </c:strCache>
            </c:strRef>
          </c:cat>
          <c:val>
            <c:numRef>
              <c:f>TBR!$J$53:$P$53</c:f>
              <c:numCache>
                <c:formatCode>0.0%</c:formatCode>
                <c:ptCount val="7"/>
                <c:pt idx="0">
                  <c:v>1.9307692307692307E-2</c:v>
                </c:pt>
                <c:pt idx="1">
                  <c:v>2.9230769230769232E-3</c:v>
                </c:pt>
                <c:pt idx="2">
                  <c:v>6.4166666666666669E-3</c:v>
                </c:pt>
                <c:pt idx="3">
                  <c:v>1.4250000000000001E-2</c:v>
                </c:pt>
                <c:pt idx="4">
                  <c:v>3.5800000000000005E-2</c:v>
                </c:pt>
                <c:pt idx="5">
                  <c:v>2.142857142857143E-3</c:v>
                </c:pt>
              </c:numCache>
            </c:numRef>
          </c:val>
        </c:ser>
        <c:ser>
          <c:idx val="2"/>
          <c:order val="2"/>
          <c:tx>
            <c:strRef>
              <c:f>TBR!$B$54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TBR!$J$51:$P$51</c:f>
              <c:strCache>
                <c:ptCount val="7"/>
                <c:pt idx="0">
                  <c:v>TBR MB1</c:v>
                </c:pt>
                <c:pt idx="1">
                  <c:v>TBR MB2</c:v>
                </c:pt>
                <c:pt idx="2">
                  <c:v>TBR MB3</c:v>
                </c:pt>
                <c:pt idx="3">
                  <c:v>TBR MB4</c:v>
                </c:pt>
                <c:pt idx="4">
                  <c:v>TBR MB5</c:v>
                </c:pt>
                <c:pt idx="5">
                  <c:v>TBR MB6</c:v>
                </c:pt>
                <c:pt idx="6">
                  <c:v>TBR MB7</c:v>
                </c:pt>
              </c:strCache>
            </c:strRef>
          </c:cat>
          <c:val>
            <c:numRef>
              <c:f>TBR!$J$54:$P$54</c:f>
              <c:numCache>
                <c:formatCode>0.0%</c:formatCode>
                <c:ptCount val="7"/>
                <c:pt idx="0">
                  <c:v>1.0400000000000001E-2</c:v>
                </c:pt>
                <c:pt idx="1">
                  <c:v>4.3333333333333335E-2</c:v>
                </c:pt>
                <c:pt idx="2">
                  <c:v>3.9666666666666663E-2</c:v>
                </c:pt>
                <c:pt idx="3">
                  <c:v>1.2333333333333333E-2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632848"/>
        <c:axId val="221633408"/>
      </c:barChart>
      <c:catAx>
        <c:axId val="22163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633408"/>
        <c:crosses val="autoZero"/>
        <c:auto val="1"/>
        <c:lblAlgn val="ctr"/>
        <c:lblOffset val="100"/>
        <c:noMultiLvlLbl val="0"/>
      </c:catAx>
      <c:valAx>
        <c:axId val="2216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163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TBR MUY BAJO NIÑOS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TBR!$B$58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TBR!$C$57:$I$57</c:f>
              <c:strCache>
                <c:ptCount val="7"/>
                <c:pt idx="0">
                  <c:v>TBR B1</c:v>
                </c:pt>
                <c:pt idx="1">
                  <c:v>TBR B2</c:v>
                </c:pt>
                <c:pt idx="2">
                  <c:v>TBR B3</c:v>
                </c:pt>
                <c:pt idx="3">
                  <c:v>TBR B4</c:v>
                </c:pt>
                <c:pt idx="4">
                  <c:v>TBR B5</c:v>
                </c:pt>
                <c:pt idx="5">
                  <c:v>TBR B6</c:v>
                </c:pt>
                <c:pt idx="6">
                  <c:v>TBR B7</c:v>
                </c:pt>
              </c:strCache>
            </c:strRef>
          </c:cat>
          <c:val>
            <c:numRef>
              <c:f>TBR!$C$58:$I$58</c:f>
              <c:numCache>
                <c:formatCode>0.0%</c:formatCode>
                <c:ptCount val="7"/>
                <c:pt idx="0">
                  <c:v>8.4000000000000005E-2</c:v>
                </c:pt>
                <c:pt idx="1">
                  <c:v>2.4666666666666667E-2</c:v>
                </c:pt>
                <c:pt idx="2">
                  <c:v>3.6999999999999998E-2</c:v>
                </c:pt>
                <c:pt idx="3">
                  <c:v>3.9E-2</c:v>
                </c:pt>
                <c:pt idx="4">
                  <c:v>3.2000000000000001E-2</c:v>
                </c:pt>
              </c:numCache>
            </c:numRef>
          </c:val>
        </c:ser>
        <c:ser>
          <c:idx val="1"/>
          <c:order val="1"/>
          <c:tx>
            <c:strRef>
              <c:f>TBR!$B$59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TBR!$C$57:$I$57</c:f>
              <c:strCache>
                <c:ptCount val="7"/>
                <c:pt idx="0">
                  <c:v>TBR B1</c:v>
                </c:pt>
                <c:pt idx="1">
                  <c:v>TBR B2</c:v>
                </c:pt>
                <c:pt idx="2">
                  <c:v>TBR B3</c:v>
                </c:pt>
                <c:pt idx="3">
                  <c:v>TBR B4</c:v>
                </c:pt>
                <c:pt idx="4">
                  <c:v>TBR B5</c:v>
                </c:pt>
                <c:pt idx="5">
                  <c:v>TBR B6</c:v>
                </c:pt>
                <c:pt idx="6">
                  <c:v>TBR B7</c:v>
                </c:pt>
              </c:strCache>
            </c:strRef>
          </c:cat>
          <c:val>
            <c:numRef>
              <c:f>TBR!$C$59:$I$59</c:f>
              <c:numCache>
                <c:formatCode>0.0%</c:formatCode>
                <c:ptCount val="7"/>
                <c:pt idx="0">
                  <c:v>1.6833333333333336E-2</c:v>
                </c:pt>
                <c:pt idx="1">
                  <c:v>2.6833333333333334E-2</c:v>
                </c:pt>
                <c:pt idx="2">
                  <c:v>3.216666666666667E-2</c:v>
                </c:pt>
                <c:pt idx="3">
                  <c:v>2.9833333333333333E-2</c:v>
                </c:pt>
                <c:pt idx="4">
                  <c:v>4.4400000000000002E-2</c:v>
                </c:pt>
                <c:pt idx="5">
                  <c:v>6.433333333333334E-2</c:v>
                </c:pt>
                <c:pt idx="6">
                  <c:v>1.6E-2</c:v>
                </c:pt>
              </c:numCache>
            </c:numRef>
          </c:val>
        </c:ser>
        <c:ser>
          <c:idx val="2"/>
          <c:order val="2"/>
          <c:tx>
            <c:strRef>
              <c:f>TBR!$B$60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TBR!$C$57:$I$57</c:f>
              <c:strCache>
                <c:ptCount val="7"/>
                <c:pt idx="0">
                  <c:v>TBR B1</c:v>
                </c:pt>
                <c:pt idx="1">
                  <c:v>TBR B2</c:v>
                </c:pt>
                <c:pt idx="2">
                  <c:v>TBR B3</c:v>
                </c:pt>
                <c:pt idx="3">
                  <c:v>TBR B4</c:v>
                </c:pt>
                <c:pt idx="4">
                  <c:v>TBR B5</c:v>
                </c:pt>
                <c:pt idx="5">
                  <c:v>TBR B6</c:v>
                </c:pt>
                <c:pt idx="6">
                  <c:v>TBR B7</c:v>
                </c:pt>
              </c:strCache>
            </c:strRef>
          </c:cat>
          <c:val>
            <c:numRef>
              <c:f>TBR!$C$60:$I$60</c:f>
              <c:numCache>
                <c:formatCode>0.0%</c:formatCode>
                <c:ptCount val="7"/>
                <c:pt idx="0">
                  <c:v>1.0500000000000001E-2</c:v>
                </c:pt>
                <c:pt idx="1">
                  <c:v>1.4249999999999999E-2</c:v>
                </c:pt>
                <c:pt idx="2">
                  <c:v>1.5666666666666666E-2</c:v>
                </c:pt>
                <c:pt idx="3">
                  <c:v>0.02</c:v>
                </c:pt>
                <c:pt idx="4">
                  <c:v>4.8000000000000001E-2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072352"/>
        <c:axId val="228072912"/>
      </c:barChart>
      <c:catAx>
        <c:axId val="22807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072912"/>
        <c:crosses val="autoZero"/>
        <c:auto val="1"/>
        <c:lblAlgn val="ctr"/>
        <c:lblOffset val="100"/>
        <c:noMultiLvlLbl val="0"/>
      </c:catAx>
      <c:valAx>
        <c:axId val="22807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07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TBR BAJO NIÑOS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TBR!$B$58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TBR!$J$57:$P$57</c:f>
              <c:strCache>
                <c:ptCount val="7"/>
                <c:pt idx="0">
                  <c:v>TBR MB1</c:v>
                </c:pt>
                <c:pt idx="1">
                  <c:v>TBR MB2</c:v>
                </c:pt>
                <c:pt idx="2">
                  <c:v>TBR MB3</c:v>
                </c:pt>
                <c:pt idx="3">
                  <c:v>TBR MB4</c:v>
                </c:pt>
                <c:pt idx="4">
                  <c:v>TBR MB5</c:v>
                </c:pt>
                <c:pt idx="5">
                  <c:v>TBR MB6</c:v>
                </c:pt>
                <c:pt idx="6">
                  <c:v>TBR MB7</c:v>
                </c:pt>
              </c:strCache>
            </c:strRef>
          </c:cat>
          <c:val>
            <c:numRef>
              <c:f>TBR!$J$58:$P$58</c:f>
              <c:numCache>
                <c:formatCode>0.0%</c:formatCode>
                <c:ptCount val="7"/>
                <c:pt idx="0">
                  <c:v>2.2999999999999996E-2</c:v>
                </c:pt>
                <c:pt idx="1">
                  <c:v>8.9999999999999993E-3</c:v>
                </c:pt>
                <c:pt idx="2">
                  <c:v>3.0000000000000005E-3</c:v>
                </c:pt>
                <c:pt idx="3">
                  <c:v>2.5000000000000001E-3</c:v>
                </c:pt>
                <c:pt idx="4">
                  <c:v>7.0000000000000001E-3</c:v>
                </c:pt>
              </c:numCache>
            </c:numRef>
          </c:val>
        </c:ser>
        <c:ser>
          <c:idx val="1"/>
          <c:order val="1"/>
          <c:tx>
            <c:strRef>
              <c:f>TBR!$B$59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TBR!$J$57:$P$57</c:f>
              <c:strCache>
                <c:ptCount val="7"/>
                <c:pt idx="0">
                  <c:v>TBR MB1</c:v>
                </c:pt>
                <c:pt idx="1">
                  <c:v>TBR MB2</c:v>
                </c:pt>
                <c:pt idx="2">
                  <c:v>TBR MB3</c:v>
                </c:pt>
                <c:pt idx="3">
                  <c:v>TBR MB4</c:v>
                </c:pt>
                <c:pt idx="4">
                  <c:v>TBR MB5</c:v>
                </c:pt>
                <c:pt idx="5">
                  <c:v>TBR MB6</c:v>
                </c:pt>
                <c:pt idx="6">
                  <c:v>TBR MB7</c:v>
                </c:pt>
              </c:strCache>
            </c:strRef>
          </c:cat>
          <c:val>
            <c:numRef>
              <c:f>TBR!$J$59:$P$59</c:f>
              <c:numCache>
                <c:formatCode>0.0%</c:formatCode>
                <c:ptCount val="7"/>
                <c:pt idx="0">
                  <c:v>3.6666666666666666E-3</c:v>
                </c:pt>
                <c:pt idx="1">
                  <c:v>6.1666666666666667E-3</c:v>
                </c:pt>
                <c:pt idx="2">
                  <c:v>1.3333333333333333E-3</c:v>
                </c:pt>
                <c:pt idx="3">
                  <c:v>1.3333333333333334E-2</c:v>
                </c:pt>
                <c:pt idx="4">
                  <c:v>3.9999999999999992E-3</c:v>
                </c:pt>
                <c:pt idx="5">
                  <c:v>5.3333333333333332E-3</c:v>
                </c:pt>
                <c:pt idx="6">
                  <c:v>4.0000000000000001E-3</c:v>
                </c:pt>
              </c:numCache>
            </c:numRef>
          </c:val>
        </c:ser>
        <c:ser>
          <c:idx val="2"/>
          <c:order val="2"/>
          <c:tx>
            <c:strRef>
              <c:f>TBR!$B$60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TBR!$J$57:$P$57</c:f>
              <c:strCache>
                <c:ptCount val="7"/>
                <c:pt idx="0">
                  <c:v>TBR MB1</c:v>
                </c:pt>
                <c:pt idx="1">
                  <c:v>TBR MB2</c:v>
                </c:pt>
                <c:pt idx="2">
                  <c:v>TBR MB3</c:v>
                </c:pt>
                <c:pt idx="3">
                  <c:v>TBR MB4</c:v>
                </c:pt>
                <c:pt idx="4">
                  <c:v>TBR MB5</c:v>
                </c:pt>
                <c:pt idx="5">
                  <c:v>TBR MB6</c:v>
                </c:pt>
                <c:pt idx="6">
                  <c:v>TBR MB7</c:v>
                </c:pt>
              </c:strCache>
            </c:strRef>
          </c:cat>
          <c:val>
            <c:numRef>
              <c:f>TBR!$J$60:$P$60</c:f>
              <c:numCache>
                <c:formatCode>0.0%</c:formatCode>
                <c:ptCount val="7"/>
                <c:pt idx="0">
                  <c:v>1E-3</c:v>
                </c:pt>
                <c:pt idx="1">
                  <c:v>5.7499999999999999E-3</c:v>
                </c:pt>
                <c:pt idx="2">
                  <c:v>1.2333333333333335E-2</c:v>
                </c:pt>
                <c:pt idx="3">
                  <c:v>7.0000000000000001E-3</c:v>
                </c:pt>
                <c:pt idx="4">
                  <c:v>5.0000000000000001E-3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076832"/>
        <c:axId val="228077392"/>
      </c:barChart>
      <c:catAx>
        <c:axId val="22807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077392"/>
        <c:crosses val="autoZero"/>
        <c:auto val="1"/>
        <c:lblAlgn val="ctr"/>
        <c:lblOffset val="100"/>
        <c:noMultiLvlLbl val="0"/>
      </c:catAx>
      <c:valAx>
        <c:axId val="22807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07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INDICE RIESGO GLUCEMIA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IRG!$B$3:$B$39</c:f>
              <c:strCache>
                <c:ptCount val="37"/>
                <c:pt idx="0">
                  <c:v>NOMBRE</c:v>
                </c:pt>
                <c:pt idx="1">
                  <c:v>Valery Isabela Arias Rodriguez (17/02/26)  (5/6)</c:v>
                </c:pt>
                <c:pt idx="2">
                  <c:v>JENNIFER ADRIANA CRUZ SALGADO
  (28/01/26)  (4/6)</c:v>
                </c:pt>
                <c:pt idx="3">
                  <c:v>ABNER DAVID SILVA CLEVENGER (30/01/26) (4/6)*** USA (4-16 al 30) (5-30 al 13)</c:v>
                </c:pt>
                <c:pt idx="4">
                  <c:v>WILSON JAFETH FLORES GARCIA  (19/02/26) (5/6)</c:v>
                </c:pt>
                <c:pt idx="5">
                  <c:v>MONICA SOFIA QUIJADA GARCIA  (13/02/26) (4/6)</c:v>
                </c:pt>
                <c:pt idx="6">
                  <c:v>IVANA ALEJANDRA BACA IZAGUIRRE (24/02/26) (5/6)</c:v>
                </c:pt>
                <c:pt idx="7">
                  <c:v>JOSE ANGEL PONCE SALAZAR (24/02/26) (5/6)</c:v>
                </c:pt>
                <c:pt idx="8">
                  <c:v>LESLY DAYANA MELGAR MARQUEZ (29/02/26)  (5/6)</c:v>
                </c:pt>
                <c:pt idx="9">
                  <c:v>ESTEFANY JULIETH PADILLA MEJIA (25/02/26) (5/6)</c:v>
                </c:pt>
                <c:pt idx="10">
                  <c:v>MISLEYDI LUCILA VIDEA PADILLA  (13/02/26) (4/6)</c:v>
                </c:pt>
                <c:pt idx="11">
                  <c:v>MONICA VALERIA MONJARREZ ZUNIGA (26/02/26) (5/6)</c:v>
                </c:pt>
                <c:pt idx="12">
                  <c:v>STEFANNY NICOLLE ORDOÑEZ DORMES  (11/02/26)  (4/6)** Revisar MCG</c:v>
                </c:pt>
                <c:pt idx="13">
                  <c:v>ESTRELLA DINORAH ALMENDARES CASTRO  (24/02/26)  (5/6)</c:v>
                </c:pt>
                <c:pt idx="14">
                  <c:v>LUIS JEANCARLO ZELAYA HERNANDEZ  (16/02/26)  (3/6)</c:v>
                </c:pt>
                <c:pt idx="15">
                  <c:v>MILEIDY SARAY MANCIA ZAVALA  (25/02/26)  (3/6)</c:v>
                </c:pt>
                <c:pt idx="16">
                  <c:v>ELSY SARAY MEJIA LAGOS  (16/02/26)  (4/6)</c:v>
                </c:pt>
                <c:pt idx="17">
                  <c:v>JAFETH DAVID MONDRAGON NUÑEZ  (19/02/25) (4/6)</c:v>
                </c:pt>
                <c:pt idx="18">
                  <c:v>ODALIS MICHELLE PAGAN MENCIA  (20/02/26) (4/6)</c:v>
                </c:pt>
                <c:pt idx="19">
                  <c:v>MATEO FARID WOODS PON  (16/02/26) (3/6)</c:v>
                </c:pt>
                <c:pt idx="20">
                  <c:v>WILSON JOSE TORRES ESCOBAR  (16/02/26) (4/6)</c:v>
                </c:pt>
                <c:pt idx="21">
                  <c:v>SAUL ANDRES ESCALANTE GRADIZ  (18/02/26) (4/6)</c:v>
                </c:pt>
                <c:pt idx="22">
                  <c:v>BIANCA VALENTINA ALMENDAREZ CHACON  (18/02/26) (4/6)</c:v>
                </c:pt>
                <c:pt idx="23">
                  <c:v>AMY FERNANDA CASTILLO MAIRENA (13/02/26) (3/6)</c:v>
                </c:pt>
                <c:pt idx="24">
                  <c:v>HELEN ANAHI ZHEN LARA (12/02/26) (3/6)</c:v>
                </c:pt>
                <c:pt idx="25">
                  <c:v>MOISES DAVID CASCO FUNEZ   (20/02/26) (4/6)</c:v>
                </c:pt>
                <c:pt idx="26">
                  <c:v>KEYLIN SOLANGE BOLAÑOS STYLES (16/02/26) (4/6)</c:v>
                </c:pt>
                <c:pt idx="27">
                  <c:v>MARIA FERNANDA MOLINA NUÑEZ (24/02/26) (4/6)</c:v>
                </c:pt>
                <c:pt idx="28">
                  <c:v>DYLIN NICOLLE BEJARANO FUNES (12/02/26) (3/6)</c:v>
                </c:pt>
                <c:pt idx="29">
                  <c:v>ANGIE MARIANA IRIAS CASTRO  (17/02/26) (3/6)</c:v>
                </c:pt>
                <c:pt idx="30">
                  <c:v>NELSON SAMUEL VELASQUEZ VELASQUEZ  (18/02/26) (3/6)</c:v>
                </c:pt>
                <c:pt idx="31">
                  <c:v>Yonathan Moises Funes Vindel (25/02/26) (3/6) </c:v>
                </c:pt>
                <c:pt idx="32">
                  <c:v>ENAN ONAY GOMEZ AVILA (13-02-26) (2/6)</c:v>
                </c:pt>
                <c:pt idx="33">
                  <c:v>ROGER VALENTIN GUTIERREZ ESPINOZA  (25/02/26) (2/6) </c:v>
                </c:pt>
                <c:pt idx="34">
                  <c:v>KATHERIN MABEL GONZALEZ RAMIREZ (13-02-26) (1/6)</c:v>
                </c:pt>
                <c:pt idx="35">
                  <c:v>LOIDA ESTHER DIAZ SALGADO (12/03/26) (1)
</c:v>
                </c:pt>
                <c:pt idx="36">
                  <c:v>DANIA ROSMERY VASQUEZ MADRID (13/03/26) (1)</c:v>
                </c:pt>
              </c:strCache>
            </c:strRef>
          </c:cat>
          <c:val>
            <c:numRef>
              <c:f>IRG!$E$3:$E$39</c:f>
              <c:numCache>
                <c:formatCode>General</c:formatCode>
                <c:ptCount val="37"/>
                <c:pt idx="0">
                  <c:v>0</c:v>
                </c:pt>
                <c:pt idx="1">
                  <c:v>56.6</c:v>
                </c:pt>
                <c:pt idx="2">
                  <c:v>67.900000000000006</c:v>
                </c:pt>
                <c:pt idx="3">
                  <c:v>63.2</c:v>
                </c:pt>
                <c:pt idx="4">
                  <c:v>93</c:v>
                </c:pt>
                <c:pt idx="5">
                  <c:v>64.900000000000006</c:v>
                </c:pt>
                <c:pt idx="6">
                  <c:v>102.7</c:v>
                </c:pt>
                <c:pt idx="7">
                  <c:v>19.7</c:v>
                </c:pt>
                <c:pt idx="8">
                  <c:v>92.2</c:v>
                </c:pt>
                <c:pt idx="9">
                  <c:v>26.2</c:v>
                </c:pt>
                <c:pt idx="10">
                  <c:v>8.3000000000000007</c:v>
                </c:pt>
                <c:pt idx="11">
                  <c:v>12.7</c:v>
                </c:pt>
                <c:pt idx="12">
                  <c:v>34.9</c:v>
                </c:pt>
                <c:pt idx="13">
                  <c:v>91.4</c:v>
                </c:pt>
                <c:pt idx="14">
                  <c:v>24.9</c:v>
                </c:pt>
                <c:pt idx="15">
                  <c:v>39.6</c:v>
                </c:pt>
                <c:pt idx="16">
                  <c:v>32.700000000000003</c:v>
                </c:pt>
                <c:pt idx="17">
                  <c:v>32.6</c:v>
                </c:pt>
                <c:pt idx="18">
                  <c:v>24.9</c:v>
                </c:pt>
                <c:pt idx="19">
                  <c:v>74.900000000000006</c:v>
                </c:pt>
                <c:pt idx="20">
                  <c:v>82</c:v>
                </c:pt>
                <c:pt idx="21">
                  <c:v>52.6</c:v>
                </c:pt>
                <c:pt idx="22">
                  <c:v>36.799999999999997</c:v>
                </c:pt>
                <c:pt idx="23">
                  <c:v>17.2</c:v>
                </c:pt>
                <c:pt idx="24">
                  <c:v>83.9</c:v>
                </c:pt>
                <c:pt idx="25">
                  <c:v>48.7</c:v>
                </c:pt>
                <c:pt idx="26">
                  <c:v>34.299999999999997</c:v>
                </c:pt>
                <c:pt idx="27">
                  <c:v>34.799999999999997</c:v>
                </c:pt>
                <c:pt idx="28">
                  <c:v>45.8</c:v>
                </c:pt>
                <c:pt idx="29">
                  <c:v>14.3</c:v>
                </c:pt>
                <c:pt idx="30">
                  <c:v>72.2</c:v>
                </c:pt>
                <c:pt idx="31">
                  <c:v>55.2</c:v>
                </c:pt>
                <c:pt idx="32">
                  <c:v>29</c:v>
                </c:pt>
                <c:pt idx="33">
                  <c:v>10.4</c:v>
                </c:pt>
                <c:pt idx="34">
                  <c:v>62.7</c:v>
                </c:pt>
                <c:pt idx="35">
                  <c:v>107.4</c:v>
                </c:pt>
                <c:pt idx="36">
                  <c:v>89.2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IRG!$B$3:$B$39</c:f>
              <c:strCache>
                <c:ptCount val="37"/>
                <c:pt idx="0">
                  <c:v>NOMBRE</c:v>
                </c:pt>
                <c:pt idx="1">
                  <c:v>Valery Isabela Arias Rodriguez (17/02/26)  (5/6)</c:v>
                </c:pt>
                <c:pt idx="2">
                  <c:v>JENNIFER ADRIANA CRUZ SALGADO
  (28/01/26)  (4/6)</c:v>
                </c:pt>
                <c:pt idx="3">
                  <c:v>ABNER DAVID SILVA CLEVENGER (30/01/26) (4/6)*** USA (4-16 al 30) (5-30 al 13)</c:v>
                </c:pt>
                <c:pt idx="4">
                  <c:v>WILSON JAFETH FLORES GARCIA  (19/02/26) (5/6)</c:v>
                </c:pt>
                <c:pt idx="5">
                  <c:v>MONICA SOFIA QUIJADA GARCIA  (13/02/26) (4/6)</c:v>
                </c:pt>
                <c:pt idx="6">
                  <c:v>IVANA ALEJANDRA BACA IZAGUIRRE (24/02/26) (5/6)</c:v>
                </c:pt>
                <c:pt idx="7">
                  <c:v>JOSE ANGEL PONCE SALAZAR (24/02/26) (5/6)</c:v>
                </c:pt>
                <c:pt idx="8">
                  <c:v>LESLY DAYANA MELGAR MARQUEZ (29/02/26)  (5/6)</c:v>
                </c:pt>
                <c:pt idx="9">
                  <c:v>ESTEFANY JULIETH PADILLA MEJIA (25/02/26) (5/6)</c:v>
                </c:pt>
                <c:pt idx="10">
                  <c:v>MISLEYDI LUCILA VIDEA PADILLA  (13/02/26) (4/6)</c:v>
                </c:pt>
                <c:pt idx="11">
                  <c:v>MONICA VALERIA MONJARREZ ZUNIGA (26/02/26) (5/6)</c:v>
                </c:pt>
                <c:pt idx="12">
                  <c:v>STEFANNY NICOLLE ORDOÑEZ DORMES  (11/02/26)  (4/6)** Revisar MCG</c:v>
                </c:pt>
                <c:pt idx="13">
                  <c:v>ESTRELLA DINORAH ALMENDARES CASTRO  (24/02/26)  (5/6)</c:v>
                </c:pt>
                <c:pt idx="14">
                  <c:v>LUIS JEANCARLO ZELAYA HERNANDEZ  (16/02/26)  (3/6)</c:v>
                </c:pt>
                <c:pt idx="15">
                  <c:v>MILEIDY SARAY MANCIA ZAVALA  (25/02/26)  (3/6)</c:v>
                </c:pt>
                <c:pt idx="16">
                  <c:v>ELSY SARAY MEJIA LAGOS  (16/02/26)  (4/6)</c:v>
                </c:pt>
                <c:pt idx="17">
                  <c:v>JAFETH DAVID MONDRAGON NUÑEZ  (19/02/25) (4/6)</c:v>
                </c:pt>
                <c:pt idx="18">
                  <c:v>ODALIS MICHELLE PAGAN MENCIA  (20/02/26) (4/6)</c:v>
                </c:pt>
                <c:pt idx="19">
                  <c:v>MATEO FARID WOODS PON  (16/02/26) (3/6)</c:v>
                </c:pt>
                <c:pt idx="20">
                  <c:v>WILSON JOSE TORRES ESCOBAR  (16/02/26) (4/6)</c:v>
                </c:pt>
                <c:pt idx="21">
                  <c:v>SAUL ANDRES ESCALANTE GRADIZ  (18/02/26) (4/6)</c:v>
                </c:pt>
                <c:pt idx="22">
                  <c:v>BIANCA VALENTINA ALMENDAREZ CHACON  (18/02/26) (4/6)</c:v>
                </c:pt>
                <c:pt idx="23">
                  <c:v>AMY FERNANDA CASTILLO MAIRENA (13/02/26) (3/6)</c:v>
                </c:pt>
                <c:pt idx="24">
                  <c:v>HELEN ANAHI ZHEN LARA (12/02/26) (3/6)</c:v>
                </c:pt>
                <c:pt idx="25">
                  <c:v>MOISES DAVID CASCO FUNEZ   (20/02/26) (4/6)</c:v>
                </c:pt>
                <c:pt idx="26">
                  <c:v>KEYLIN SOLANGE BOLAÑOS STYLES (16/02/26) (4/6)</c:v>
                </c:pt>
                <c:pt idx="27">
                  <c:v>MARIA FERNANDA MOLINA NUÑEZ (24/02/26) (4/6)</c:v>
                </c:pt>
                <c:pt idx="28">
                  <c:v>DYLIN NICOLLE BEJARANO FUNES (12/02/26) (3/6)</c:v>
                </c:pt>
                <c:pt idx="29">
                  <c:v>ANGIE MARIANA IRIAS CASTRO  (17/02/26) (3/6)</c:v>
                </c:pt>
                <c:pt idx="30">
                  <c:v>NELSON SAMUEL VELASQUEZ VELASQUEZ  (18/02/26) (3/6)</c:v>
                </c:pt>
                <c:pt idx="31">
                  <c:v>Yonathan Moises Funes Vindel (25/02/26) (3/6) </c:v>
                </c:pt>
                <c:pt idx="32">
                  <c:v>ENAN ONAY GOMEZ AVILA (13-02-26) (2/6)</c:v>
                </c:pt>
                <c:pt idx="33">
                  <c:v>ROGER VALENTIN GUTIERREZ ESPINOZA  (25/02/26) (2/6) </c:v>
                </c:pt>
                <c:pt idx="34">
                  <c:v>KATHERIN MABEL GONZALEZ RAMIREZ (13-02-26) (1/6)</c:v>
                </c:pt>
                <c:pt idx="35">
                  <c:v>LOIDA ESTHER DIAZ SALGADO (12/03/26) (1)
</c:v>
                </c:pt>
                <c:pt idx="36">
                  <c:v>DANIA ROSMERY VASQUEZ MADRID (13/03/26) (1)</c:v>
                </c:pt>
              </c:strCache>
            </c:strRef>
          </c:cat>
          <c:val>
            <c:numRef>
              <c:f>IRG!$F$3:$F$39</c:f>
              <c:numCache>
                <c:formatCode>General</c:formatCode>
                <c:ptCount val="37"/>
                <c:pt idx="0">
                  <c:v>0</c:v>
                </c:pt>
                <c:pt idx="1">
                  <c:v>48.4</c:v>
                </c:pt>
                <c:pt idx="2">
                  <c:v>90.4</c:v>
                </c:pt>
                <c:pt idx="3">
                  <c:v>57.5</c:v>
                </c:pt>
                <c:pt idx="4">
                  <c:v>76.2</c:v>
                </c:pt>
                <c:pt idx="5">
                  <c:v>42.9</c:v>
                </c:pt>
                <c:pt idx="6">
                  <c:v>72.2</c:v>
                </c:pt>
                <c:pt idx="7">
                  <c:v>15</c:v>
                </c:pt>
                <c:pt idx="8">
                  <c:v>124.6</c:v>
                </c:pt>
                <c:pt idx="9">
                  <c:v>28.9</c:v>
                </c:pt>
                <c:pt idx="10">
                  <c:v>7.9</c:v>
                </c:pt>
                <c:pt idx="11">
                  <c:v>4</c:v>
                </c:pt>
                <c:pt idx="12">
                  <c:v>31.6</c:v>
                </c:pt>
                <c:pt idx="13">
                  <c:v>48.8</c:v>
                </c:pt>
                <c:pt idx="14">
                  <c:v>11</c:v>
                </c:pt>
                <c:pt idx="15">
                  <c:v>37.5</c:v>
                </c:pt>
                <c:pt idx="16">
                  <c:v>41.8</c:v>
                </c:pt>
                <c:pt idx="17">
                  <c:v>35.200000000000003</c:v>
                </c:pt>
                <c:pt idx="18">
                  <c:v>35.799999999999997</c:v>
                </c:pt>
                <c:pt idx="19">
                  <c:v>52.2</c:v>
                </c:pt>
                <c:pt idx="20">
                  <c:v>69.900000000000006</c:v>
                </c:pt>
                <c:pt idx="21">
                  <c:v>33.200000000000003</c:v>
                </c:pt>
                <c:pt idx="22">
                  <c:v>20.6</c:v>
                </c:pt>
                <c:pt idx="23">
                  <c:v>24.9</c:v>
                </c:pt>
                <c:pt idx="24">
                  <c:v>25.5</c:v>
                </c:pt>
                <c:pt idx="25">
                  <c:v>4.7</c:v>
                </c:pt>
                <c:pt idx="26">
                  <c:v>14.2</c:v>
                </c:pt>
                <c:pt idx="27">
                  <c:v>21.7</c:v>
                </c:pt>
                <c:pt idx="28">
                  <c:v>21.5</c:v>
                </c:pt>
                <c:pt idx="29">
                  <c:v>23.8</c:v>
                </c:pt>
                <c:pt idx="30">
                  <c:v>41</c:v>
                </c:pt>
                <c:pt idx="31">
                  <c:v>43.8</c:v>
                </c:pt>
                <c:pt idx="32">
                  <c:v>21.5</c:v>
                </c:pt>
                <c:pt idx="33">
                  <c:v>14.3</c:v>
                </c:pt>
                <c:pt idx="34">
                  <c:v>3.1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IRG!$B$3:$B$39</c:f>
              <c:strCache>
                <c:ptCount val="37"/>
                <c:pt idx="0">
                  <c:v>NOMBRE</c:v>
                </c:pt>
                <c:pt idx="1">
                  <c:v>Valery Isabela Arias Rodriguez (17/02/26)  (5/6)</c:v>
                </c:pt>
                <c:pt idx="2">
                  <c:v>JENNIFER ADRIANA CRUZ SALGADO
  (28/01/26)  (4/6)</c:v>
                </c:pt>
                <c:pt idx="3">
                  <c:v>ABNER DAVID SILVA CLEVENGER (30/01/26) (4/6)*** USA (4-16 al 30) (5-30 al 13)</c:v>
                </c:pt>
                <c:pt idx="4">
                  <c:v>WILSON JAFETH FLORES GARCIA  (19/02/26) (5/6)</c:v>
                </c:pt>
                <c:pt idx="5">
                  <c:v>MONICA SOFIA QUIJADA GARCIA  (13/02/26) (4/6)</c:v>
                </c:pt>
                <c:pt idx="6">
                  <c:v>IVANA ALEJANDRA BACA IZAGUIRRE (24/02/26) (5/6)</c:v>
                </c:pt>
                <c:pt idx="7">
                  <c:v>JOSE ANGEL PONCE SALAZAR (24/02/26) (5/6)</c:v>
                </c:pt>
                <c:pt idx="8">
                  <c:v>LESLY DAYANA MELGAR MARQUEZ (29/02/26)  (5/6)</c:v>
                </c:pt>
                <c:pt idx="9">
                  <c:v>ESTEFANY JULIETH PADILLA MEJIA (25/02/26) (5/6)</c:v>
                </c:pt>
                <c:pt idx="10">
                  <c:v>MISLEYDI LUCILA VIDEA PADILLA  (13/02/26) (4/6)</c:v>
                </c:pt>
                <c:pt idx="11">
                  <c:v>MONICA VALERIA MONJARREZ ZUNIGA (26/02/26) (5/6)</c:v>
                </c:pt>
                <c:pt idx="12">
                  <c:v>STEFANNY NICOLLE ORDOÑEZ DORMES  (11/02/26)  (4/6)** Revisar MCG</c:v>
                </c:pt>
                <c:pt idx="13">
                  <c:v>ESTRELLA DINORAH ALMENDARES CASTRO  (24/02/26)  (5/6)</c:v>
                </c:pt>
                <c:pt idx="14">
                  <c:v>LUIS JEANCARLO ZELAYA HERNANDEZ  (16/02/26)  (3/6)</c:v>
                </c:pt>
                <c:pt idx="15">
                  <c:v>MILEIDY SARAY MANCIA ZAVALA  (25/02/26)  (3/6)</c:v>
                </c:pt>
                <c:pt idx="16">
                  <c:v>ELSY SARAY MEJIA LAGOS  (16/02/26)  (4/6)</c:v>
                </c:pt>
                <c:pt idx="17">
                  <c:v>JAFETH DAVID MONDRAGON NUÑEZ  (19/02/25) (4/6)</c:v>
                </c:pt>
                <c:pt idx="18">
                  <c:v>ODALIS MICHELLE PAGAN MENCIA  (20/02/26) (4/6)</c:v>
                </c:pt>
                <c:pt idx="19">
                  <c:v>MATEO FARID WOODS PON  (16/02/26) (3/6)</c:v>
                </c:pt>
                <c:pt idx="20">
                  <c:v>WILSON JOSE TORRES ESCOBAR  (16/02/26) (4/6)</c:v>
                </c:pt>
                <c:pt idx="21">
                  <c:v>SAUL ANDRES ESCALANTE GRADIZ  (18/02/26) (4/6)</c:v>
                </c:pt>
                <c:pt idx="22">
                  <c:v>BIANCA VALENTINA ALMENDAREZ CHACON  (18/02/26) (4/6)</c:v>
                </c:pt>
                <c:pt idx="23">
                  <c:v>AMY FERNANDA CASTILLO MAIRENA (13/02/26) (3/6)</c:v>
                </c:pt>
                <c:pt idx="24">
                  <c:v>HELEN ANAHI ZHEN LARA (12/02/26) (3/6)</c:v>
                </c:pt>
                <c:pt idx="25">
                  <c:v>MOISES DAVID CASCO FUNEZ   (20/02/26) (4/6)</c:v>
                </c:pt>
                <c:pt idx="26">
                  <c:v>KEYLIN SOLANGE BOLAÑOS STYLES (16/02/26) (4/6)</c:v>
                </c:pt>
                <c:pt idx="27">
                  <c:v>MARIA FERNANDA MOLINA NUÑEZ (24/02/26) (4/6)</c:v>
                </c:pt>
                <c:pt idx="28">
                  <c:v>DYLIN NICOLLE BEJARANO FUNES (12/02/26) (3/6)</c:v>
                </c:pt>
                <c:pt idx="29">
                  <c:v>ANGIE MARIANA IRIAS CASTRO  (17/02/26) (3/6)</c:v>
                </c:pt>
                <c:pt idx="30">
                  <c:v>NELSON SAMUEL VELASQUEZ VELASQUEZ  (18/02/26) (3/6)</c:v>
                </c:pt>
                <c:pt idx="31">
                  <c:v>Yonathan Moises Funes Vindel (25/02/26) (3/6) </c:v>
                </c:pt>
                <c:pt idx="32">
                  <c:v>ENAN ONAY GOMEZ AVILA (13-02-26) (2/6)</c:v>
                </c:pt>
                <c:pt idx="33">
                  <c:v>ROGER VALENTIN GUTIERREZ ESPINOZA  (25/02/26) (2/6) </c:v>
                </c:pt>
                <c:pt idx="34">
                  <c:v>KATHERIN MABEL GONZALEZ RAMIREZ (13-02-26) (1/6)</c:v>
                </c:pt>
                <c:pt idx="35">
                  <c:v>LOIDA ESTHER DIAZ SALGADO (12/03/26) (1)
</c:v>
                </c:pt>
                <c:pt idx="36">
                  <c:v>DANIA ROSMERY VASQUEZ MADRID (13/03/26) (1)</c:v>
                </c:pt>
              </c:strCache>
            </c:strRef>
          </c:cat>
          <c:val>
            <c:numRef>
              <c:f>IRG!$G$3:$G$39</c:f>
              <c:numCache>
                <c:formatCode>General</c:formatCode>
                <c:ptCount val="37"/>
                <c:pt idx="0">
                  <c:v>0</c:v>
                </c:pt>
                <c:pt idx="1">
                  <c:v>29.9</c:v>
                </c:pt>
                <c:pt idx="2">
                  <c:v>92</c:v>
                </c:pt>
                <c:pt idx="3">
                  <c:v>58.3</c:v>
                </c:pt>
                <c:pt idx="4">
                  <c:v>43.6</c:v>
                </c:pt>
                <c:pt idx="5">
                  <c:v>60.3</c:v>
                </c:pt>
                <c:pt idx="6">
                  <c:v>52</c:v>
                </c:pt>
                <c:pt idx="7">
                  <c:v>7.6</c:v>
                </c:pt>
                <c:pt idx="8">
                  <c:v>17.2</c:v>
                </c:pt>
                <c:pt idx="9">
                  <c:v>16.100000000000001</c:v>
                </c:pt>
                <c:pt idx="10">
                  <c:v>6.6</c:v>
                </c:pt>
                <c:pt idx="11">
                  <c:v>8.3000000000000007</c:v>
                </c:pt>
                <c:pt idx="12">
                  <c:v>0</c:v>
                </c:pt>
                <c:pt idx="13">
                  <c:v>8</c:v>
                </c:pt>
                <c:pt idx="14">
                  <c:v>10</c:v>
                </c:pt>
                <c:pt idx="15">
                  <c:v>30.5</c:v>
                </c:pt>
                <c:pt idx="16">
                  <c:v>41.8</c:v>
                </c:pt>
                <c:pt idx="17">
                  <c:v>28.9</c:v>
                </c:pt>
                <c:pt idx="18">
                  <c:v>22.4</c:v>
                </c:pt>
                <c:pt idx="19">
                  <c:v>32.9</c:v>
                </c:pt>
                <c:pt idx="20">
                  <c:v>54.5</c:v>
                </c:pt>
                <c:pt idx="21">
                  <c:v>23.8</c:v>
                </c:pt>
                <c:pt idx="22">
                  <c:v>14.4</c:v>
                </c:pt>
                <c:pt idx="23">
                  <c:v>26.2</c:v>
                </c:pt>
                <c:pt idx="24">
                  <c:v>26.2</c:v>
                </c:pt>
                <c:pt idx="25">
                  <c:v>1.8</c:v>
                </c:pt>
                <c:pt idx="26">
                  <c:v>12</c:v>
                </c:pt>
                <c:pt idx="27">
                  <c:v>24.3</c:v>
                </c:pt>
                <c:pt idx="28">
                  <c:v>123.9</c:v>
                </c:pt>
                <c:pt idx="29">
                  <c:v>35.799999999999997</c:v>
                </c:pt>
                <c:pt idx="30">
                  <c:v>50</c:v>
                </c:pt>
                <c:pt idx="31">
                  <c:v>16</c:v>
                </c:pt>
                <c:pt idx="33">
                  <c:v>11.4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IRG!$B$3:$B$39</c:f>
              <c:strCache>
                <c:ptCount val="37"/>
                <c:pt idx="0">
                  <c:v>NOMBRE</c:v>
                </c:pt>
                <c:pt idx="1">
                  <c:v>Valery Isabela Arias Rodriguez (17/02/26)  (5/6)</c:v>
                </c:pt>
                <c:pt idx="2">
                  <c:v>JENNIFER ADRIANA CRUZ SALGADO
  (28/01/26)  (4/6)</c:v>
                </c:pt>
                <c:pt idx="3">
                  <c:v>ABNER DAVID SILVA CLEVENGER (30/01/26) (4/6)*** USA (4-16 al 30) (5-30 al 13)</c:v>
                </c:pt>
                <c:pt idx="4">
                  <c:v>WILSON JAFETH FLORES GARCIA  (19/02/26) (5/6)</c:v>
                </c:pt>
                <c:pt idx="5">
                  <c:v>MONICA SOFIA QUIJADA GARCIA  (13/02/26) (4/6)</c:v>
                </c:pt>
                <c:pt idx="6">
                  <c:v>IVANA ALEJANDRA BACA IZAGUIRRE (24/02/26) (5/6)</c:v>
                </c:pt>
                <c:pt idx="7">
                  <c:v>JOSE ANGEL PONCE SALAZAR (24/02/26) (5/6)</c:v>
                </c:pt>
                <c:pt idx="8">
                  <c:v>LESLY DAYANA MELGAR MARQUEZ (29/02/26)  (5/6)</c:v>
                </c:pt>
                <c:pt idx="9">
                  <c:v>ESTEFANY JULIETH PADILLA MEJIA (25/02/26) (5/6)</c:v>
                </c:pt>
                <c:pt idx="10">
                  <c:v>MISLEYDI LUCILA VIDEA PADILLA  (13/02/26) (4/6)</c:v>
                </c:pt>
                <c:pt idx="11">
                  <c:v>MONICA VALERIA MONJARREZ ZUNIGA (26/02/26) (5/6)</c:v>
                </c:pt>
                <c:pt idx="12">
                  <c:v>STEFANNY NICOLLE ORDOÑEZ DORMES  (11/02/26)  (4/6)** Revisar MCG</c:v>
                </c:pt>
                <c:pt idx="13">
                  <c:v>ESTRELLA DINORAH ALMENDARES CASTRO  (24/02/26)  (5/6)</c:v>
                </c:pt>
                <c:pt idx="14">
                  <c:v>LUIS JEANCARLO ZELAYA HERNANDEZ  (16/02/26)  (3/6)</c:v>
                </c:pt>
                <c:pt idx="15">
                  <c:v>MILEIDY SARAY MANCIA ZAVALA  (25/02/26)  (3/6)</c:v>
                </c:pt>
                <c:pt idx="16">
                  <c:v>ELSY SARAY MEJIA LAGOS  (16/02/26)  (4/6)</c:v>
                </c:pt>
                <c:pt idx="17">
                  <c:v>JAFETH DAVID MONDRAGON NUÑEZ  (19/02/25) (4/6)</c:v>
                </c:pt>
                <c:pt idx="18">
                  <c:v>ODALIS MICHELLE PAGAN MENCIA  (20/02/26) (4/6)</c:v>
                </c:pt>
                <c:pt idx="19">
                  <c:v>MATEO FARID WOODS PON  (16/02/26) (3/6)</c:v>
                </c:pt>
                <c:pt idx="20">
                  <c:v>WILSON JOSE TORRES ESCOBAR  (16/02/26) (4/6)</c:v>
                </c:pt>
                <c:pt idx="21">
                  <c:v>SAUL ANDRES ESCALANTE GRADIZ  (18/02/26) (4/6)</c:v>
                </c:pt>
                <c:pt idx="22">
                  <c:v>BIANCA VALENTINA ALMENDAREZ CHACON  (18/02/26) (4/6)</c:v>
                </c:pt>
                <c:pt idx="23">
                  <c:v>AMY FERNANDA CASTILLO MAIRENA (13/02/26) (3/6)</c:v>
                </c:pt>
                <c:pt idx="24">
                  <c:v>HELEN ANAHI ZHEN LARA (12/02/26) (3/6)</c:v>
                </c:pt>
                <c:pt idx="25">
                  <c:v>MOISES DAVID CASCO FUNEZ   (20/02/26) (4/6)</c:v>
                </c:pt>
                <c:pt idx="26">
                  <c:v>KEYLIN SOLANGE BOLAÑOS STYLES (16/02/26) (4/6)</c:v>
                </c:pt>
                <c:pt idx="27">
                  <c:v>MARIA FERNANDA MOLINA NUÑEZ (24/02/26) (4/6)</c:v>
                </c:pt>
                <c:pt idx="28">
                  <c:v>DYLIN NICOLLE BEJARANO FUNES (12/02/26) (3/6)</c:v>
                </c:pt>
                <c:pt idx="29">
                  <c:v>ANGIE MARIANA IRIAS CASTRO  (17/02/26) (3/6)</c:v>
                </c:pt>
                <c:pt idx="30">
                  <c:v>NELSON SAMUEL VELASQUEZ VELASQUEZ  (18/02/26) (3/6)</c:v>
                </c:pt>
                <c:pt idx="31">
                  <c:v>Yonathan Moises Funes Vindel (25/02/26) (3/6) </c:v>
                </c:pt>
                <c:pt idx="32">
                  <c:v>ENAN ONAY GOMEZ AVILA (13-02-26) (2/6)</c:v>
                </c:pt>
                <c:pt idx="33">
                  <c:v>ROGER VALENTIN GUTIERREZ ESPINOZA  (25/02/26) (2/6) </c:v>
                </c:pt>
                <c:pt idx="34">
                  <c:v>KATHERIN MABEL GONZALEZ RAMIREZ (13-02-26) (1/6)</c:v>
                </c:pt>
                <c:pt idx="35">
                  <c:v>LOIDA ESTHER DIAZ SALGADO (12/03/26) (1)
</c:v>
                </c:pt>
                <c:pt idx="36">
                  <c:v>DANIA ROSMERY VASQUEZ MADRID (13/03/26) (1)</c:v>
                </c:pt>
              </c:strCache>
            </c:strRef>
          </c:cat>
          <c:val>
            <c:numRef>
              <c:f>IRG!$H$3:$H$39</c:f>
              <c:numCache>
                <c:formatCode>General</c:formatCode>
                <c:ptCount val="37"/>
                <c:pt idx="0">
                  <c:v>0</c:v>
                </c:pt>
                <c:pt idx="1">
                  <c:v>41.6</c:v>
                </c:pt>
                <c:pt idx="2">
                  <c:v>76</c:v>
                </c:pt>
                <c:pt idx="3">
                  <c:v>49</c:v>
                </c:pt>
                <c:pt idx="4">
                  <c:v>40.5</c:v>
                </c:pt>
                <c:pt idx="5">
                  <c:v>64.599999999999994</c:v>
                </c:pt>
                <c:pt idx="6">
                  <c:v>95.2</c:v>
                </c:pt>
                <c:pt idx="7">
                  <c:v>12.2</c:v>
                </c:pt>
                <c:pt idx="9">
                  <c:v>16.899999999999999</c:v>
                </c:pt>
                <c:pt idx="10">
                  <c:v>3</c:v>
                </c:pt>
                <c:pt idx="11">
                  <c:v>18.100000000000001</c:v>
                </c:pt>
                <c:pt idx="12">
                  <c:v>49.8</c:v>
                </c:pt>
                <c:pt idx="13">
                  <c:v>44.6</c:v>
                </c:pt>
                <c:pt idx="14">
                  <c:v>16.399999999999999</c:v>
                </c:pt>
                <c:pt idx="15">
                  <c:v>42.5</c:v>
                </c:pt>
                <c:pt idx="16">
                  <c:v>67</c:v>
                </c:pt>
                <c:pt idx="17">
                  <c:v>32.200000000000003</c:v>
                </c:pt>
                <c:pt idx="18">
                  <c:v>23</c:v>
                </c:pt>
                <c:pt idx="19">
                  <c:v>64.900000000000006</c:v>
                </c:pt>
                <c:pt idx="20">
                  <c:v>54.8</c:v>
                </c:pt>
                <c:pt idx="21">
                  <c:v>15.1</c:v>
                </c:pt>
                <c:pt idx="22">
                  <c:v>33.200000000000003</c:v>
                </c:pt>
                <c:pt idx="23">
                  <c:v>40.299999999999997</c:v>
                </c:pt>
                <c:pt idx="24">
                  <c:v>33.5</c:v>
                </c:pt>
                <c:pt idx="25">
                  <c:v>0.3</c:v>
                </c:pt>
                <c:pt idx="26">
                  <c:v>12.4</c:v>
                </c:pt>
                <c:pt idx="27">
                  <c:v>18.899999999999999</c:v>
                </c:pt>
                <c:pt idx="28">
                  <c:v>52.1</c:v>
                </c:pt>
                <c:pt idx="29">
                  <c:v>32.299999999999997</c:v>
                </c:pt>
                <c:pt idx="30">
                  <c:v>14.2</c:v>
                </c:pt>
                <c:pt idx="31">
                  <c:v>15.9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IRG!$B$3:$B$39</c:f>
              <c:strCache>
                <c:ptCount val="37"/>
                <c:pt idx="0">
                  <c:v>NOMBRE</c:v>
                </c:pt>
                <c:pt idx="1">
                  <c:v>Valery Isabela Arias Rodriguez (17/02/26)  (5/6)</c:v>
                </c:pt>
                <c:pt idx="2">
                  <c:v>JENNIFER ADRIANA CRUZ SALGADO
  (28/01/26)  (4/6)</c:v>
                </c:pt>
                <c:pt idx="3">
                  <c:v>ABNER DAVID SILVA CLEVENGER (30/01/26) (4/6)*** USA (4-16 al 30) (5-30 al 13)</c:v>
                </c:pt>
                <c:pt idx="4">
                  <c:v>WILSON JAFETH FLORES GARCIA  (19/02/26) (5/6)</c:v>
                </c:pt>
                <c:pt idx="5">
                  <c:v>MONICA SOFIA QUIJADA GARCIA  (13/02/26) (4/6)</c:v>
                </c:pt>
                <c:pt idx="6">
                  <c:v>IVANA ALEJANDRA BACA IZAGUIRRE (24/02/26) (5/6)</c:v>
                </c:pt>
                <c:pt idx="7">
                  <c:v>JOSE ANGEL PONCE SALAZAR (24/02/26) (5/6)</c:v>
                </c:pt>
                <c:pt idx="8">
                  <c:v>LESLY DAYANA MELGAR MARQUEZ (29/02/26)  (5/6)</c:v>
                </c:pt>
                <c:pt idx="9">
                  <c:v>ESTEFANY JULIETH PADILLA MEJIA (25/02/26) (5/6)</c:v>
                </c:pt>
                <c:pt idx="10">
                  <c:v>MISLEYDI LUCILA VIDEA PADILLA  (13/02/26) (4/6)</c:v>
                </c:pt>
                <c:pt idx="11">
                  <c:v>MONICA VALERIA MONJARREZ ZUNIGA (26/02/26) (5/6)</c:v>
                </c:pt>
                <c:pt idx="12">
                  <c:v>STEFANNY NICOLLE ORDOÑEZ DORMES  (11/02/26)  (4/6)** Revisar MCG</c:v>
                </c:pt>
                <c:pt idx="13">
                  <c:v>ESTRELLA DINORAH ALMENDARES CASTRO  (24/02/26)  (5/6)</c:v>
                </c:pt>
                <c:pt idx="14">
                  <c:v>LUIS JEANCARLO ZELAYA HERNANDEZ  (16/02/26)  (3/6)</c:v>
                </c:pt>
                <c:pt idx="15">
                  <c:v>MILEIDY SARAY MANCIA ZAVALA  (25/02/26)  (3/6)</c:v>
                </c:pt>
                <c:pt idx="16">
                  <c:v>ELSY SARAY MEJIA LAGOS  (16/02/26)  (4/6)</c:v>
                </c:pt>
                <c:pt idx="17">
                  <c:v>JAFETH DAVID MONDRAGON NUÑEZ  (19/02/25) (4/6)</c:v>
                </c:pt>
                <c:pt idx="18">
                  <c:v>ODALIS MICHELLE PAGAN MENCIA  (20/02/26) (4/6)</c:v>
                </c:pt>
                <c:pt idx="19">
                  <c:v>MATEO FARID WOODS PON  (16/02/26) (3/6)</c:v>
                </c:pt>
                <c:pt idx="20">
                  <c:v>WILSON JOSE TORRES ESCOBAR  (16/02/26) (4/6)</c:v>
                </c:pt>
                <c:pt idx="21">
                  <c:v>SAUL ANDRES ESCALANTE GRADIZ  (18/02/26) (4/6)</c:v>
                </c:pt>
                <c:pt idx="22">
                  <c:v>BIANCA VALENTINA ALMENDAREZ CHACON  (18/02/26) (4/6)</c:v>
                </c:pt>
                <c:pt idx="23">
                  <c:v>AMY FERNANDA CASTILLO MAIRENA (13/02/26) (3/6)</c:v>
                </c:pt>
                <c:pt idx="24">
                  <c:v>HELEN ANAHI ZHEN LARA (12/02/26) (3/6)</c:v>
                </c:pt>
                <c:pt idx="25">
                  <c:v>MOISES DAVID CASCO FUNEZ   (20/02/26) (4/6)</c:v>
                </c:pt>
                <c:pt idx="26">
                  <c:v>KEYLIN SOLANGE BOLAÑOS STYLES (16/02/26) (4/6)</c:v>
                </c:pt>
                <c:pt idx="27">
                  <c:v>MARIA FERNANDA MOLINA NUÑEZ (24/02/26) (4/6)</c:v>
                </c:pt>
                <c:pt idx="28">
                  <c:v>DYLIN NICOLLE BEJARANO FUNES (12/02/26) (3/6)</c:v>
                </c:pt>
                <c:pt idx="29">
                  <c:v>ANGIE MARIANA IRIAS CASTRO  (17/02/26) (3/6)</c:v>
                </c:pt>
                <c:pt idx="30">
                  <c:v>NELSON SAMUEL VELASQUEZ VELASQUEZ  (18/02/26) (3/6)</c:v>
                </c:pt>
                <c:pt idx="31">
                  <c:v>Yonathan Moises Funes Vindel (25/02/26) (3/6) </c:v>
                </c:pt>
                <c:pt idx="32">
                  <c:v>ENAN ONAY GOMEZ AVILA (13-02-26) (2/6)</c:v>
                </c:pt>
                <c:pt idx="33">
                  <c:v>ROGER VALENTIN GUTIERREZ ESPINOZA  (25/02/26) (2/6) </c:v>
                </c:pt>
                <c:pt idx="34">
                  <c:v>KATHERIN MABEL GONZALEZ RAMIREZ (13-02-26) (1/6)</c:v>
                </c:pt>
                <c:pt idx="35">
                  <c:v>LOIDA ESTHER DIAZ SALGADO (12/03/26) (1)
</c:v>
                </c:pt>
                <c:pt idx="36">
                  <c:v>DANIA ROSMERY VASQUEZ MADRID (13/03/26) (1)</c:v>
                </c:pt>
              </c:strCache>
            </c:strRef>
          </c:cat>
          <c:val>
            <c:numRef>
              <c:f>IRG!$I$3:$I$39</c:f>
              <c:numCache>
                <c:formatCode>General</c:formatCode>
                <c:ptCount val="37"/>
                <c:pt idx="0">
                  <c:v>0</c:v>
                </c:pt>
                <c:pt idx="1">
                  <c:v>38.1</c:v>
                </c:pt>
                <c:pt idx="3">
                  <c:v>38.200000000000003</c:v>
                </c:pt>
                <c:pt idx="4">
                  <c:v>61.1</c:v>
                </c:pt>
                <c:pt idx="5">
                  <c:v>46.9</c:v>
                </c:pt>
                <c:pt idx="6">
                  <c:v>22</c:v>
                </c:pt>
                <c:pt idx="7">
                  <c:v>7.8</c:v>
                </c:pt>
                <c:pt idx="8">
                  <c:v>33.9</c:v>
                </c:pt>
                <c:pt idx="9">
                  <c:v>21.7</c:v>
                </c:pt>
                <c:pt idx="10">
                  <c:v>11.5</c:v>
                </c:pt>
                <c:pt idx="11">
                  <c:v>25</c:v>
                </c:pt>
                <c:pt idx="12">
                  <c:v>42</c:v>
                </c:pt>
                <c:pt idx="13">
                  <c:v>25.9</c:v>
                </c:pt>
                <c:pt idx="14">
                  <c:v>15</c:v>
                </c:pt>
                <c:pt idx="16">
                  <c:v>42.2</c:v>
                </c:pt>
                <c:pt idx="17">
                  <c:v>27.3</c:v>
                </c:pt>
                <c:pt idx="18">
                  <c:v>16.7</c:v>
                </c:pt>
                <c:pt idx="20">
                  <c:v>62.3</c:v>
                </c:pt>
                <c:pt idx="21">
                  <c:v>16.600000000000001</c:v>
                </c:pt>
                <c:pt idx="22">
                  <c:v>22.9</c:v>
                </c:pt>
                <c:pt idx="23">
                  <c:v>38.6</c:v>
                </c:pt>
                <c:pt idx="25">
                  <c:v>2.2999999999999998</c:v>
                </c:pt>
                <c:pt idx="26">
                  <c:v>26.3</c:v>
                </c:pt>
                <c:pt idx="27">
                  <c:v>27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IRG!$B$3:$B$39</c:f>
              <c:strCache>
                <c:ptCount val="37"/>
                <c:pt idx="0">
                  <c:v>NOMBRE</c:v>
                </c:pt>
                <c:pt idx="1">
                  <c:v>Valery Isabela Arias Rodriguez (17/02/26)  (5/6)</c:v>
                </c:pt>
                <c:pt idx="2">
                  <c:v>JENNIFER ADRIANA CRUZ SALGADO
  (28/01/26)  (4/6)</c:v>
                </c:pt>
                <c:pt idx="3">
                  <c:v>ABNER DAVID SILVA CLEVENGER (30/01/26) (4/6)*** USA (4-16 al 30) (5-30 al 13)</c:v>
                </c:pt>
                <c:pt idx="4">
                  <c:v>WILSON JAFETH FLORES GARCIA  (19/02/26) (5/6)</c:v>
                </c:pt>
                <c:pt idx="5">
                  <c:v>MONICA SOFIA QUIJADA GARCIA  (13/02/26) (4/6)</c:v>
                </c:pt>
                <c:pt idx="6">
                  <c:v>IVANA ALEJANDRA BACA IZAGUIRRE (24/02/26) (5/6)</c:v>
                </c:pt>
                <c:pt idx="7">
                  <c:v>JOSE ANGEL PONCE SALAZAR (24/02/26) (5/6)</c:v>
                </c:pt>
                <c:pt idx="8">
                  <c:v>LESLY DAYANA MELGAR MARQUEZ (29/02/26)  (5/6)</c:v>
                </c:pt>
                <c:pt idx="9">
                  <c:v>ESTEFANY JULIETH PADILLA MEJIA (25/02/26) (5/6)</c:v>
                </c:pt>
                <c:pt idx="10">
                  <c:v>MISLEYDI LUCILA VIDEA PADILLA  (13/02/26) (4/6)</c:v>
                </c:pt>
                <c:pt idx="11">
                  <c:v>MONICA VALERIA MONJARREZ ZUNIGA (26/02/26) (5/6)</c:v>
                </c:pt>
                <c:pt idx="12">
                  <c:v>STEFANNY NICOLLE ORDOÑEZ DORMES  (11/02/26)  (4/6)** Revisar MCG</c:v>
                </c:pt>
                <c:pt idx="13">
                  <c:v>ESTRELLA DINORAH ALMENDARES CASTRO  (24/02/26)  (5/6)</c:v>
                </c:pt>
                <c:pt idx="14">
                  <c:v>LUIS JEANCARLO ZELAYA HERNANDEZ  (16/02/26)  (3/6)</c:v>
                </c:pt>
                <c:pt idx="15">
                  <c:v>MILEIDY SARAY MANCIA ZAVALA  (25/02/26)  (3/6)</c:v>
                </c:pt>
                <c:pt idx="16">
                  <c:v>ELSY SARAY MEJIA LAGOS  (16/02/26)  (4/6)</c:v>
                </c:pt>
                <c:pt idx="17">
                  <c:v>JAFETH DAVID MONDRAGON NUÑEZ  (19/02/25) (4/6)</c:v>
                </c:pt>
                <c:pt idx="18">
                  <c:v>ODALIS MICHELLE PAGAN MENCIA  (20/02/26) (4/6)</c:v>
                </c:pt>
                <c:pt idx="19">
                  <c:v>MATEO FARID WOODS PON  (16/02/26) (3/6)</c:v>
                </c:pt>
                <c:pt idx="20">
                  <c:v>WILSON JOSE TORRES ESCOBAR  (16/02/26) (4/6)</c:v>
                </c:pt>
                <c:pt idx="21">
                  <c:v>SAUL ANDRES ESCALANTE GRADIZ  (18/02/26) (4/6)</c:v>
                </c:pt>
                <c:pt idx="22">
                  <c:v>BIANCA VALENTINA ALMENDAREZ CHACON  (18/02/26) (4/6)</c:v>
                </c:pt>
                <c:pt idx="23">
                  <c:v>AMY FERNANDA CASTILLO MAIRENA (13/02/26) (3/6)</c:v>
                </c:pt>
                <c:pt idx="24">
                  <c:v>HELEN ANAHI ZHEN LARA (12/02/26) (3/6)</c:v>
                </c:pt>
                <c:pt idx="25">
                  <c:v>MOISES DAVID CASCO FUNEZ   (20/02/26) (4/6)</c:v>
                </c:pt>
                <c:pt idx="26">
                  <c:v>KEYLIN SOLANGE BOLAÑOS STYLES (16/02/26) (4/6)</c:v>
                </c:pt>
                <c:pt idx="27">
                  <c:v>MARIA FERNANDA MOLINA NUÑEZ (24/02/26) (4/6)</c:v>
                </c:pt>
                <c:pt idx="28">
                  <c:v>DYLIN NICOLLE BEJARANO FUNES (12/02/26) (3/6)</c:v>
                </c:pt>
                <c:pt idx="29">
                  <c:v>ANGIE MARIANA IRIAS CASTRO  (17/02/26) (3/6)</c:v>
                </c:pt>
                <c:pt idx="30">
                  <c:v>NELSON SAMUEL VELASQUEZ VELASQUEZ  (18/02/26) (3/6)</c:v>
                </c:pt>
                <c:pt idx="31">
                  <c:v>Yonathan Moises Funes Vindel (25/02/26) (3/6) </c:v>
                </c:pt>
                <c:pt idx="32">
                  <c:v>ENAN ONAY GOMEZ AVILA (13-02-26) (2/6)</c:v>
                </c:pt>
                <c:pt idx="33">
                  <c:v>ROGER VALENTIN GUTIERREZ ESPINOZA  (25/02/26) (2/6) </c:v>
                </c:pt>
                <c:pt idx="34">
                  <c:v>KATHERIN MABEL GONZALEZ RAMIREZ (13-02-26) (1/6)</c:v>
                </c:pt>
                <c:pt idx="35">
                  <c:v>LOIDA ESTHER DIAZ SALGADO (12/03/26) (1)
</c:v>
                </c:pt>
                <c:pt idx="36">
                  <c:v>DANIA ROSMERY VASQUEZ MADRID (13/03/26) (1)</c:v>
                </c:pt>
              </c:strCache>
            </c:strRef>
          </c:cat>
          <c:val>
            <c:numRef>
              <c:f>IRG!$J$3:$J$39</c:f>
              <c:numCache>
                <c:formatCode>General</c:formatCode>
                <c:ptCount val="37"/>
                <c:pt idx="0">
                  <c:v>0</c:v>
                </c:pt>
                <c:pt idx="1">
                  <c:v>38.1</c:v>
                </c:pt>
                <c:pt idx="3">
                  <c:v>82.1</c:v>
                </c:pt>
                <c:pt idx="4">
                  <c:v>48.8</c:v>
                </c:pt>
                <c:pt idx="6">
                  <c:v>17.399999999999999</c:v>
                </c:pt>
                <c:pt idx="7">
                  <c:v>14.8</c:v>
                </c:pt>
                <c:pt idx="8">
                  <c:v>43</c:v>
                </c:pt>
                <c:pt idx="9">
                  <c:v>20.2</c:v>
                </c:pt>
                <c:pt idx="10">
                  <c:v>7.2</c:v>
                </c:pt>
                <c:pt idx="11">
                  <c:v>12.4</c:v>
                </c:pt>
                <c:pt idx="13">
                  <c:v>13.3</c:v>
                </c:pt>
                <c:pt idx="26">
                  <c:v>25.1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IRG!$B$3:$B$39</c:f>
              <c:strCache>
                <c:ptCount val="37"/>
                <c:pt idx="0">
                  <c:v>NOMBRE</c:v>
                </c:pt>
                <c:pt idx="1">
                  <c:v>Valery Isabela Arias Rodriguez (17/02/26)  (5/6)</c:v>
                </c:pt>
                <c:pt idx="2">
                  <c:v>JENNIFER ADRIANA CRUZ SALGADO
  (28/01/26)  (4/6)</c:v>
                </c:pt>
                <c:pt idx="3">
                  <c:v>ABNER DAVID SILVA CLEVENGER (30/01/26) (4/6)*** USA (4-16 al 30) (5-30 al 13)</c:v>
                </c:pt>
                <c:pt idx="4">
                  <c:v>WILSON JAFETH FLORES GARCIA  (19/02/26) (5/6)</c:v>
                </c:pt>
                <c:pt idx="5">
                  <c:v>MONICA SOFIA QUIJADA GARCIA  (13/02/26) (4/6)</c:v>
                </c:pt>
                <c:pt idx="6">
                  <c:v>IVANA ALEJANDRA BACA IZAGUIRRE (24/02/26) (5/6)</c:v>
                </c:pt>
                <c:pt idx="7">
                  <c:v>JOSE ANGEL PONCE SALAZAR (24/02/26) (5/6)</c:v>
                </c:pt>
                <c:pt idx="8">
                  <c:v>LESLY DAYANA MELGAR MARQUEZ (29/02/26)  (5/6)</c:v>
                </c:pt>
                <c:pt idx="9">
                  <c:v>ESTEFANY JULIETH PADILLA MEJIA (25/02/26) (5/6)</c:v>
                </c:pt>
                <c:pt idx="10">
                  <c:v>MISLEYDI LUCILA VIDEA PADILLA  (13/02/26) (4/6)</c:v>
                </c:pt>
                <c:pt idx="11">
                  <c:v>MONICA VALERIA MONJARREZ ZUNIGA (26/02/26) (5/6)</c:v>
                </c:pt>
                <c:pt idx="12">
                  <c:v>STEFANNY NICOLLE ORDOÑEZ DORMES  (11/02/26)  (4/6)** Revisar MCG</c:v>
                </c:pt>
                <c:pt idx="13">
                  <c:v>ESTRELLA DINORAH ALMENDARES CASTRO  (24/02/26)  (5/6)</c:v>
                </c:pt>
                <c:pt idx="14">
                  <c:v>LUIS JEANCARLO ZELAYA HERNANDEZ  (16/02/26)  (3/6)</c:v>
                </c:pt>
                <c:pt idx="15">
                  <c:v>MILEIDY SARAY MANCIA ZAVALA  (25/02/26)  (3/6)</c:v>
                </c:pt>
                <c:pt idx="16">
                  <c:v>ELSY SARAY MEJIA LAGOS  (16/02/26)  (4/6)</c:v>
                </c:pt>
                <c:pt idx="17">
                  <c:v>JAFETH DAVID MONDRAGON NUÑEZ  (19/02/25) (4/6)</c:v>
                </c:pt>
                <c:pt idx="18">
                  <c:v>ODALIS MICHELLE PAGAN MENCIA  (20/02/26) (4/6)</c:v>
                </c:pt>
                <c:pt idx="19">
                  <c:v>MATEO FARID WOODS PON  (16/02/26) (3/6)</c:v>
                </c:pt>
                <c:pt idx="20">
                  <c:v>WILSON JOSE TORRES ESCOBAR  (16/02/26) (4/6)</c:v>
                </c:pt>
                <c:pt idx="21">
                  <c:v>SAUL ANDRES ESCALANTE GRADIZ  (18/02/26) (4/6)</c:v>
                </c:pt>
                <c:pt idx="22">
                  <c:v>BIANCA VALENTINA ALMENDAREZ CHACON  (18/02/26) (4/6)</c:v>
                </c:pt>
                <c:pt idx="23">
                  <c:v>AMY FERNANDA CASTILLO MAIRENA (13/02/26) (3/6)</c:v>
                </c:pt>
                <c:pt idx="24">
                  <c:v>HELEN ANAHI ZHEN LARA (12/02/26) (3/6)</c:v>
                </c:pt>
                <c:pt idx="25">
                  <c:v>MOISES DAVID CASCO FUNEZ   (20/02/26) (4/6)</c:v>
                </c:pt>
                <c:pt idx="26">
                  <c:v>KEYLIN SOLANGE BOLAÑOS STYLES (16/02/26) (4/6)</c:v>
                </c:pt>
                <c:pt idx="27">
                  <c:v>MARIA FERNANDA MOLINA NUÑEZ (24/02/26) (4/6)</c:v>
                </c:pt>
                <c:pt idx="28">
                  <c:v>DYLIN NICOLLE BEJARANO FUNES (12/02/26) (3/6)</c:v>
                </c:pt>
                <c:pt idx="29">
                  <c:v>ANGIE MARIANA IRIAS CASTRO  (17/02/26) (3/6)</c:v>
                </c:pt>
                <c:pt idx="30">
                  <c:v>NELSON SAMUEL VELASQUEZ VELASQUEZ  (18/02/26) (3/6)</c:v>
                </c:pt>
                <c:pt idx="31">
                  <c:v>Yonathan Moises Funes Vindel (25/02/26) (3/6) </c:v>
                </c:pt>
                <c:pt idx="32">
                  <c:v>ENAN ONAY GOMEZ AVILA (13-02-26) (2/6)</c:v>
                </c:pt>
                <c:pt idx="33">
                  <c:v>ROGER VALENTIN GUTIERREZ ESPINOZA  (25/02/26) (2/6) </c:v>
                </c:pt>
                <c:pt idx="34">
                  <c:v>KATHERIN MABEL GONZALEZ RAMIREZ (13-02-26) (1/6)</c:v>
                </c:pt>
                <c:pt idx="35">
                  <c:v>LOIDA ESTHER DIAZ SALGADO (12/03/26) (1)
</c:v>
                </c:pt>
                <c:pt idx="36">
                  <c:v>DANIA ROSMERY VASQUEZ MADRID (13/03/26) (1)</c:v>
                </c:pt>
              </c:strCache>
            </c:strRef>
          </c:cat>
          <c:val>
            <c:numRef>
              <c:f>IRG!$K$3:$K$39</c:f>
              <c:numCache>
                <c:formatCode>General</c:formatCode>
                <c:ptCount val="37"/>
                <c:pt idx="0">
                  <c:v>0</c:v>
                </c:pt>
                <c:pt idx="3">
                  <c:v>32.6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082432"/>
        <c:axId val="228082992"/>
      </c:barChart>
      <c:catAx>
        <c:axId val="22808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082992"/>
        <c:crosses val="autoZero"/>
        <c:auto val="1"/>
        <c:lblAlgn val="ctr"/>
        <c:lblOffset val="100"/>
        <c:noMultiLvlLbl val="0"/>
      </c:catAx>
      <c:valAx>
        <c:axId val="2280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08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PROMEDIO IRG NIÑAS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IRG!$B$45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IRG!$C$44:$I$44</c:f>
              <c:strCache>
                <c:ptCount val="7"/>
                <c:pt idx="0">
                  <c:v>IRG 1</c:v>
                </c:pt>
                <c:pt idx="1">
                  <c:v>IRG 2</c:v>
                </c:pt>
                <c:pt idx="2">
                  <c:v>IRG 3</c:v>
                </c:pt>
                <c:pt idx="3">
                  <c:v>IRG 4</c:v>
                </c:pt>
                <c:pt idx="4">
                  <c:v>IRG 5</c:v>
                </c:pt>
                <c:pt idx="5">
                  <c:v>IRG 6</c:v>
                </c:pt>
                <c:pt idx="6">
                  <c:v>IRG 7</c:v>
                </c:pt>
              </c:strCache>
            </c:strRef>
          </c:cat>
          <c:val>
            <c:numRef>
              <c:f>IRG!$C$45:$I$45</c:f>
              <c:numCache>
                <c:formatCode>0.00</c:formatCode>
                <c:ptCount val="7"/>
                <c:pt idx="0">
                  <c:v>51.365217391304341</c:v>
                </c:pt>
                <c:pt idx="1">
                  <c:v>36.671428571428571</c:v>
                </c:pt>
                <c:pt idx="2">
                  <c:v>32.394999999999996</c:v>
                </c:pt>
                <c:pt idx="3">
                  <c:v>38.249999999999993</c:v>
                </c:pt>
                <c:pt idx="4">
                  <c:v>29.38</c:v>
                </c:pt>
                <c:pt idx="5">
                  <c:v>22.087500000000002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418800"/>
        <c:axId val="228419360"/>
      </c:barChart>
      <c:catAx>
        <c:axId val="22841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419360"/>
        <c:crosses val="autoZero"/>
        <c:auto val="1"/>
        <c:lblAlgn val="ctr"/>
        <c:lblOffset val="100"/>
        <c:noMultiLvlLbl val="0"/>
      </c:catAx>
      <c:valAx>
        <c:axId val="2284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41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PROMEDIO IRG</a:t>
            </a:r>
            <a:r>
              <a:rPr lang="es-ES" b="1" baseline="0"/>
              <a:t> NIÑOS</a:t>
            </a:r>
            <a:endParaRPr lang="es-E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IRG!$B$49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IRG!$C$48:$I$48</c:f>
              <c:strCache>
                <c:ptCount val="7"/>
                <c:pt idx="0">
                  <c:v>IRG 1</c:v>
                </c:pt>
                <c:pt idx="1">
                  <c:v>IRG 2</c:v>
                </c:pt>
                <c:pt idx="2">
                  <c:v>IRG 3</c:v>
                </c:pt>
                <c:pt idx="3">
                  <c:v>IRG 4</c:v>
                </c:pt>
                <c:pt idx="4">
                  <c:v>IRG 5</c:v>
                </c:pt>
                <c:pt idx="5">
                  <c:v>IRG 6</c:v>
                </c:pt>
                <c:pt idx="6">
                  <c:v>IRG 7</c:v>
                </c:pt>
              </c:strCache>
            </c:strRef>
          </c:cat>
          <c:val>
            <c:numRef>
              <c:f>IRG!$C$49:$I$49</c:f>
              <c:numCache>
                <c:formatCode>0.0</c:formatCode>
                <c:ptCount val="7"/>
                <c:pt idx="0">
                  <c:v>50.646153846153844</c:v>
                </c:pt>
                <c:pt idx="1">
                  <c:v>36.57692307692308</c:v>
                </c:pt>
                <c:pt idx="2">
                  <c:v>28.233333333333334</c:v>
                </c:pt>
                <c:pt idx="3">
                  <c:v>28.681818181818183</c:v>
                </c:pt>
                <c:pt idx="4">
                  <c:v>28.824999999999999</c:v>
                </c:pt>
                <c:pt idx="5">
                  <c:v>48.566666666666663</c:v>
                </c:pt>
                <c:pt idx="6">
                  <c:v>32.6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421600"/>
        <c:axId val="228422160"/>
      </c:barChart>
      <c:catAx>
        <c:axId val="22842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422160"/>
        <c:crosses val="autoZero"/>
        <c:auto val="1"/>
        <c:lblAlgn val="ctr"/>
        <c:lblOffset val="100"/>
        <c:noMultiLvlLbl val="0"/>
      </c:catAx>
      <c:valAx>
        <c:axId val="2284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42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IRG NIÑAS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IRG!$B$53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IRG!$C$52:$I$52</c:f>
              <c:strCache>
                <c:ptCount val="7"/>
                <c:pt idx="0">
                  <c:v>IRG 1</c:v>
                </c:pt>
                <c:pt idx="1">
                  <c:v>IRG 2</c:v>
                </c:pt>
                <c:pt idx="2">
                  <c:v>IRG 3</c:v>
                </c:pt>
                <c:pt idx="3">
                  <c:v>IRG 4</c:v>
                </c:pt>
                <c:pt idx="4">
                  <c:v>IRG 5</c:v>
                </c:pt>
                <c:pt idx="5">
                  <c:v>IRG 6</c:v>
                </c:pt>
                <c:pt idx="6">
                  <c:v>IRG 7</c:v>
                </c:pt>
              </c:strCache>
            </c:strRef>
          </c:cat>
          <c:val>
            <c:numRef>
              <c:f>IRG!$C$53:$I$53</c:f>
              <c:numCache>
                <c:formatCode>0.0</c:formatCode>
                <c:ptCount val="7"/>
                <c:pt idx="0">
                  <c:v>36.88000000000001</c:v>
                </c:pt>
                <c:pt idx="1">
                  <c:v>26.119999999999997</c:v>
                </c:pt>
                <c:pt idx="2">
                  <c:v>27.22</c:v>
                </c:pt>
                <c:pt idx="3">
                  <c:v>32.440000000000005</c:v>
                </c:pt>
                <c:pt idx="4">
                  <c:v>27.074999999999999</c:v>
                </c:pt>
                <c:pt idx="5">
                  <c:v>7.2</c:v>
                </c:pt>
              </c:numCache>
            </c:numRef>
          </c:val>
        </c:ser>
        <c:ser>
          <c:idx val="1"/>
          <c:order val="1"/>
          <c:tx>
            <c:strRef>
              <c:f>IRG!$B$54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IRG!$C$52:$I$52</c:f>
              <c:strCache>
                <c:ptCount val="7"/>
                <c:pt idx="0">
                  <c:v>IRG 1</c:v>
                </c:pt>
                <c:pt idx="1">
                  <c:v>IRG 2</c:v>
                </c:pt>
                <c:pt idx="2">
                  <c:v>IRG 3</c:v>
                </c:pt>
                <c:pt idx="3">
                  <c:v>IRG 4</c:v>
                </c:pt>
                <c:pt idx="4">
                  <c:v>IRG 5</c:v>
                </c:pt>
                <c:pt idx="5">
                  <c:v>IRG 6</c:v>
                </c:pt>
                <c:pt idx="6">
                  <c:v>IRG 7</c:v>
                </c:pt>
              </c:strCache>
            </c:strRef>
          </c:cat>
          <c:val>
            <c:numRef>
              <c:f>IRG!$C$54:$I$54</c:f>
              <c:numCache>
                <c:formatCode>0.0</c:formatCode>
                <c:ptCount val="7"/>
                <c:pt idx="0">
                  <c:v>50.907692307692301</c:v>
                </c:pt>
                <c:pt idx="1">
                  <c:v>37.830769230769235</c:v>
                </c:pt>
                <c:pt idx="2">
                  <c:v>22.791666666666668</c:v>
                </c:pt>
                <c:pt idx="3">
                  <c:v>41.06363636363637</c:v>
                </c:pt>
                <c:pt idx="4">
                  <c:v>31.57</c:v>
                </c:pt>
                <c:pt idx="5">
                  <c:v>24.214285714285715</c:v>
                </c:pt>
              </c:numCache>
            </c:numRef>
          </c:val>
        </c:ser>
        <c:ser>
          <c:idx val="2"/>
          <c:order val="2"/>
          <c:tx>
            <c:strRef>
              <c:f>IRG!$B$55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IRG!$C$52:$I$52</c:f>
              <c:strCache>
                <c:ptCount val="7"/>
                <c:pt idx="0">
                  <c:v>IRG 1</c:v>
                </c:pt>
                <c:pt idx="1">
                  <c:v>IRG 2</c:v>
                </c:pt>
                <c:pt idx="2">
                  <c:v>IRG 3</c:v>
                </c:pt>
                <c:pt idx="3">
                  <c:v>IRG 4</c:v>
                </c:pt>
                <c:pt idx="4">
                  <c:v>IRG 5</c:v>
                </c:pt>
                <c:pt idx="5">
                  <c:v>IRG 6</c:v>
                </c:pt>
                <c:pt idx="6">
                  <c:v>IRG 7</c:v>
                </c:pt>
              </c:strCache>
            </c:strRef>
          </c:cat>
          <c:val>
            <c:numRef>
              <c:f>IRG!$C$55:$I$55</c:f>
              <c:numCache>
                <c:formatCode>0.0</c:formatCode>
                <c:ptCount val="7"/>
                <c:pt idx="0">
                  <c:v>67.040000000000006</c:v>
                </c:pt>
                <c:pt idx="1">
                  <c:v>49.233333333333327</c:v>
                </c:pt>
                <c:pt idx="2">
                  <c:v>79.433333333333337</c:v>
                </c:pt>
                <c:pt idx="3">
                  <c:v>50.366666666666667</c:v>
                </c:pt>
                <c:pt idx="4">
                  <c:v>16.7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425520"/>
        <c:axId val="228426080"/>
      </c:barChart>
      <c:catAx>
        <c:axId val="2284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426080"/>
        <c:crosses val="autoZero"/>
        <c:auto val="1"/>
        <c:lblAlgn val="ctr"/>
        <c:lblOffset val="100"/>
        <c:noMultiLvlLbl val="0"/>
      </c:catAx>
      <c:valAx>
        <c:axId val="2284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42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IRG NIÑOS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IRG!$B$59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IRG!$C$58:$I$58</c:f>
              <c:strCache>
                <c:ptCount val="7"/>
                <c:pt idx="0">
                  <c:v>IRG 1</c:v>
                </c:pt>
                <c:pt idx="1">
                  <c:v>IRG 2</c:v>
                </c:pt>
                <c:pt idx="2">
                  <c:v>IRG 3</c:v>
                </c:pt>
                <c:pt idx="3">
                  <c:v>IRG 4</c:v>
                </c:pt>
                <c:pt idx="4">
                  <c:v>IRG 5</c:v>
                </c:pt>
                <c:pt idx="5">
                  <c:v>IRG 6</c:v>
                </c:pt>
                <c:pt idx="6">
                  <c:v>IRG 7</c:v>
                </c:pt>
              </c:strCache>
            </c:strRef>
          </c:cat>
          <c:val>
            <c:numRef>
              <c:f>IRG!$C$59:$I$59</c:f>
              <c:numCache>
                <c:formatCode>0.0</c:formatCode>
                <c:ptCount val="7"/>
                <c:pt idx="0">
                  <c:v>48.333333333333336</c:v>
                </c:pt>
                <c:pt idx="1">
                  <c:v>39.133333333333333</c:v>
                </c:pt>
                <c:pt idx="2">
                  <c:v>29.900000000000002</c:v>
                </c:pt>
                <c:pt idx="3">
                  <c:v>34.949999999999996</c:v>
                </c:pt>
                <c:pt idx="4">
                  <c:v>39.450000000000003</c:v>
                </c:pt>
              </c:numCache>
            </c:numRef>
          </c:val>
        </c:ser>
        <c:ser>
          <c:idx val="1"/>
          <c:order val="1"/>
          <c:tx>
            <c:strRef>
              <c:f>IRG!$B$60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IRG!$C$58:$I$58</c:f>
              <c:strCache>
                <c:ptCount val="7"/>
                <c:pt idx="0">
                  <c:v>IRG 1</c:v>
                </c:pt>
                <c:pt idx="1">
                  <c:v>IRG 2</c:v>
                </c:pt>
                <c:pt idx="2">
                  <c:v>IRG 3</c:v>
                </c:pt>
                <c:pt idx="3">
                  <c:v>IRG 4</c:v>
                </c:pt>
                <c:pt idx="4">
                  <c:v>IRG 5</c:v>
                </c:pt>
                <c:pt idx="5">
                  <c:v>IRG 6</c:v>
                </c:pt>
                <c:pt idx="6">
                  <c:v>IRG 7</c:v>
                </c:pt>
              </c:strCache>
            </c:strRef>
          </c:cat>
          <c:val>
            <c:numRef>
              <c:f>IRG!$C$60:$I$60</c:f>
              <c:numCache>
                <c:formatCode>0.0</c:formatCode>
                <c:ptCount val="7"/>
                <c:pt idx="0">
                  <c:v>54.066666666666663</c:v>
                </c:pt>
                <c:pt idx="1">
                  <c:v>36.099999999999994</c:v>
                </c:pt>
                <c:pt idx="2">
                  <c:v>25.700000000000003</c:v>
                </c:pt>
                <c:pt idx="3">
                  <c:v>30.55</c:v>
                </c:pt>
                <c:pt idx="4">
                  <c:v>24.880000000000003</c:v>
                </c:pt>
                <c:pt idx="5">
                  <c:v>48.566666666666663</c:v>
                </c:pt>
                <c:pt idx="6">
                  <c:v>32.6</c:v>
                </c:pt>
              </c:numCache>
            </c:numRef>
          </c:val>
        </c:ser>
        <c:ser>
          <c:idx val="2"/>
          <c:order val="2"/>
          <c:tx>
            <c:strRef>
              <c:f>IRG!$B$61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IRG!$C$58:$I$58</c:f>
              <c:strCache>
                <c:ptCount val="7"/>
                <c:pt idx="0">
                  <c:v>IRG 1</c:v>
                </c:pt>
                <c:pt idx="1">
                  <c:v>IRG 2</c:v>
                </c:pt>
                <c:pt idx="2">
                  <c:v>IRG 3</c:v>
                </c:pt>
                <c:pt idx="3">
                  <c:v>IRG 4</c:v>
                </c:pt>
                <c:pt idx="4">
                  <c:v>IRG 5</c:v>
                </c:pt>
                <c:pt idx="5">
                  <c:v>IRG 6</c:v>
                </c:pt>
                <c:pt idx="6">
                  <c:v>IRG 7</c:v>
                </c:pt>
              </c:strCache>
            </c:strRef>
          </c:cat>
          <c:val>
            <c:numRef>
              <c:f>IRG!$C$61:$I$61</c:f>
              <c:numCache>
                <c:formatCode>0.0</c:formatCode>
                <c:ptCount val="7"/>
                <c:pt idx="0">
                  <c:v>47.25</c:v>
                </c:pt>
                <c:pt idx="1">
                  <c:v>35.375</c:v>
                </c:pt>
                <c:pt idx="2">
                  <c:v>31.633333333333336</c:v>
                </c:pt>
                <c:pt idx="3">
                  <c:v>20.766666666666669</c:v>
                </c:pt>
                <c:pt idx="4">
                  <c:v>27.3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430000"/>
        <c:axId val="228430560"/>
      </c:barChart>
      <c:catAx>
        <c:axId val="22843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430560"/>
        <c:crosses val="autoZero"/>
        <c:auto val="1"/>
        <c:lblAlgn val="ctr"/>
        <c:lblOffset val="100"/>
        <c:noMultiLvlLbl val="0"/>
      </c:catAx>
      <c:valAx>
        <c:axId val="2284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43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PROMEDIO TA NIÑAS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TA!$B$45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TA!$C$44:$G$44</c:f>
              <c:strCache>
                <c:ptCount val="5"/>
                <c:pt idx="0">
                  <c:v>TA 1</c:v>
                </c:pt>
                <c:pt idx="1">
                  <c:v>TA 2</c:v>
                </c:pt>
                <c:pt idx="2">
                  <c:v>TA 3</c:v>
                </c:pt>
                <c:pt idx="3">
                  <c:v>TA 4</c:v>
                </c:pt>
                <c:pt idx="4">
                  <c:v>TA 5</c:v>
                </c:pt>
              </c:strCache>
            </c:strRef>
          </c:cat>
          <c:val>
            <c:numRef>
              <c:f>TA!$C$45:$G$45</c:f>
              <c:numCache>
                <c:formatCode>0.0%</c:formatCode>
                <c:ptCount val="5"/>
                <c:pt idx="0">
                  <c:v>0.6336521739130434</c:v>
                </c:pt>
                <c:pt idx="1">
                  <c:v>0.71971428571428575</c:v>
                </c:pt>
                <c:pt idx="2">
                  <c:v>0.72754999999999981</c:v>
                </c:pt>
                <c:pt idx="3">
                  <c:v>0.80784999999999996</c:v>
                </c:pt>
                <c:pt idx="4">
                  <c:v>0.87426666666666675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877968"/>
        <c:axId val="228878528"/>
      </c:barChart>
      <c:catAx>
        <c:axId val="22887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878528"/>
        <c:crosses val="autoZero"/>
        <c:auto val="1"/>
        <c:lblAlgn val="ctr"/>
        <c:lblOffset val="100"/>
        <c:noMultiLvlLbl val="0"/>
      </c:catAx>
      <c:valAx>
        <c:axId val="22887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87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PROMEDIO TA NIÑOS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TA!$B$49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TA!$C$48:$G$48</c:f>
              <c:strCache>
                <c:ptCount val="5"/>
                <c:pt idx="0">
                  <c:v>TA 1</c:v>
                </c:pt>
                <c:pt idx="1">
                  <c:v>TA 2</c:v>
                </c:pt>
                <c:pt idx="2">
                  <c:v>TA 3</c:v>
                </c:pt>
                <c:pt idx="3">
                  <c:v>TA 4</c:v>
                </c:pt>
                <c:pt idx="4">
                  <c:v>TA 5</c:v>
                </c:pt>
              </c:strCache>
            </c:strRef>
          </c:cat>
          <c:val>
            <c:numRef>
              <c:f>TA!$C$49:$G$49</c:f>
              <c:numCache>
                <c:formatCode>0.0%</c:formatCode>
                <c:ptCount val="5"/>
                <c:pt idx="0">
                  <c:v>0.75823076923076915</c:v>
                </c:pt>
                <c:pt idx="1">
                  <c:v>0.82669230769230773</c:v>
                </c:pt>
                <c:pt idx="2">
                  <c:v>0.85550000000000004</c:v>
                </c:pt>
                <c:pt idx="3">
                  <c:v>0.84200000000000008</c:v>
                </c:pt>
                <c:pt idx="4">
                  <c:v>0.89462500000000011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880768"/>
        <c:axId val="228881328"/>
      </c:barChart>
      <c:catAx>
        <c:axId val="22888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881328"/>
        <c:crosses val="autoZero"/>
        <c:auto val="1"/>
        <c:lblAlgn val="ctr"/>
        <c:lblOffset val="100"/>
        <c:noMultiLvlLbl val="0"/>
      </c:catAx>
      <c:valAx>
        <c:axId val="2288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88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TA NIÑAS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TA!$B$53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TA!$C$52:$G$52</c:f>
              <c:strCache>
                <c:ptCount val="5"/>
                <c:pt idx="0">
                  <c:v>TA 1</c:v>
                </c:pt>
                <c:pt idx="1">
                  <c:v>TA 2</c:v>
                </c:pt>
                <c:pt idx="2">
                  <c:v>TA 3</c:v>
                </c:pt>
                <c:pt idx="3">
                  <c:v>TA 4</c:v>
                </c:pt>
                <c:pt idx="4">
                  <c:v>TA 5</c:v>
                </c:pt>
              </c:strCache>
            </c:strRef>
          </c:cat>
          <c:val>
            <c:numRef>
              <c:f>TA!$C$53:$G$53</c:f>
              <c:numCache>
                <c:formatCode>0.0%</c:formatCode>
                <c:ptCount val="5"/>
                <c:pt idx="0">
                  <c:v>0.63440000000000007</c:v>
                </c:pt>
                <c:pt idx="1">
                  <c:v>0.72939999999999994</c:v>
                </c:pt>
                <c:pt idx="2">
                  <c:v>0.71299999999999997</c:v>
                </c:pt>
                <c:pt idx="3">
                  <c:v>0.77840000000000009</c:v>
                </c:pt>
                <c:pt idx="4">
                  <c:v>0.85675000000000001</c:v>
                </c:pt>
              </c:numCache>
            </c:numRef>
          </c:val>
        </c:ser>
        <c:ser>
          <c:idx val="1"/>
          <c:order val="1"/>
          <c:tx>
            <c:strRef>
              <c:f>TA!$B$54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TA!$C$52:$G$52</c:f>
              <c:strCache>
                <c:ptCount val="5"/>
                <c:pt idx="0">
                  <c:v>TA 1</c:v>
                </c:pt>
                <c:pt idx="1">
                  <c:v>TA 2</c:v>
                </c:pt>
                <c:pt idx="2">
                  <c:v>TA 3</c:v>
                </c:pt>
                <c:pt idx="3">
                  <c:v>TA 4</c:v>
                </c:pt>
                <c:pt idx="4">
                  <c:v>TA 5</c:v>
                </c:pt>
              </c:strCache>
            </c:strRef>
          </c:cat>
          <c:val>
            <c:numRef>
              <c:f>TA!$C$54:$G$54</c:f>
              <c:numCache>
                <c:formatCode>0.0%</c:formatCode>
                <c:ptCount val="5"/>
                <c:pt idx="0">
                  <c:v>0.61115384615384616</c:v>
                </c:pt>
                <c:pt idx="1">
                  <c:v>0.7143846153846154</c:v>
                </c:pt>
                <c:pt idx="2">
                  <c:v>0.70216666666666672</c:v>
                </c:pt>
                <c:pt idx="3">
                  <c:v>0.8178333333333333</c:v>
                </c:pt>
                <c:pt idx="4">
                  <c:v>0.87270000000000003</c:v>
                </c:pt>
              </c:numCache>
            </c:numRef>
          </c:val>
        </c:ser>
        <c:ser>
          <c:idx val="2"/>
          <c:order val="2"/>
          <c:tx>
            <c:strRef>
              <c:f>TA!$B$55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TA!$C$52:$G$52</c:f>
              <c:strCache>
                <c:ptCount val="5"/>
                <c:pt idx="0">
                  <c:v>TA 1</c:v>
                </c:pt>
                <c:pt idx="1">
                  <c:v>TA 2</c:v>
                </c:pt>
                <c:pt idx="2">
                  <c:v>TA 3</c:v>
                </c:pt>
                <c:pt idx="3">
                  <c:v>TA 4</c:v>
                </c:pt>
                <c:pt idx="4">
                  <c:v>TA 5</c:v>
                </c:pt>
              </c:strCache>
            </c:strRef>
          </c:cat>
          <c:val>
            <c:numRef>
              <c:f>TA!$C$55:$G$55</c:f>
              <c:numCache>
                <c:formatCode>0.0%</c:formatCode>
                <c:ptCount val="5"/>
                <c:pt idx="0">
                  <c:v>0.69140000000000001</c:v>
                </c:pt>
                <c:pt idx="1">
                  <c:v>0.72666666666666657</c:v>
                </c:pt>
                <c:pt idx="2">
                  <c:v>0.85333333333333339</c:v>
                </c:pt>
                <c:pt idx="3">
                  <c:v>0.81699999999999984</c:v>
                </c:pt>
                <c:pt idx="4">
                  <c:v>0.96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884688"/>
        <c:axId val="228885248"/>
      </c:barChart>
      <c:catAx>
        <c:axId val="22888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885248"/>
        <c:crosses val="autoZero"/>
        <c:auto val="1"/>
        <c:lblAlgn val="ctr"/>
        <c:lblOffset val="100"/>
        <c:noMultiLvlLbl val="0"/>
      </c:catAx>
      <c:valAx>
        <c:axId val="2288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8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TA NIÑOS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TA!$B$59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TA!$C$58:$G$58</c:f>
              <c:strCache>
                <c:ptCount val="5"/>
                <c:pt idx="0">
                  <c:v>TA 1</c:v>
                </c:pt>
                <c:pt idx="1">
                  <c:v>TA 2</c:v>
                </c:pt>
                <c:pt idx="2">
                  <c:v>TA 3</c:v>
                </c:pt>
                <c:pt idx="3">
                  <c:v>TA 4</c:v>
                </c:pt>
                <c:pt idx="4">
                  <c:v>TA 5</c:v>
                </c:pt>
              </c:strCache>
            </c:strRef>
          </c:cat>
          <c:val>
            <c:numRef>
              <c:f>TA!$C$59:$G$59</c:f>
              <c:numCache>
                <c:formatCode>0.0%</c:formatCode>
                <c:ptCount val="5"/>
                <c:pt idx="0">
                  <c:v>0.89933333333333332</c:v>
                </c:pt>
                <c:pt idx="1">
                  <c:v>0.91866666666666674</c:v>
                </c:pt>
                <c:pt idx="2">
                  <c:v>0.92466666666666664</c:v>
                </c:pt>
                <c:pt idx="3">
                  <c:v>0.91700000000000004</c:v>
                </c:pt>
                <c:pt idx="4">
                  <c:v>0.95100000000000007</c:v>
                </c:pt>
              </c:numCache>
            </c:numRef>
          </c:val>
        </c:ser>
        <c:ser>
          <c:idx val="1"/>
          <c:order val="1"/>
          <c:tx>
            <c:strRef>
              <c:f>TA!$B$60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TA!$C$58:$G$58</c:f>
              <c:strCache>
                <c:ptCount val="5"/>
                <c:pt idx="0">
                  <c:v>TA 1</c:v>
                </c:pt>
                <c:pt idx="1">
                  <c:v>TA 2</c:v>
                </c:pt>
                <c:pt idx="2">
                  <c:v>TA 3</c:v>
                </c:pt>
                <c:pt idx="3">
                  <c:v>TA 4</c:v>
                </c:pt>
                <c:pt idx="4">
                  <c:v>TA 5</c:v>
                </c:pt>
              </c:strCache>
            </c:strRef>
          </c:cat>
          <c:val>
            <c:numRef>
              <c:f>TA!$C$60:$G$60</c:f>
              <c:numCache>
                <c:formatCode>0.0%</c:formatCode>
                <c:ptCount val="5"/>
                <c:pt idx="0">
                  <c:v>0.72166666666666668</c:v>
                </c:pt>
                <c:pt idx="1">
                  <c:v>0.8341666666666665</c:v>
                </c:pt>
                <c:pt idx="2">
                  <c:v>0.8806666666666666</c:v>
                </c:pt>
                <c:pt idx="3">
                  <c:v>0.85449999999999993</c:v>
                </c:pt>
                <c:pt idx="4">
                  <c:v>0.87100000000000011</c:v>
                </c:pt>
              </c:numCache>
            </c:numRef>
          </c:val>
        </c:ser>
        <c:ser>
          <c:idx val="2"/>
          <c:order val="2"/>
          <c:tx>
            <c:strRef>
              <c:f>TA!$B$61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TA!$C$58:$G$58</c:f>
              <c:strCache>
                <c:ptCount val="5"/>
                <c:pt idx="0">
                  <c:v>TA 1</c:v>
                </c:pt>
                <c:pt idx="1">
                  <c:v>TA 2</c:v>
                </c:pt>
                <c:pt idx="2">
                  <c:v>TA 3</c:v>
                </c:pt>
                <c:pt idx="3">
                  <c:v>TA 4</c:v>
                </c:pt>
                <c:pt idx="4">
                  <c:v>TA 5</c:v>
                </c:pt>
              </c:strCache>
            </c:strRef>
          </c:cat>
          <c:val>
            <c:numRef>
              <c:f>TA!$C$61:$G$61</c:f>
              <c:numCache>
                <c:formatCode>0.0%</c:formatCode>
                <c:ptCount val="5"/>
                <c:pt idx="0">
                  <c:v>0.70724999999999993</c:v>
                </c:pt>
                <c:pt idx="1">
                  <c:v>0.74649999999999994</c:v>
                </c:pt>
                <c:pt idx="2">
                  <c:v>0.7360000000000001</c:v>
                </c:pt>
                <c:pt idx="3">
                  <c:v>0.76700000000000002</c:v>
                </c:pt>
                <c:pt idx="4">
                  <c:v>0.9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889168"/>
        <c:axId val="229183760"/>
      </c:barChart>
      <c:catAx>
        <c:axId val="22888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183760"/>
        <c:crosses val="autoZero"/>
        <c:auto val="1"/>
        <c:lblAlgn val="ctr"/>
        <c:lblOffset val="100"/>
        <c:noMultiLvlLbl val="0"/>
      </c:catAx>
      <c:valAx>
        <c:axId val="22918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88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PROMEDIO CV NIÑAS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CV!$C$46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CV!$D$45:$J$45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CV!$D$46:$J$46</c:f>
              <c:numCache>
                <c:formatCode>0.0%</c:formatCode>
                <c:ptCount val="7"/>
                <c:pt idx="0">
                  <c:v>0.37139130434782608</c:v>
                </c:pt>
                <c:pt idx="1">
                  <c:v>0.3461428571428572</c:v>
                </c:pt>
                <c:pt idx="2">
                  <c:v>0.32309999999999994</c:v>
                </c:pt>
                <c:pt idx="3">
                  <c:v>0.37419999999999992</c:v>
                </c:pt>
                <c:pt idx="4">
                  <c:v>0.35153333333333331</c:v>
                </c:pt>
                <c:pt idx="5">
                  <c:v>0.31812500000000005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192160"/>
        <c:axId val="229192720"/>
      </c:barChart>
      <c:catAx>
        <c:axId val="2291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192720"/>
        <c:crosses val="autoZero"/>
        <c:auto val="1"/>
        <c:lblAlgn val="ctr"/>
        <c:lblOffset val="100"/>
        <c:noMultiLvlLbl val="0"/>
      </c:catAx>
      <c:valAx>
        <c:axId val="2291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19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PROMEDIO CV NIÑOS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CV!$C$50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CV!$D$49:$J$49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CV!$D$50:$J$50</c:f>
              <c:numCache>
                <c:formatCode>0.0%</c:formatCode>
                <c:ptCount val="7"/>
                <c:pt idx="0">
                  <c:v>0.35530769230769238</c:v>
                </c:pt>
                <c:pt idx="1">
                  <c:v>0.38261538461538458</c:v>
                </c:pt>
                <c:pt idx="2">
                  <c:v>0.36441666666666667</c:v>
                </c:pt>
                <c:pt idx="3">
                  <c:v>0.37081818181818177</c:v>
                </c:pt>
                <c:pt idx="4">
                  <c:v>0.35299999999999998</c:v>
                </c:pt>
                <c:pt idx="5">
                  <c:v>0.3746666666666667</c:v>
                </c:pt>
                <c:pt idx="6">
                  <c:v>0.40799999999999997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194960"/>
        <c:axId val="229195520"/>
      </c:barChart>
      <c:catAx>
        <c:axId val="22919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195520"/>
        <c:crosses val="autoZero"/>
        <c:auto val="1"/>
        <c:lblAlgn val="ctr"/>
        <c:lblOffset val="100"/>
        <c:noMultiLvlLbl val="0"/>
      </c:catAx>
      <c:valAx>
        <c:axId val="2291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19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CV NIÑAS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CV!$C$54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CV!$D$53:$J$53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CV!$D$54:$J$54</c:f>
              <c:numCache>
                <c:formatCode>0.0%</c:formatCode>
                <c:ptCount val="7"/>
                <c:pt idx="0">
                  <c:v>0.39279999999999998</c:v>
                </c:pt>
                <c:pt idx="1">
                  <c:v>0.35459999999999997</c:v>
                </c:pt>
                <c:pt idx="2">
                  <c:v>0.3478</c:v>
                </c:pt>
                <c:pt idx="3">
                  <c:v>0.35719999999999996</c:v>
                </c:pt>
                <c:pt idx="4">
                  <c:v>0.33850000000000002</c:v>
                </c:pt>
                <c:pt idx="5">
                  <c:v>0.216</c:v>
                </c:pt>
              </c:numCache>
            </c:numRef>
          </c:val>
        </c:ser>
        <c:ser>
          <c:idx val="1"/>
          <c:order val="1"/>
          <c:tx>
            <c:strRef>
              <c:f>CV!$C$55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CV!$D$53:$J$53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CV!$D$55:$J$55</c:f>
              <c:numCache>
                <c:formatCode>0.0%</c:formatCode>
                <c:ptCount val="7"/>
                <c:pt idx="0">
                  <c:v>0.36730769230769234</c:v>
                </c:pt>
                <c:pt idx="1">
                  <c:v>0.3263076923076923</c:v>
                </c:pt>
                <c:pt idx="2">
                  <c:v>0.29950000000000004</c:v>
                </c:pt>
                <c:pt idx="3">
                  <c:v>0.38200000000000006</c:v>
                </c:pt>
                <c:pt idx="4">
                  <c:v>0.35889999999999994</c:v>
                </c:pt>
                <c:pt idx="5">
                  <c:v>0.33271428571428574</c:v>
                </c:pt>
              </c:numCache>
            </c:numRef>
          </c:val>
        </c:ser>
        <c:ser>
          <c:idx val="2"/>
          <c:order val="2"/>
          <c:tx>
            <c:strRef>
              <c:f>CV!$C$56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CV!$D$53:$J$53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CV!$D$56:$J$56</c:f>
              <c:numCache>
                <c:formatCode>0.0%</c:formatCode>
                <c:ptCount val="7"/>
                <c:pt idx="0">
                  <c:v>0.36059999999999992</c:v>
                </c:pt>
                <c:pt idx="1">
                  <c:v>0.41799999999999998</c:v>
                </c:pt>
                <c:pt idx="2">
                  <c:v>0.37633333333333335</c:v>
                </c:pt>
                <c:pt idx="3">
                  <c:v>0.37133333333333329</c:v>
                </c:pt>
                <c:pt idx="4">
                  <c:v>0.33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198880"/>
        <c:axId val="229199440"/>
      </c:barChart>
      <c:catAx>
        <c:axId val="22919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199440"/>
        <c:crosses val="autoZero"/>
        <c:auto val="1"/>
        <c:lblAlgn val="ctr"/>
        <c:lblOffset val="100"/>
        <c:noMultiLvlLbl val="0"/>
      </c:catAx>
      <c:valAx>
        <c:axId val="22919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19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CV NIÑOS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CV!$C$61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CV!$D$59:$J$59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CV!$D$61:$J$61</c:f>
              <c:numCache>
                <c:formatCode>0.0%</c:formatCode>
                <c:ptCount val="7"/>
                <c:pt idx="0">
                  <c:v>0.38850000000000001</c:v>
                </c:pt>
                <c:pt idx="1">
                  <c:v>0.36783333333333329</c:v>
                </c:pt>
                <c:pt idx="2">
                  <c:v>0.33083333333333331</c:v>
                </c:pt>
                <c:pt idx="3">
                  <c:v>0.3745</c:v>
                </c:pt>
                <c:pt idx="4">
                  <c:v>0.3306</c:v>
                </c:pt>
                <c:pt idx="5">
                  <c:v>0.3746666666666667</c:v>
                </c:pt>
                <c:pt idx="6">
                  <c:v>0.40799999999999997</c:v>
                </c:pt>
              </c:numCache>
            </c:numRef>
          </c:val>
        </c:ser>
        <c:ser>
          <c:idx val="1"/>
          <c:order val="1"/>
          <c:tx>
            <c:strRef>
              <c:f>CV!$C$62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CV!$D$59:$J$59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CV!$D$62:$J$62</c:f>
              <c:numCache>
                <c:formatCode>0.0%</c:formatCode>
                <c:ptCount val="7"/>
                <c:pt idx="0">
                  <c:v>0.37375000000000003</c:v>
                </c:pt>
                <c:pt idx="1">
                  <c:v>0.40525</c:v>
                </c:pt>
                <c:pt idx="2">
                  <c:v>0.41599999999999998</c:v>
                </c:pt>
                <c:pt idx="3">
                  <c:v>0.35133333333333328</c:v>
                </c:pt>
                <c:pt idx="4">
                  <c:v>0.35799999999999998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79456"/>
        <c:axId val="229880016"/>
      </c:barChart>
      <c:catAx>
        <c:axId val="22987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880016"/>
        <c:crosses val="autoZero"/>
        <c:auto val="1"/>
        <c:lblAlgn val="ctr"/>
        <c:lblOffset val="100"/>
        <c:noMultiLvlLbl val="0"/>
      </c:catAx>
      <c:valAx>
        <c:axId val="22988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87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GENERAL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CV!$C$69:$J$69</c:f>
              <c:strCache>
                <c:ptCount val="8"/>
                <c:pt idx="0">
                  <c:v>edad debut</c:v>
                </c:pt>
                <c:pt idx="1">
                  <c:v>CV 1</c:v>
                </c:pt>
                <c:pt idx="2">
                  <c:v>CV 2</c:v>
                </c:pt>
                <c:pt idx="3">
                  <c:v>CV 3</c:v>
                </c:pt>
                <c:pt idx="4">
                  <c:v>CV 4</c:v>
                </c:pt>
                <c:pt idx="5">
                  <c:v>CV 5</c:v>
                </c:pt>
                <c:pt idx="6">
                  <c:v>CV 6</c:v>
                </c:pt>
                <c:pt idx="7">
                  <c:v>CV 7</c:v>
                </c:pt>
              </c:strCache>
            </c:strRef>
          </c:cat>
          <c:val>
            <c:numRef>
              <c:f>CV!$C$70:$J$70</c:f>
              <c:numCache>
                <c:formatCode>0.0%</c:formatCode>
                <c:ptCount val="8"/>
                <c:pt idx="0" formatCode="General">
                  <c:v>0</c:v>
                </c:pt>
                <c:pt idx="1">
                  <c:v>0.37757142857142856</c:v>
                </c:pt>
                <c:pt idx="2">
                  <c:v>0.38776923076923075</c:v>
                </c:pt>
                <c:pt idx="3">
                  <c:v>0.37100000000000005</c:v>
                </c:pt>
                <c:pt idx="4">
                  <c:v>0.39216666666666661</c:v>
                </c:pt>
                <c:pt idx="5">
                  <c:v>0.37679999999999997</c:v>
                </c:pt>
                <c:pt idx="6">
                  <c:v>0.34500000000000003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CV!$C$69:$J$69</c:f>
              <c:strCache>
                <c:ptCount val="8"/>
                <c:pt idx="0">
                  <c:v>edad debut</c:v>
                </c:pt>
                <c:pt idx="1">
                  <c:v>CV 1</c:v>
                </c:pt>
                <c:pt idx="2">
                  <c:v>CV 2</c:v>
                </c:pt>
                <c:pt idx="3">
                  <c:v>CV 3</c:v>
                </c:pt>
                <c:pt idx="4">
                  <c:v>CV 4</c:v>
                </c:pt>
                <c:pt idx="5">
                  <c:v>CV 5</c:v>
                </c:pt>
                <c:pt idx="6">
                  <c:v>CV 6</c:v>
                </c:pt>
                <c:pt idx="7">
                  <c:v>CV 7</c:v>
                </c:pt>
              </c:strCache>
            </c:strRef>
          </c:cat>
          <c:val>
            <c:numRef>
              <c:f>CV!$C$71:$J$71</c:f>
              <c:numCache>
                <c:formatCode>0.0%</c:formatCode>
                <c:ptCount val="8"/>
                <c:pt idx="0" formatCode="General">
                  <c:v>0</c:v>
                </c:pt>
                <c:pt idx="1">
                  <c:v>0.35705555555555557</c:v>
                </c:pt>
                <c:pt idx="2">
                  <c:v>0.33183333333333326</c:v>
                </c:pt>
                <c:pt idx="3">
                  <c:v>0.30775000000000002</c:v>
                </c:pt>
                <c:pt idx="4">
                  <c:v>0.35949999999999999</c:v>
                </c:pt>
                <c:pt idx="5">
                  <c:v>0.33299999999999996</c:v>
                </c:pt>
                <c:pt idx="6">
                  <c:v>0.32700000000000001</c:v>
                </c:pt>
                <c:pt idx="7">
                  <c:v>0.40799999999999997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CV!$C$69:$J$69</c:f>
              <c:strCache>
                <c:ptCount val="8"/>
                <c:pt idx="0">
                  <c:v>edad debut</c:v>
                </c:pt>
                <c:pt idx="1">
                  <c:v>CV 1</c:v>
                </c:pt>
                <c:pt idx="2">
                  <c:v>CV 2</c:v>
                </c:pt>
                <c:pt idx="3">
                  <c:v>CV 3</c:v>
                </c:pt>
                <c:pt idx="4">
                  <c:v>CV 4</c:v>
                </c:pt>
                <c:pt idx="5">
                  <c:v>CV 5</c:v>
                </c:pt>
                <c:pt idx="6">
                  <c:v>CV 6</c:v>
                </c:pt>
                <c:pt idx="7">
                  <c:v>CV 7</c:v>
                </c:pt>
              </c:strCache>
            </c:strRef>
          </c:cat>
          <c:val>
            <c:numRef>
              <c:f>CV!$C$72:$J$72</c:f>
              <c:numCache>
                <c:formatCode>0.0%</c:formatCode>
                <c:ptCount val="8"/>
                <c:pt idx="0" formatCode="General">
                  <c:v>0</c:v>
                </c:pt>
                <c:pt idx="1">
                  <c:v>0.32949999999999996</c:v>
                </c:pt>
                <c:pt idx="2">
                  <c:v>0.33433333333333332</c:v>
                </c:pt>
                <c:pt idx="3">
                  <c:v>0.27400000000000002</c:v>
                </c:pt>
                <c:pt idx="4">
                  <c:v>0.316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CV!$C$69:$J$69</c:f>
              <c:strCache>
                <c:ptCount val="8"/>
                <c:pt idx="0">
                  <c:v>edad debut</c:v>
                </c:pt>
                <c:pt idx="1">
                  <c:v>CV 1</c:v>
                </c:pt>
                <c:pt idx="2">
                  <c:v>CV 2</c:v>
                </c:pt>
                <c:pt idx="3">
                  <c:v>CV 3</c:v>
                </c:pt>
                <c:pt idx="4">
                  <c:v>CV 4</c:v>
                </c:pt>
                <c:pt idx="5">
                  <c:v>CV 5</c:v>
                </c:pt>
                <c:pt idx="6">
                  <c:v>CV 6</c:v>
                </c:pt>
                <c:pt idx="7">
                  <c:v>CV 7</c:v>
                </c:pt>
              </c:strCache>
            </c:strRef>
          </c:cat>
          <c:val>
            <c:numRef>
              <c:f>CV!$C$73:$J$73</c:f>
              <c:numCache>
                <c:formatCode>General</c:formatCode>
                <c:ptCount val="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84496"/>
        <c:axId val="229885056"/>
      </c:barChart>
      <c:catAx>
        <c:axId val="22988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885056"/>
        <c:crosses val="autoZero"/>
        <c:auto val="1"/>
        <c:lblAlgn val="ctr"/>
        <c:lblOffset val="100"/>
        <c:noMultiLvlLbl val="0"/>
      </c:catAx>
      <c:valAx>
        <c:axId val="22988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88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NIÑAS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CV!$C$76</c:f>
              <c:strCache>
                <c:ptCount val="1"/>
                <c:pt idx="0">
                  <c:v>&lt; 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CV!$D$75:$J$75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CV!$D$76:$J$76</c:f>
              <c:numCache>
                <c:formatCode>0.0%</c:formatCode>
                <c:ptCount val="7"/>
                <c:pt idx="0">
                  <c:v>0.38988888888888895</c:v>
                </c:pt>
                <c:pt idx="1">
                  <c:v>0.32088888888888889</c:v>
                </c:pt>
                <c:pt idx="2">
                  <c:v>0.31222222222222229</c:v>
                </c:pt>
                <c:pt idx="3">
                  <c:v>0.36975000000000002</c:v>
                </c:pt>
                <c:pt idx="4">
                  <c:v>0.35199999999999998</c:v>
                </c:pt>
                <c:pt idx="5">
                  <c:v>0.30533333333333329</c:v>
                </c:pt>
              </c:numCache>
            </c:numRef>
          </c:val>
        </c:ser>
        <c:ser>
          <c:idx val="1"/>
          <c:order val="1"/>
          <c:tx>
            <c:strRef>
              <c:f>CV!$C$77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CV!$D$75:$J$75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CV!$D$77:$J$77</c:f>
              <c:numCache>
                <c:formatCode>0.0%</c:formatCode>
                <c:ptCount val="7"/>
                <c:pt idx="0">
                  <c:v>0.36081818181818187</c:v>
                </c:pt>
                <c:pt idx="1">
                  <c:v>0.32363636363636367</c:v>
                </c:pt>
                <c:pt idx="2">
                  <c:v>0.2918</c:v>
                </c:pt>
                <c:pt idx="3">
                  <c:v>0.37790000000000001</c:v>
                </c:pt>
                <c:pt idx="4">
                  <c:v>0.35112499999999996</c:v>
                </c:pt>
                <c:pt idx="5">
                  <c:v>0.32579999999999998</c:v>
                </c:pt>
              </c:numCache>
            </c:numRef>
          </c:val>
        </c:ser>
        <c:ser>
          <c:idx val="2"/>
          <c:order val="2"/>
          <c:tx>
            <c:strRef>
              <c:f>CV!$C$78</c:f>
              <c:strCache>
                <c:ptCount val="1"/>
                <c:pt idx="0">
                  <c:v>&gt; 15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CV!$D$75:$J$75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CV!$D$78:$J$78</c:f>
              <c:numCache>
                <c:formatCode>0.00%</c:formatCode>
                <c:ptCount val="7"/>
                <c:pt idx="0">
                  <c:v>0.28949999999999998</c:v>
                </c:pt>
                <c:pt idx="1">
                  <c:v>0.25</c:v>
                </c:pt>
                <c:pt idx="2">
                  <c:v>0.19400000000000001</c:v>
                </c:pt>
                <c:pt idx="3">
                  <c:v>0.27400000000000002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88976"/>
        <c:axId val="229889536"/>
      </c:barChart>
      <c:catAx>
        <c:axId val="22988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889536"/>
        <c:crosses val="autoZero"/>
        <c:auto val="1"/>
        <c:lblAlgn val="ctr"/>
        <c:lblOffset val="100"/>
        <c:noMultiLvlLbl val="0"/>
      </c:catAx>
      <c:valAx>
        <c:axId val="22988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988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NIÑOS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CV!$C$81</c:f>
              <c:strCache>
                <c:ptCount val="1"/>
                <c:pt idx="0">
                  <c:v>&lt; 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CV!$D$80:$J$80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CV!$D$81:$J$81</c:f>
              <c:numCache>
                <c:formatCode>0.0%</c:formatCode>
                <c:ptCount val="7"/>
                <c:pt idx="0">
                  <c:v>0.35540000000000005</c:v>
                </c:pt>
                <c:pt idx="1">
                  <c:v>0.43059999999999998</c:v>
                </c:pt>
                <c:pt idx="2">
                  <c:v>0.40259999999999996</c:v>
                </c:pt>
                <c:pt idx="3">
                  <c:v>0.43700000000000006</c:v>
                </c:pt>
                <c:pt idx="4">
                  <c:v>0.4346666666666667</c:v>
                </c:pt>
                <c:pt idx="5">
                  <c:v>0.46400000000000002</c:v>
                </c:pt>
              </c:numCache>
            </c:numRef>
          </c:val>
        </c:ser>
        <c:ser>
          <c:idx val="1"/>
          <c:order val="1"/>
          <c:tx>
            <c:strRef>
              <c:f>CV!$C$82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CV!$D$80:$J$80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CV!$D$82:$J$82</c:f>
              <c:numCache>
                <c:formatCode>0.0%</c:formatCode>
                <c:ptCount val="7"/>
                <c:pt idx="0">
                  <c:v>0.35114285714285709</c:v>
                </c:pt>
                <c:pt idx="1">
                  <c:v>0.34471428571428575</c:v>
                </c:pt>
                <c:pt idx="2">
                  <c:v>0.33433333333333337</c:v>
                </c:pt>
                <c:pt idx="3">
                  <c:v>0.32883333333333331</c:v>
                </c:pt>
                <c:pt idx="4">
                  <c:v>0.30399999999999999</c:v>
                </c:pt>
                <c:pt idx="5">
                  <c:v>0.32999999999999996</c:v>
                </c:pt>
                <c:pt idx="6">
                  <c:v>0.40799999999999997</c:v>
                </c:pt>
              </c:numCache>
            </c:numRef>
          </c:val>
        </c:ser>
        <c:ser>
          <c:idx val="2"/>
          <c:order val="2"/>
          <c:tx>
            <c:strRef>
              <c:f>CV!$C$83</c:f>
              <c:strCache>
                <c:ptCount val="1"/>
                <c:pt idx="0">
                  <c:v>&gt; 15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CV!$D$80:$J$80</c:f>
              <c:strCache>
                <c:ptCount val="7"/>
                <c:pt idx="0">
                  <c:v>CV 1</c:v>
                </c:pt>
                <c:pt idx="1">
                  <c:v>CV 2</c:v>
                </c:pt>
                <c:pt idx="2">
                  <c:v>CV 3</c:v>
                </c:pt>
                <c:pt idx="3">
                  <c:v>CV 4</c:v>
                </c:pt>
                <c:pt idx="4">
                  <c:v>CV 5</c:v>
                </c:pt>
                <c:pt idx="5">
                  <c:v>CV 6</c:v>
                </c:pt>
                <c:pt idx="6">
                  <c:v>CV 7</c:v>
                </c:pt>
              </c:strCache>
            </c:strRef>
          </c:cat>
          <c:val>
            <c:numRef>
              <c:f>CV!$D$83:$J$83</c:f>
              <c:numCache>
                <c:formatCode>0.00%</c:formatCode>
                <c:ptCount val="7"/>
                <c:pt idx="0">
                  <c:v>0.38400000000000001</c:v>
                </c:pt>
                <c:pt idx="1">
                  <c:v>0.40799999999999997</c:v>
                </c:pt>
                <c:pt idx="2">
                  <c:v>0.35399999999999998</c:v>
                </c:pt>
                <c:pt idx="3">
                  <c:v>0.35799999999999998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203040"/>
        <c:axId val="230203600"/>
      </c:barChart>
      <c:catAx>
        <c:axId val="23020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0203600"/>
        <c:crosses val="autoZero"/>
        <c:auto val="1"/>
        <c:lblAlgn val="ctr"/>
        <c:lblOffset val="100"/>
        <c:noMultiLvlLbl val="0"/>
      </c:catAx>
      <c:valAx>
        <c:axId val="23020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020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 GMI NIÑAS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GMI!$B$46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GMI!$C$45:$I$45</c:f>
              <c:strCache>
                <c:ptCount val="7"/>
                <c:pt idx="0">
                  <c:v>GMI 1</c:v>
                </c:pt>
                <c:pt idx="1">
                  <c:v>GMI 2</c:v>
                </c:pt>
                <c:pt idx="2">
                  <c:v>GMI 3</c:v>
                </c:pt>
                <c:pt idx="3">
                  <c:v>GMI 4</c:v>
                </c:pt>
                <c:pt idx="4">
                  <c:v>GMI 5</c:v>
                </c:pt>
                <c:pt idx="5">
                  <c:v>GMI 6</c:v>
                </c:pt>
                <c:pt idx="6">
                  <c:v>GMI 7</c:v>
                </c:pt>
              </c:strCache>
            </c:strRef>
          </c:cat>
          <c:val>
            <c:numRef>
              <c:f>GMI!$C$46:$I$46</c:f>
              <c:numCache>
                <c:formatCode>0.0%</c:formatCode>
                <c:ptCount val="7"/>
                <c:pt idx="0">
                  <c:v>6.8304347826086964E-2</c:v>
                </c:pt>
                <c:pt idx="1">
                  <c:v>6.3666666666666663E-2</c:v>
                </c:pt>
                <c:pt idx="2">
                  <c:v>5.6450000000000014E-2</c:v>
                </c:pt>
                <c:pt idx="3">
                  <c:v>6.8949999999999984E-2</c:v>
                </c:pt>
                <c:pt idx="4">
                  <c:v>6.6666666666666652E-2</c:v>
                </c:pt>
                <c:pt idx="5">
                  <c:v>6.6750000000000004E-2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205840"/>
        <c:axId val="230215360"/>
      </c:barChart>
      <c:catAx>
        <c:axId val="23020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0215360"/>
        <c:crosses val="autoZero"/>
        <c:auto val="1"/>
        <c:lblAlgn val="ctr"/>
        <c:lblOffset val="100"/>
        <c:noMultiLvlLbl val="0"/>
      </c:catAx>
      <c:valAx>
        <c:axId val="2302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020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GMI NIÑOS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GMI!$B$50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GMI!$C$49:$I$49</c:f>
              <c:strCache>
                <c:ptCount val="7"/>
                <c:pt idx="0">
                  <c:v>GMI 1</c:v>
                </c:pt>
                <c:pt idx="1">
                  <c:v>GMI 2</c:v>
                </c:pt>
                <c:pt idx="2">
                  <c:v>GMI 3</c:v>
                </c:pt>
                <c:pt idx="3">
                  <c:v>GMI 4</c:v>
                </c:pt>
                <c:pt idx="4">
                  <c:v>GMI 5</c:v>
                </c:pt>
                <c:pt idx="5">
                  <c:v>GMI 6</c:v>
                </c:pt>
                <c:pt idx="6">
                  <c:v>GMI 7</c:v>
                </c:pt>
              </c:strCache>
            </c:strRef>
          </c:cat>
          <c:val>
            <c:numRef>
              <c:f>GMI!$C$50:$I$50</c:f>
              <c:numCache>
                <c:formatCode>0.0%</c:formatCode>
                <c:ptCount val="7"/>
                <c:pt idx="0">
                  <c:v>6.8692307692307678E-2</c:v>
                </c:pt>
                <c:pt idx="1">
                  <c:v>6.476923076923076E-2</c:v>
                </c:pt>
                <c:pt idx="2">
                  <c:v>6.1249999999999992E-2</c:v>
                </c:pt>
                <c:pt idx="3">
                  <c:v>4.3666666666666666E-2</c:v>
                </c:pt>
                <c:pt idx="4">
                  <c:v>6.5250000000000002E-2</c:v>
                </c:pt>
                <c:pt idx="5">
                  <c:v>6.8666666666666668E-2</c:v>
                </c:pt>
                <c:pt idx="6">
                  <c:v>6.8000000000000005E-2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217600"/>
        <c:axId val="230966096"/>
      </c:barChart>
      <c:catAx>
        <c:axId val="23021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0966096"/>
        <c:crosses val="autoZero"/>
        <c:auto val="1"/>
        <c:lblAlgn val="ctr"/>
        <c:lblOffset val="100"/>
        <c:noMultiLvlLbl val="0"/>
      </c:catAx>
      <c:valAx>
        <c:axId val="2309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021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GMI NIÑAS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GMI!$B$54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GMI!$C$53:$I$53</c:f>
              <c:strCache>
                <c:ptCount val="7"/>
                <c:pt idx="0">
                  <c:v>GMI 1</c:v>
                </c:pt>
                <c:pt idx="1">
                  <c:v>GMI 2</c:v>
                </c:pt>
                <c:pt idx="2">
                  <c:v>GMI 3</c:v>
                </c:pt>
                <c:pt idx="3">
                  <c:v>GMI 4</c:v>
                </c:pt>
                <c:pt idx="4">
                  <c:v>GMI 5</c:v>
                </c:pt>
                <c:pt idx="5">
                  <c:v>GMI 6</c:v>
                </c:pt>
                <c:pt idx="6">
                  <c:v>GMI 7</c:v>
                </c:pt>
              </c:strCache>
            </c:strRef>
          </c:cat>
          <c:val>
            <c:numRef>
              <c:f>GMI!$C$54:$I$54</c:f>
              <c:numCache>
                <c:formatCode>0.0%</c:formatCode>
                <c:ptCount val="7"/>
                <c:pt idx="0">
                  <c:v>6.8200000000000011E-2</c:v>
                </c:pt>
                <c:pt idx="1">
                  <c:v>6.7400000000000002E-2</c:v>
                </c:pt>
                <c:pt idx="2">
                  <c:v>6.6400000000000001E-2</c:v>
                </c:pt>
                <c:pt idx="3">
                  <c:v>6.9200000000000012E-2</c:v>
                </c:pt>
                <c:pt idx="4">
                  <c:v>6.8250000000000005E-2</c:v>
                </c:pt>
                <c:pt idx="5">
                  <c:v>6.5000000000000002E-2</c:v>
                </c:pt>
              </c:numCache>
            </c:numRef>
          </c:val>
        </c:ser>
        <c:ser>
          <c:idx val="1"/>
          <c:order val="1"/>
          <c:tx>
            <c:strRef>
              <c:f>GMI!$B$55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GMI!$C$53:$I$53</c:f>
              <c:strCache>
                <c:ptCount val="7"/>
                <c:pt idx="0">
                  <c:v>GMI 1</c:v>
                </c:pt>
                <c:pt idx="1">
                  <c:v>GMI 2</c:v>
                </c:pt>
                <c:pt idx="2">
                  <c:v>GMI 3</c:v>
                </c:pt>
                <c:pt idx="3">
                  <c:v>GMI 4</c:v>
                </c:pt>
                <c:pt idx="4">
                  <c:v>GMI 5</c:v>
                </c:pt>
                <c:pt idx="5">
                  <c:v>GMI 6</c:v>
                </c:pt>
                <c:pt idx="6">
                  <c:v>GMI 7</c:v>
                </c:pt>
              </c:strCache>
            </c:strRef>
          </c:cat>
          <c:val>
            <c:numRef>
              <c:f>GMI!$C$55:$I$55</c:f>
              <c:numCache>
                <c:formatCode>0.0%</c:formatCode>
                <c:ptCount val="7"/>
                <c:pt idx="0">
                  <c:v>6.4769230769230746E-2</c:v>
                </c:pt>
                <c:pt idx="1">
                  <c:v>6.6153846153846146E-2</c:v>
                </c:pt>
                <c:pt idx="2">
                  <c:v>4.8000000000000008E-2</c:v>
                </c:pt>
                <c:pt idx="3">
                  <c:v>6.7916666666666667E-2</c:v>
                </c:pt>
                <c:pt idx="4">
                  <c:v>6.6599999999999993E-2</c:v>
                </c:pt>
                <c:pt idx="5">
                  <c:v>6.7000000000000004E-2</c:v>
                </c:pt>
              </c:numCache>
            </c:numRef>
          </c:val>
        </c:ser>
        <c:ser>
          <c:idx val="2"/>
          <c:order val="2"/>
          <c:tx>
            <c:strRef>
              <c:f>GMI!$B$56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GMI!$C$53:$I$53</c:f>
              <c:strCache>
                <c:ptCount val="7"/>
                <c:pt idx="0">
                  <c:v>GMI 1</c:v>
                </c:pt>
                <c:pt idx="1">
                  <c:v>GMI 2</c:v>
                </c:pt>
                <c:pt idx="2">
                  <c:v>GMI 3</c:v>
                </c:pt>
                <c:pt idx="3">
                  <c:v>GMI 4</c:v>
                </c:pt>
                <c:pt idx="4">
                  <c:v>GMI 5</c:v>
                </c:pt>
                <c:pt idx="5">
                  <c:v>GMI 6</c:v>
                </c:pt>
                <c:pt idx="6">
                  <c:v>GMI 7</c:v>
                </c:pt>
              </c:strCache>
            </c:strRef>
          </c:cat>
          <c:val>
            <c:numRef>
              <c:f>GMI!$C$56:$I$56</c:f>
              <c:numCache>
                <c:formatCode>0.0%</c:formatCode>
                <c:ptCount val="7"/>
                <c:pt idx="0">
                  <c:v>7.7600000000000002E-2</c:v>
                </c:pt>
                <c:pt idx="1">
                  <c:v>4.6666666666666669E-2</c:v>
                </c:pt>
                <c:pt idx="2">
                  <c:v>7.3666666666666672E-2</c:v>
                </c:pt>
                <c:pt idx="3">
                  <c:v>7.2666666666666671E-2</c:v>
                </c:pt>
                <c:pt idx="4">
                  <c:v>6.0999999999999999E-2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969456"/>
        <c:axId val="230970016"/>
      </c:barChart>
      <c:catAx>
        <c:axId val="23096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0970016"/>
        <c:crosses val="autoZero"/>
        <c:auto val="1"/>
        <c:lblAlgn val="ctr"/>
        <c:lblOffset val="100"/>
        <c:noMultiLvlLbl val="0"/>
      </c:catAx>
      <c:valAx>
        <c:axId val="23097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096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GMI NIÑOS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GMI!$B$60</c:f>
              <c:strCache>
                <c:ptCount val="1"/>
                <c:pt idx="0">
                  <c:v>&lt;10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GMI!$C$59:$I$59</c:f>
              <c:strCache>
                <c:ptCount val="7"/>
                <c:pt idx="0">
                  <c:v>GMI 1</c:v>
                </c:pt>
                <c:pt idx="1">
                  <c:v>GMI 2</c:v>
                </c:pt>
                <c:pt idx="2">
                  <c:v>GMI 3</c:v>
                </c:pt>
                <c:pt idx="3">
                  <c:v>GMI 4</c:v>
                </c:pt>
                <c:pt idx="4">
                  <c:v>GMI 5</c:v>
                </c:pt>
                <c:pt idx="5">
                  <c:v>GMI 6</c:v>
                </c:pt>
                <c:pt idx="6">
                  <c:v>GMI 7</c:v>
                </c:pt>
              </c:strCache>
            </c:strRef>
          </c:cat>
          <c:val>
            <c:numRef>
              <c:f>GMI!$C$60:$I$60</c:f>
              <c:numCache>
                <c:formatCode>0.0%</c:formatCode>
                <c:ptCount val="7"/>
                <c:pt idx="0">
                  <c:v>4.4000000000000004E-2</c:v>
                </c:pt>
                <c:pt idx="1">
                  <c:v>6.9666666666666668E-2</c:v>
                </c:pt>
                <c:pt idx="2">
                  <c:v>6.6666666666666666E-2</c:v>
                </c:pt>
                <c:pt idx="3">
                  <c:v>3.6499999999999998E-2</c:v>
                </c:pt>
                <c:pt idx="4">
                  <c:v>7.0000000000000007E-2</c:v>
                </c:pt>
              </c:numCache>
            </c:numRef>
          </c:val>
        </c:ser>
        <c:ser>
          <c:idx val="1"/>
          <c:order val="1"/>
          <c:tx>
            <c:strRef>
              <c:f>GMI!$B$61</c:f>
              <c:strCache>
                <c:ptCount val="1"/>
                <c:pt idx="0">
                  <c:v>11-15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GMI!$C$59:$I$59</c:f>
              <c:strCache>
                <c:ptCount val="7"/>
                <c:pt idx="0">
                  <c:v>GMI 1</c:v>
                </c:pt>
                <c:pt idx="1">
                  <c:v>GMI 2</c:v>
                </c:pt>
                <c:pt idx="2">
                  <c:v>GMI 3</c:v>
                </c:pt>
                <c:pt idx="3">
                  <c:v>GMI 4</c:v>
                </c:pt>
                <c:pt idx="4">
                  <c:v>GMI 5</c:v>
                </c:pt>
                <c:pt idx="5">
                  <c:v>GMI 6</c:v>
                </c:pt>
                <c:pt idx="6">
                  <c:v>GMI 7</c:v>
                </c:pt>
              </c:strCache>
            </c:strRef>
          </c:cat>
          <c:val>
            <c:numRef>
              <c:f>GMI!$C$61:$I$61</c:f>
              <c:numCache>
                <c:formatCode>0.0%</c:formatCode>
                <c:ptCount val="7"/>
                <c:pt idx="0">
                  <c:v>7.7166666666666675E-2</c:v>
                </c:pt>
                <c:pt idx="1">
                  <c:v>6.9666666666666668E-2</c:v>
                </c:pt>
                <c:pt idx="2">
                  <c:v>5.5166666666666669E-2</c:v>
                </c:pt>
                <c:pt idx="3">
                  <c:v>4.3166666666666666E-2</c:v>
                </c:pt>
                <c:pt idx="4">
                  <c:v>6.3399999999999998E-2</c:v>
                </c:pt>
                <c:pt idx="5">
                  <c:v>6.8666666666666668E-2</c:v>
                </c:pt>
                <c:pt idx="6">
                  <c:v>6.8000000000000005E-2</c:v>
                </c:pt>
              </c:numCache>
            </c:numRef>
          </c:val>
        </c:ser>
        <c:ser>
          <c:idx val="2"/>
          <c:order val="2"/>
          <c:tx>
            <c:strRef>
              <c:f>GMI!$B$62</c:f>
              <c:strCache>
                <c:ptCount val="1"/>
                <c:pt idx="0">
                  <c:v>16-18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GMI!$C$59:$I$59</c:f>
              <c:strCache>
                <c:ptCount val="7"/>
                <c:pt idx="0">
                  <c:v>GMI 1</c:v>
                </c:pt>
                <c:pt idx="1">
                  <c:v>GMI 2</c:v>
                </c:pt>
                <c:pt idx="2">
                  <c:v>GMI 3</c:v>
                </c:pt>
                <c:pt idx="3">
                  <c:v>GMI 4</c:v>
                </c:pt>
                <c:pt idx="4">
                  <c:v>GMI 5</c:v>
                </c:pt>
                <c:pt idx="5">
                  <c:v>GMI 6</c:v>
                </c:pt>
                <c:pt idx="6">
                  <c:v>GMI 7</c:v>
                </c:pt>
              </c:strCache>
            </c:strRef>
          </c:cat>
          <c:val>
            <c:numRef>
              <c:f>GMI!$C$62:$I$62</c:f>
              <c:numCache>
                <c:formatCode>0.0%</c:formatCode>
                <c:ptCount val="7"/>
                <c:pt idx="0">
                  <c:v>7.4500000000000011E-2</c:v>
                </c:pt>
                <c:pt idx="1">
                  <c:v>5.3749999999999999E-2</c:v>
                </c:pt>
                <c:pt idx="2">
                  <c:v>6.8000000000000005E-2</c:v>
                </c:pt>
                <c:pt idx="3">
                  <c:v>6.4000000000000001E-2</c:v>
                </c:pt>
                <c:pt idx="4">
                  <c:v>6.5000000000000002E-2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973936"/>
        <c:axId val="230974496"/>
      </c:barChart>
      <c:catAx>
        <c:axId val="23097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0974496"/>
        <c:crosses val="autoZero"/>
        <c:auto val="1"/>
        <c:lblAlgn val="ctr"/>
        <c:lblOffset val="100"/>
        <c:noMultiLvlLbl val="0"/>
      </c:catAx>
      <c:valAx>
        <c:axId val="23097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097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4" Type="http://schemas.openxmlformats.org/officeDocument/2006/relationships/chart" Target="../charts/chart3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7" Type="http://schemas.openxmlformats.org/officeDocument/2006/relationships/chart" Target="../charts/chart45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4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41</xdr:row>
      <xdr:rowOff>144462</xdr:rowOff>
    </xdr:from>
    <xdr:to>
      <xdr:col>4</xdr:col>
      <xdr:colOff>174625</xdr:colOff>
      <xdr:row>54</xdr:row>
      <xdr:rowOff>204787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555625</xdr:colOff>
      <xdr:row>70</xdr:row>
      <xdr:rowOff>112712</xdr:rowOff>
    </xdr:from>
    <xdr:to>
      <xdr:col>4</xdr:col>
      <xdr:colOff>190500</xdr:colOff>
      <xdr:row>83</xdr:row>
      <xdr:rowOff>173037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460375</xdr:colOff>
      <xdr:row>55</xdr:row>
      <xdr:rowOff>96837</xdr:rowOff>
    </xdr:from>
    <xdr:to>
      <xdr:col>4</xdr:col>
      <xdr:colOff>95250</xdr:colOff>
      <xdr:row>68</xdr:row>
      <xdr:rowOff>157162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1174750</xdr:colOff>
      <xdr:row>42</xdr:row>
      <xdr:rowOff>112712</xdr:rowOff>
    </xdr:from>
    <xdr:to>
      <xdr:col>5</xdr:col>
      <xdr:colOff>1651000</xdr:colOff>
      <xdr:row>55</xdr:row>
      <xdr:rowOff>173037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1397000</xdr:colOff>
      <xdr:row>56</xdr:row>
      <xdr:rowOff>176212</xdr:rowOff>
    </xdr:from>
    <xdr:to>
      <xdr:col>5</xdr:col>
      <xdr:colOff>1873250</xdr:colOff>
      <xdr:row>70</xdr:row>
      <xdr:rowOff>30162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3</xdr:row>
      <xdr:rowOff>61912</xdr:rowOff>
    </xdr:from>
    <xdr:to>
      <xdr:col>18</xdr:col>
      <xdr:colOff>171450</xdr:colOff>
      <xdr:row>18</xdr:row>
      <xdr:rowOff>138112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200025</xdr:colOff>
      <xdr:row>45</xdr:row>
      <xdr:rowOff>23812</xdr:rowOff>
    </xdr:from>
    <xdr:to>
      <xdr:col>17</xdr:col>
      <xdr:colOff>200025</xdr:colOff>
      <xdr:row>59</xdr:row>
      <xdr:rowOff>100012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581025</xdr:colOff>
      <xdr:row>64</xdr:row>
      <xdr:rowOff>33337</xdr:rowOff>
    </xdr:from>
    <xdr:to>
      <xdr:col>16</xdr:col>
      <xdr:colOff>581025</xdr:colOff>
      <xdr:row>80</xdr:row>
      <xdr:rowOff>109537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542925</xdr:colOff>
      <xdr:row>108</xdr:row>
      <xdr:rowOff>147637</xdr:rowOff>
    </xdr:from>
    <xdr:to>
      <xdr:col>3</xdr:col>
      <xdr:colOff>314325</xdr:colOff>
      <xdr:row>123</xdr:row>
      <xdr:rowOff>33337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419100</xdr:colOff>
      <xdr:row>108</xdr:row>
      <xdr:rowOff>128587</xdr:rowOff>
    </xdr:from>
    <xdr:to>
      <xdr:col>10</xdr:col>
      <xdr:colOff>419100</xdr:colOff>
      <xdr:row>123</xdr:row>
      <xdr:rowOff>14287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571500</xdr:colOff>
      <xdr:row>123</xdr:row>
      <xdr:rowOff>42862</xdr:rowOff>
    </xdr:from>
    <xdr:to>
      <xdr:col>17</xdr:col>
      <xdr:colOff>571500</xdr:colOff>
      <xdr:row>137</xdr:row>
      <xdr:rowOff>119062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323850</xdr:colOff>
      <xdr:row>142</xdr:row>
      <xdr:rowOff>71437</xdr:rowOff>
    </xdr:from>
    <xdr:to>
      <xdr:col>10</xdr:col>
      <xdr:colOff>323850</xdr:colOff>
      <xdr:row>156</xdr:row>
      <xdr:rowOff>147637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9525</xdr:colOff>
      <xdr:row>141</xdr:row>
      <xdr:rowOff>128587</xdr:rowOff>
    </xdr:from>
    <xdr:to>
      <xdr:col>3</xdr:col>
      <xdr:colOff>542925</xdr:colOff>
      <xdr:row>156</xdr:row>
      <xdr:rowOff>14287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447675</xdr:colOff>
      <xdr:row>41</xdr:row>
      <xdr:rowOff>138112</xdr:rowOff>
    </xdr:from>
    <xdr:to>
      <xdr:col>23</xdr:col>
      <xdr:colOff>447675</xdr:colOff>
      <xdr:row>55</xdr:row>
      <xdr:rowOff>171450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638175</xdr:colOff>
      <xdr:row>41</xdr:row>
      <xdr:rowOff>138112</xdr:rowOff>
    </xdr:from>
    <xdr:to>
      <xdr:col>29</xdr:col>
      <xdr:colOff>638175</xdr:colOff>
      <xdr:row>55</xdr:row>
      <xdr:rowOff>123825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752475</xdr:colOff>
      <xdr:row>56</xdr:row>
      <xdr:rowOff>119062</xdr:rowOff>
    </xdr:from>
    <xdr:to>
      <xdr:col>23</xdr:col>
      <xdr:colOff>752475</xdr:colOff>
      <xdr:row>71</xdr:row>
      <xdr:rowOff>4762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209550</xdr:colOff>
      <xdr:row>56</xdr:row>
      <xdr:rowOff>76200</xdr:rowOff>
    </xdr:from>
    <xdr:to>
      <xdr:col>30</xdr:col>
      <xdr:colOff>209550</xdr:colOff>
      <xdr:row>70</xdr:row>
      <xdr:rowOff>109537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628650</xdr:colOff>
      <xdr:row>66</xdr:row>
      <xdr:rowOff>166687</xdr:rowOff>
    </xdr:from>
    <xdr:to>
      <xdr:col>3</xdr:col>
      <xdr:colOff>9525</xdr:colOff>
      <xdr:row>81</xdr:row>
      <xdr:rowOff>52387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114300</xdr:colOff>
      <xdr:row>66</xdr:row>
      <xdr:rowOff>166687</xdr:rowOff>
    </xdr:from>
    <xdr:to>
      <xdr:col>13</xdr:col>
      <xdr:colOff>114300</xdr:colOff>
      <xdr:row>81</xdr:row>
      <xdr:rowOff>52387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657225</xdr:colOff>
      <xdr:row>81</xdr:row>
      <xdr:rowOff>33337</xdr:rowOff>
    </xdr:from>
    <xdr:to>
      <xdr:col>3</xdr:col>
      <xdr:colOff>38100</xdr:colOff>
      <xdr:row>95</xdr:row>
      <xdr:rowOff>109537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133350</xdr:colOff>
      <xdr:row>80</xdr:row>
      <xdr:rowOff>138112</xdr:rowOff>
    </xdr:from>
    <xdr:to>
      <xdr:col>13</xdr:col>
      <xdr:colOff>133350</xdr:colOff>
      <xdr:row>95</xdr:row>
      <xdr:rowOff>23812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695325</xdr:colOff>
      <xdr:row>45</xdr:row>
      <xdr:rowOff>90487</xdr:rowOff>
    </xdr:from>
    <xdr:to>
      <xdr:col>23</xdr:col>
      <xdr:colOff>695325</xdr:colOff>
      <xdr:row>58</xdr:row>
      <xdr:rowOff>166687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142875</xdr:colOff>
      <xdr:row>45</xdr:row>
      <xdr:rowOff>14287</xdr:rowOff>
    </xdr:from>
    <xdr:to>
      <xdr:col>30</xdr:col>
      <xdr:colOff>142875</xdr:colOff>
      <xdr:row>58</xdr:row>
      <xdr:rowOff>90487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428625</xdr:colOff>
      <xdr:row>59</xdr:row>
      <xdr:rowOff>138112</xdr:rowOff>
    </xdr:from>
    <xdr:to>
      <xdr:col>23</xdr:col>
      <xdr:colOff>428625</xdr:colOff>
      <xdr:row>74</xdr:row>
      <xdr:rowOff>23812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142875</xdr:colOff>
      <xdr:row>59</xdr:row>
      <xdr:rowOff>185737</xdr:rowOff>
    </xdr:from>
    <xdr:to>
      <xdr:col>30</xdr:col>
      <xdr:colOff>142875</xdr:colOff>
      <xdr:row>74</xdr:row>
      <xdr:rowOff>71437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61</xdr:row>
      <xdr:rowOff>71437</xdr:rowOff>
    </xdr:from>
    <xdr:to>
      <xdr:col>2</xdr:col>
      <xdr:colOff>180975</xdr:colOff>
      <xdr:row>75</xdr:row>
      <xdr:rowOff>147637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295275</xdr:colOff>
      <xdr:row>61</xdr:row>
      <xdr:rowOff>61912</xdr:rowOff>
    </xdr:from>
    <xdr:to>
      <xdr:col>11</xdr:col>
      <xdr:colOff>295275</xdr:colOff>
      <xdr:row>75</xdr:row>
      <xdr:rowOff>138112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76200</xdr:colOff>
      <xdr:row>75</xdr:row>
      <xdr:rowOff>185737</xdr:rowOff>
    </xdr:from>
    <xdr:to>
      <xdr:col>2</xdr:col>
      <xdr:colOff>219075</xdr:colOff>
      <xdr:row>90</xdr:row>
      <xdr:rowOff>71437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352425</xdr:colOff>
      <xdr:row>75</xdr:row>
      <xdr:rowOff>166687</xdr:rowOff>
    </xdr:from>
    <xdr:to>
      <xdr:col>11</xdr:col>
      <xdr:colOff>352425</xdr:colOff>
      <xdr:row>90</xdr:row>
      <xdr:rowOff>52387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648629</xdr:colOff>
      <xdr:row>2</xdr:row>
      <xdr:rowOff>13590</xdr:rowOff>
    </xdr:from>
    <xdr:to>
      <xdr:col>23</xdr:col>
      <xdr:colOff>453481</xdr:colOff>
      <xdr:row>28</xdr:row>
      <xdr:rowOff>18353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215822</xdr:colOff>
      <xdr:row>31</xdr:row>
      <xdr:rowOff>77942</xdr:rowOff>
    </xdr:from>
    <xdr:to>
      <xdr:col>19</xdr:col>
      <xdr:colOff>215822</xdr:colOff>
      <xdr:row>48</xdr:row>
      <xdr:rowOff>149495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101522</xdr:colOff>
      <xdr:row>31</xdr:row>
      <xdr:rowOff>92928</xdr:rowOff>
    </xdr:from>
    <xdr:to>
      <xdr:col>26</xdr:col>
      <xdr:colOff>101523</xdr:colOff>
      <xdr:row>52</xdr:row>
      <xdr:rowOff>26136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582187</xdr:colOff>
      <xdr:row>52</xdr:row>
      <xdr:rowOff>185736</xdr:rowOff>
    </xdr:from>
    <xdr:to>
      <xdr:col>19</xdr:col>
      <xdr:colOff>582187</xdr:colOff>
      <xdr:row>66</xdr:row>
      <xdr:rowOff>71437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138691</xdr:colOff>
      <xdr:row>52</xdr:row>
      <xdr:rowOff>128586</xdr:rowOff>
    </xdr:from>
    <xdr:to>
      <xdr:col>26</xdr:col>
      <xdr:colOff>138692</xdr:colOff>
      <xdr:row>66</xdr:row>
      <xdr:rowOff>14287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37</xdr:row>
      <xdr:rowOff>52387</xdr:rowOff>
    </xdr:from>
    <xdr:to>
      <xdr:col>17</xdr:col>
      <xdr:colOff>114300</xdr:colOff>
      <xdr:row>54</xdr:row>
      <xdr:rowOff>128587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438150</xdr:colOff>
      <xdr:row>37</xdr:row>
      <xdr:rowOff>42862</xdr:rowOff>
    </xdr:from>
    <xdr:to>
      <xdr:col>23</xdr:col>
      <xdr:colOff>438150</xdr:colOff>
      <xdr:row>54</xdr:row>
      <xdr:rowOff>119062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161925</xdr:colOff>
      <xdr:row>56</xdr:row>
      <xdr:rowOff>33337</xdr:rowOff>
    </xdr:from>
    <xdr:to>
      <xdr:col>17</xdr:col>
      <xdr:colOff>161925</xdr:colOff>
      <xdr:row>70</xdr:row>
      <xdr:rowOff>109537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76200</xdr:colOff>
      <xdr:row>55</xdr:row>
      <xdr:rowOff>119062</xdr:rowOff>
    </xdr:from>
    <xdr:to>
      <xdr:col>24</xdr:col>
      <xdr:colOff>76200</xdr:colOff>
      <xdr:row>70</xdr:row>
      <xdr:rowOff>4762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38</xdr:row>
      <xdr:rowOff>138112</xdr:rowOff>
    </xdr:from>
    <xdr:to>
      <xdr:col>18</xdr:col>
      <xdr:colOff>171450</xdr:colOff>
      <xdr:row>57</xdr:row>
      <xdr:rowOff>23812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714375</xdr:colOff>
      <xdr:row>38</xdr:row>
      <xdr:rowOff>157162</xdr:rowOff>
    </xdr:from>
    <xdr:to>
      <xdr:col>24</xdr:col>
      <xdr:colOff>714375</xdr:colOff>
      <xdr:row>57</xdr:row>
      <xdr:rowOff>42862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638175</xdr:colOff>
      <xdr:row>58</xdr:row>
      <xdr:rowOff>42862</xdr:rowOff>
    </xdr:from>
    <xdr:to>
      <xdr:col>18</xdr:col>
      <xdr:colOff>638175</xdr:colOff>
      <xdr:row>72</xdr:row>
      <xdr:rowOff>119062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323850</xdr:colOff>
      <xdr:row>58</xdr:row>
      <xdr:rowOff>138112</xdr:rowOff>
    </xdr:from>
    <xdr:to>
      <xdr:col>25</xdr:col>
      <xdr:colOff>323850</xdr:colOff>
      <xdr:row>73</xdr:row>
      <xdr:rowOff>23812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152400</xdr:colOff>
      <xdr:row>84</xdr:row>
      <xdr:rowOff>14287</xdr:rowOff>
    </xdr:from>
    <xdr:to>
      <xdr:col>3</xdr:col>
      <xdr:colOff>552450</xdr:colOff>
      <xdr:row>98</xdr:row>
      <xdr:rowOff>90487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619125</xdr:colOff>
      <xdr:row>84</xdr:row>
      <xdr:rowOff>4762</xdr:rowOff>
    </xdr:from>
    <xdr:to>
      <xdr:col>9</xdr:col>
      <xdr:colOff>619125</xdr:colOff>
      <xdr:row>98</xdr:row>
      <xdr:rowOff>80962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104775</xdr:colOff>
      <xdr:row>83</xdr:row>
      <xdr:rowOff>128587</xdr:rowOff>
    </xdr:from>
    <xdr:to>
      <xdr:col>16</xdr:col>
      <xdr:colOff>104775</xdr:colOff>
      <xdr:row>98</xdr:row>
      <xdr:rowOff>14287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647700</xdr:colOff>
      <xdr:row>37</xdr:row>
      <xdr:rowOff>166687</xdr:rowOff>
    </xdr:from>
    <xdr:to>
      <xdr:col>17</xdr:col>
      <xdr:colOff>323850</xdr:colOff>
      <xdr:row>56</xdr:row>
      <xdr:rowOff>52387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676275</xdr:colOff>
      <xdr:row>37</xdr:row>
      <xdr:rowOff>147637</xdr:rowOff>
    </xdr:from>
    <xdr:to>
      <xdr:col>23</xdr:col>
      <xdr:colOff>676275</xdr:colOff>
      <xdr:row>56</xdr:row>
      <xdr:rowOff>33337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66675</xdr:colOff>
      <xdr:row>58</xdr:row>
      <xdr:rowOff>128587</xdr:rowOff>
    </xdr:from>
    <xdr:to>
      <xdr:col>16</xdr:col>
      <xdr:colOff>66675</xdr:colOff>
      <xdr:row>73</xdr:row>
      <xdr:rowOff>14287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409575</xdr:colOff>
      <xdr:row>58</xdr:row>
      <xdr:rowOff>176212</xdr:rowOff>
    </xdr:from>
    <xdr:to>
      <xdr:col>22</xdr:col>
      <xdr:colOff>409575</xdr:colOff>
      <xdr:row>73</xdr:row>
      <xdr:rowOff>61912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003"/>
  <sheetViews>
    <sheetView topLeftCell="A19" workbookViewId="0">
      <selection activeCell="A42" sqref="A42:XFD42"/>
    </sheetView>
  </sheetViews>
  <sheetFormatPr baseColWidth="10" defaultColWidth="14.42578125" defaultRowHeight="15" customHeight="1"/>
  <cols>
    <col min="1" max="1" width="41.5703125" customWidth="1"/>
    <col min="2" max="2" width="7.42578125" customWidth="1"/>
    <col min="3" max="3" width="74" customWidth="1"/>
    <col min="4" max="4" width="21.140625" customWidth="1"/>
    <col min="5" max="5" width="44.5703125" customWidth="1"/>
    <col min="6" max="6" width="54" customWidth="1"/>
    <col min="7" max="7" width="64.42578125" customWidth="1"/>
    <col min="8" max="9" width="21.140625" customWidth="1"/>
    <col min="10" max="10" width="31.85546875" customWidth="1"/>
    <col min="11" max="11" width="53.7109375" customWidth="1"/>
    <col min="12" max="12" width="16.140625" customWidth="1"/>
    <col min="13" max="13" width="8.85546875" customWidth="1"/>
    <col min="14" max="14" width="7.85546875" customWidth="1"/>
    <col min="15" max="16" width="8.7109375" customWidth="1"/>
    <col min="17" max="17" width="8.28515625" customWidth="1"/>
    <col min="18" max="18" width="8.42578125" customWidth="1"/>
    <col min="19" max="25" width="8.28515625" customWidth="1"/>
    <col min="26" max="31" width="7" customWidth="1"/>
    <col min="32" max="37" width="7.85546875" customWidth="1"/>
    <col min="38" max="43" width="8.28515625" customWidth="1"/>
    <col min="44" max="73" width="8.140625" customWidth="1"/>
    <col min="74" max="74" width="12" customWidth="1"/>
    <col min="75" max="78" width="8.140625" customWidth="1"/>
    <col min="79" max="79" width="3.85546875" customWidth="1"/>
    <col min="80" max="80" width="42.28515625" customWidth="1"/>
    <col min="81" max="81" width="43.42578125" customWidth="1"/>
    <col min="82" max="82" width="25.5703125" customWidth="1"/>
    <col min="83" max="83" width="21.140625" customWidth="1"/>
    <col min="84" max="84" width="18" customWidth="1"/>
    <col min="85" max="85" width="38.7109375" customWidth="1"/>
    <col min="86" max="86" width="88.28515625" customWidth="1"/>
    <col min="87" max="87" width="17.140625" customWidth="1"/>
    <col min="88" max="90" width="18.42578125" customWidth="1"/>
    <col min="91" max="92" width="19.140625" customWidth="1"/>
    <col min="93" max="94" width="8.85546875" customWidth="1"/>
  </cols>
  <sheetData>
    <row r="1" spans="1:94">
      <c r="B1" s="1"/>
      <c r="C1" s="2"/>
    </row>
    <row r="2" spans="1:94" ht="45">
      <c r="A2" s="3"/>
      <c r="B2" s="4" t="s">
        <v>0</v>
      </c>
      <c r="C2" s="150" t="s">
        <v>1</v>
      </c>
      <c r="D2" s="153" t="s">
        <v>2</v>
      </c>
      <c r="E2" s="154" t="s">
        <v>3</v>
      </c>
      <c r="F2" s="140"/>
      <c r="G2" s="5" t="s">
        <v>4</v>
      </c>
      <c r="H2" s="4" t="s">
        <v>5</v>
      </c>
      <c r="I2" s="6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155" t="s">
        <v>11</v>
      </c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1"/>
      <c r="CB2" s="7"/>
      <c r="CC2" s="7"/>
      <c r="CD2" s="7"/>
      <c r="CE2" s="7"/>
      <c r="CF2" s="7"/>
      <c r="CG2" s="7"/>
      <c r="CH2" s="7"/>
      <c r="CI2" s="5"/>
      <c r="CJ2" s="154" t="s">
        <v>12</v>
      </c>
      <c r="CK2" s="140"/>
      <c r="CL2" s="141"/>
      <c r="CM2" s="154" t="s">
        <v>13</v>
      </c>
      <c r="CN2" s="140"/>
      <c r="CO2" s="141"/>
      <c r="CP2" s="3"/>
    </row>
    <row r="3" spans="1:94" ht="46.5" customHeight="1">
      <c r="A3" s="8"/>
      <c r="B3" s="9"/>
      <c r="C3" s="151"/>
      <c r="D3" s="151"/>
      <c r="E3" s="10"/>
      <c r="F3" s="11"/>
      <c r="G3" s="12"/>
      <c r="H3" s="13"/>
      <c r="I3" s="13"/>
      <c r="J3" s="13"/>
      <c r="K3" s="13"/>
      <c r="L3" s="13"/>
      <c r="M3" s="13"/>
      <c r="N3" s="157" t="s">
        <v>14</v>
      </c>
      <c r="O3" s="140"/>
      <c r="P3" s="140"/>
      <c r="Q3" s="140"/>
      <c r="R3" s="140"/>
      <c r="S3" s="141"/>
      <c r="T3" s="136" t="s">
        <v>15</v>
      </c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8"/>
      <c r="AF3" s="15"/>
      <c r="AG3" s="15"/>
      <c r="AH3" s="15"/>
      <c r="AI3" s="15"/>
      <c r="AJ3" s="15"/>
      <c r="AK3" s="136" t="s">
        <v>16</v>
      </c>
      <c r="AL3" s="137"/>
      <c r="AM3" s="137"/>
      <c r="AN3" s="137"/>
      <c r="AO3" s="137"/>
      <c r="AP3" s="137"/>
      <c r="AQ3" s="138"/>
      <c r="AR3" s="139" t="s">
        <v>17</v>
      </c>
      <c r="AS3" s="140"/>
      <c r="AT3" s="140"/>
      <c r="AU3" s="140"/>
      <c r="AV3" s="140"/>
      <c r="AW3" s="141"/>
      <c r="AX3" s="142" t="s">
        <v>18</v>
      </c>
      <c r="AY3" s="137"/>
      <c r="AZ3" s="137"/>
      <c r="BA3" s="137"/>
      <c r="BB3" s="137"/>
      <c r="BC3" s="138"/>
      <c r="BD3" s="143" t="s">
        <v>19</v>
      </c>
      <c r="BE3" s="144"/>
      <c r="BF3" s="144"/>
      <c r="BG3" s="144"/>
      <c r="BH3" s="144"/>
      <c r="BI3" s="145"/>
      <c r="BJ3" s="139" t="s">
        <v>20</v>
      </c>
      <c r="BK3" s="140"/>
      <c r="BL3" s="140"/>
      <c r="BM3" s="140"/>
      <c r="BN3" s="140"/>
      <c r="BO3" s="141"/>
      <c r="BP3" s="139" t="s">
        <v>21</v>
      </c>
      <c r="BQ3" s="140"/>
      <c r="BR3" s="140"/>
      <c r="BS3" s="140"/>
      <c r="BT3" s="140"/>
      <c r="BU3" s="141"/>
      <c r="BV3" s="139" t="s">
        <v>22</v>
      </c>
      <c r="BW3" s="140"/>
      <c r="BX3" s="140"/>
      <c r="BY3" s="140"/>
      <c r="BZ3" s="140"/>
      <c r="CA3" s="141"/>
      <c r="CB3" s="158" t="s">
        <v>23</v>
      </c>
      <c r="CC3" s="137"/>
      <c r="CD3" s="137"/>
      <c r="CE3" s="137"/>
      <c r="CF3" s="137"/>
      <c r="CG3" s="138"/>
      <c r="CH3" s="16" t="s">
        <v>24</v>
      </c>
      <c r="CI3" s="17" t="s">
        <v>25</v>
      </c>
      <c r="CJ3" s="12" t="s">
        <v>26</v>
      </c>
      <c r="CK3" s="12" t="s">
        <v>27</v>
      </c>
      <c r="CL3" s="18" t="s">
        <v>28</v>
      </c>
      <c r="CM3" s="12" t="s">
        <v>29</v>
      </c>
      <c r="CN3" s="19" t="s">
        <v>30</v>
      </c>
      <c r="CO3" s="19" t="s">
        <v>31</v>
      </c>
    </row>
    <row r="4" spans="1:94" ht="46.5" customHeight="1">
      <c r="A4" s="8"/>
      <c r="B4" s="9"/>
      <c r="C4" s="151"/>
      <c r="D4" s="151"/>
      <c r="E4" s="10"/>
      <c r="F4" s="11"/>
      <c r="G4" s="12"/>
      <c r="H4" s="13"/>
      <c r="I4" s="13"/>
      <c r="J4" s="13"/>
      <c r="K4" s="13"/>
      <c r="L4" s="13"/>
      <c r="M4" s="13"/>
      <c r="N4" s="157" t="s">
        <v>14</v>
      </c>
      <c r="O4" s="140"/>
      <c r="P4" s="140"/>
      <c r="Q4" s="140"/>
      <c r="R4" s="140"/>
      <c r="S4" s="141"/>
      <c r="T4" s="136" t="s">
        <v>32</v>
      </c>
      <c r="U4" s="137"/>
      <c r="V4" s="137"/>
      <c r="W4" s="137"/>
      <c r="X4" s="137"/>
      <c r="Y4" s="138"/>
      <c r="Z4" s="136" t="s">
        <v>33</v>
      </c>
      <c r="AA4" s="137"/>
      <c r="AB4" s="137"/>
      <c r="AC4" s="137"/>
      <c r="AD4" s="137"/>
      <c r="AE4" s="138"/>
      <c r="AF4" s="136" t="s">
        <v>34</v>
      </c>
      <c r="AG4" s="137"/>
      <c r="AH4" s="137"/>
      <c r="AI4" s="137"/>
      <c r="AJ4" s="137"/>
      <c r="AK4" s="138"/>
      <c r="AL4" s="146" t="s">
        <v>35</v>
      </c>
      <c r="AM4" s="147"/>
      <c r="AN4" s="147"/>
      <c r="AO4" s="147"/>
      <c r="AP4" s="147"/>
      <c r="AQ4" s="147"/>
      <c r="AR4" s="139" t="s">
        <v>17</v>
      </c>
      <c r="AS4" s="140"/>
      <c r="AT4" s="140"/>
      <c r="AU4" s="140"/>
      <c r="AV4" s="140"/>
      <c r="AW4" s="141"/>
      <c r="AX4" s="148" t="s">
        <v>18</v>
      </c>
      <c r="AY4" s="147"/>
      <c r="AZ4" s="147"/>
      <c r="BA4" s="147"/>
      <c r="BB4" s="147"/>
      <c r="BC4" s="149"/>
      <c r="BD4" s="139" t="s">
        <v>19</v>
      </c>
      <c r="BE4" s="140"/>
      <c r="BF4" s="140"/>
      <c r="BG4" s="140"/>
      <c r="BH4" s="140"/>
      <c r="BI4" s="141"/>
      <c r="BJ4" s="139" t="s">
        <v>20</v>
      </c>
      <c r="BK4" s="140"/>
      <c r="BL4" s="140"/>
      <c r="BM4" s="140"/>
      <c r="BN4" s="140"/>
      <c r="BO4" s="141"/>
      <c r="BP4" s="139" t="s">
        <v>21</v>
      </c>
      <c r="BQ4" s="140"/>
      <c r="BR4" s="140"/>
      <c r="BS4" s="140"/>
      <c r="BT4" s="140"/>
      <c r="BU4" s="141"/>
      <c r="BV4" s="139" t="s">
        <v>22</v>
      </c>
      <c r="BW4" s="140"/>
      <c r="BX4" s="140"/>
      <c r="BY4" s="140"/>
      <c r="BZ4" s="140"/>
      <c r="CA4" s="141"/>
      <c r="CB4" s="20"/>
      <c r="CC4" s="20"/>
      <c r="CD4" s="20"/>
      <c r="CE4" s="20"/>
      <c r="CF4" s="20"/>
      <c r="CG4" s="20"/>
      <c r="CH4" s="20"/>
      <c r="CI4" s="21"/>
      <c r="CJ4" s="12"/>
      <c r="CK4" s="12"/>
      <c r="CL4" s="18"/>
      <c r="CM4" s="12"/>
      <c r="CN4" s="19"/>
      <c r="CO4" s="19"/>
    </row>
    <row r="5" spans="1:94" ht="46.5" customHeight="1">
      <c r="A5" s="8" t="s">
        <v>36</v>
      </c>
      <c r="B5" s="9"/>
      <c r="C5" s="152"/>
      <c r="D5" s="152"/>
      <c r="E5" s="22" t="s">
        <v>37</v>
      </c>
      <c r="F5" s="19" t="s">
        <v>38</v>
      </c>
      <c r="G5" s="12"/>
      <c r="H5" s="13"/>
      <c r="I5" s="13"/>
      <c r="J5" s="13"/>
      <c r="K5" s="13"/>
      <c r="L5" s="13"/>
      <c r="M5" s="13"/>
      <c r="N5" s="156" t="s">
        <v>14</v>
      </c>
      <c r="O5" s="140"/>
      <c r="P5" s="140"/>
      <c r="Q5" s="140"/>
      <c r="R5" s="140"/>
      <c r="S5" s="141"/>
      <c r="T5" s="136" t="s">
        <v>32</v>
      </c>
      <c r="U5" s="137"/>
      <c r="V5" s="137"/>
      <c r="W5" s="137"/>
      <c r="X5" s="137"/>
      <c r="Y5" s="138"/>
      <c r="Z5" s="136" t="s">
        <v>33</v>
      </c>
      <c r="AA5" s="137"/>
      <c r="AB5" s="137"/>
      <c r="AC5" s="137"/>
      <c r="AD5" s="137"/>
      <c r="AE5" s="138"/>
      <c r="AF5" s="136" t="s">
        <v>34</v>
      </c>
      <c r="AG5" s="137"/>
      <c r="AH5" s="137"/>
      <c r="AI5" s="137"/>
      <c r="AJ5" s="137"/>
      <c r="AK5" s="138"/>
      <c r="AL5" s="156" t="s">
        <v>35</v>
      </c>
      <c r="AM5" s="140"/>
      <c r="AN5" s="140"/>
      <c r="AO5" s="140"/>
      <c r="AP5" s="140"/>
      <c r="AQ5" s="141"/>
      <c r="AR5" s="139" t="s">
        <v>17</v>
      </c>
      <c r="AS5" s="140"/>
      <c r="AT5" s="140"/>
      <c r="AU5" s="140"/>
      <c r="AV5" s="140"/>
      <c r="AW5" s="141"/>
      <c r="AX5" s="139" t="s">
        <v>18</v>
      </c>
      <c r="AY5" s="140"/>
      <c r="AZ5" s="140"/>
      <c r="BA5" s="140"/>
      <c r="BB5" s="140"/>
      <c r="BC5" s="141"/>
      <c r="BD5" s="142" t="s">
        <v>19</v>
      </c>
      <c r="BE5" s="137"/>
      <c r="BF5" s="137"/>
      <c r="BG5" s="137"/>
      <c r="BH5" s="137"/>
      <c r="BI5" s="138"/>
      <c r="BJ5" s="139" t="s">
        <v>20</v>
      </c>
      <c r="BK5" s="140"/>
      <c r="BL5" s="140"/>
      <c r="BM5" s="140"/>
      <c r="BN5" s="140"/>
      <c r="BO5" s="141"/>
      <c r="BP5" s="139" t="s">
        <v>21</v>
      </c>
      <c r="BQ5" s="140"/>
      <c r="BR5" s="140"/>
      <c r="BS5" s="140"/>
      <c r="BT5" s="140"/>
      <c r="BU5" s="141"/>
      <c r="BV5" s="139" t="s">
        <v>22</v>
      </c>
      <c r="BW5" s="140"/>
      <c r="BX5" s="140"/>
      <c r="BY5" s="140"/>
      <c r="BZ5" s="140"/>
      <c r="CA5" s="141"/>
      <c r="CB5" s="17">
        <v>1</v>
      </c>
      <c r="CC5" s="17">
        <v>2</v>
      </c>
      <c r="CD5" s="17">
        <v>3</v>
      </c>
      <c r="CE5" s="17">
        <v>4</v>
      </c>
      <c r="CF5" s="17">
        <v>5</v>
      </c>
      <c r="CG5" s="17">
        <v>6</v>
      </c>
      <c r="CH5" s="21"/>
      <c r="CI5" s="21"/>
      <c r="CJ5" s="8"/>
      <c r="CK5" s="8"/>
      <c r="CL5" s="8"/>
      <c r="CM5" s="8"/>
      <c r="CN5" s="8"/>
      <c r="CO5" s="8"/>
    </row>
    <row r="6" spans="1:94">
      <c r="A6" s="24"/>
      <c r="B6" s="25"/>
      <c r="C6" s="13"/>
      <c r="D6" s="21"/>
      <c r="E6" s="26"/>
      <c r="F6" s="13"/>
      <c r="G6" s="21"/>
      <c r="H6" s="21"/>
      <c r="I6" s="21"/>
      <c r="J6" s="21"/>
      <c r="K6" s="17"/>
      <c r="L6" s="21"/>
      <c r="M6" s="27"/>
      <c r="N6" s="17">
        <v>1</v>
      </c>
      <c r="O6" s="17">
        <v>2</v>
      </c>
      <c r="P6" s="17">
        <v>3</v>
      </c>
      <c r="Q6" s="17">
        <v>4</v>
      </c>
      <c r="R6" s="17">
        <v>5</v>
      </c>
      <c r="S6" s="17">
        <v>6</v>
      </c>
      <c r="T6" s="17">
        <v>1</v>
      </c>
      <c r="U6" s="17">
        <v>2</v>
      </c>
      <c r="V6" s="17">
        <v>3</v>
      </c>
      <c r="W6" s="17">
        <v>4</v>
      </c>
      <c r="X6" s="17">
        <v>5</v>
      </c>
      <c r="Y6" s="17">
        <v>6</v>
      </c>
      <c r="Z6" s="17">
        <v>1</v>
      </c>
      <c r="AA6" s="17">
        <v>2</v>
      </c>
      <c r="AB6" s="17">
        <v>3</v>
      </c>
      <c r="AC6" s="17">
        <v>4</v>
      </c>
      <c r="AD6" s="17">
        <v>5</v>
      </c>
      <c r="AE6" s="17">
        <v>6</v>
      </c>
      <c r="AF6" s="17">
        <v>1</v>
      </c>
      <c r="AG6" s="17">
        <v>2</v>
      </c>
      <c r="AH6" s="17">
        <v>3</v>
      </c>
      <c r="AI6" s="17">
        <v>4</v>
      </c>
      <c r="AJ6" s="17">
        <v>5</v>
      </c>
      <c r="AK6" s="28">
        <v>6</v>
      </c>
      <c r="AL6" s="28">
        <v>1</v>
      </c>
      <c r="AM6" s="28">
        <v>2</v>
      </c>
      <c r="AN6" s="28">
        <v>3</v>
      </c>
      <c r="AO6" s="28">
        <v>4</v>
      </c>
      <c r="AP6" s="28">
        <v>5</v>
      </c>
      <c r="AQ6" s="28">
        <v>6</v>
      </c>
      <c r="AR6" s="29">
        <v>1</v>
      </c>
      <c r="AS6" s="24">
        <v>2</v>
      </c>
      <c r="AT6" s="24">
        <v>3</v>
      </c>
      <c r="AU6" s="24">
        <v>4</v>
      </c>
      <c r="AV6" s="24">
        <v>5</v>
      </c>
      <c r="AW6" s="24">
        <v>6</v>
      </c>
      <c r="AX6" s="24">
        <v>1</v>
      </c>
      <c r="AY6" s="24">
        <v>2</v>
      </c>
      <c r="AZ6" s="24">
        <v>3</v>
      </c>
      <c r="BA6" s="24">
        <v>4</v>
      </c>
      <c r="BB6" s="24">
        <v>5</v>
      </c>
      <c r="BC6" s="24">
        <v>6</v>
      </c>
      <c r="BD6" s="29">
        <v>1</v>
      </c>
      <c r="BE6" s="24">
        <v>2</v>
      </c>
      <c r="BF6" s="24">
        <v>3</v>
      </c>
      <c r="BG6" s="24">
        <v>4</v>
      </c>
      <c r="BH6" s="24">
        <v>5</v>
      </c>
      <c r="BI6" s="24">
        <v>6</v>
      </c>
      <c r="BJ6" s="29">
        <v>1</v>
      </c>
      <c r="BK6" s="24">
        <v>2</v>
      </c>
      <c r="BL6" s="24">
        <v>3</v>
      </c>
      <c r="BM6" s="24">
        <v>4</v>
      </c>
      <c r="BN6" s="24">
        <v>5</v>
      </c>
      <c r="BO6" s="24">
        <v>6</v>
      </c>
      <c r="BP6" s="29">
        <v>1</v>
      </c>
      <c r="BQ6" s="24">
        <v>2</v>
      </c>
      <c r="BR6" s="24">
        <v>3</v>
      </c>
      <c r="BS6" s="24">
        <v>4</v>
      </c>
      <c r="BT6" s="24">
        <v>5</v>
      </c>
      <c r="BU6" s="24">
        <v>6</v>
      </c>
      <c r="BV6" s="29">
        <v>1</v>
      </c>
      <c r="BW6" s="24">
        <v>2</v>
      </c>
      <c r="BX6" s="24">
        <v>3</v>
      </c>
      <c r="BY6" s="24">
        <v>4</v>
      </c>
      <c r="BZ6" s="24">
        <v>5</v>
      </c>
      <c r="CA6" s="24">
        <v>6</v>
      </c>
      <c r="CB6" s="17"/>
      <c r="CC6" s="17"/>
      <c r="CD6" s="17"/>
      <c r="CE6" s="17"/>
      <c r="CF6" s="17"/>
      <c r="CG6" s="17"/>
      <c r="CH6" s="21"/>
      <c r="CI6" s="21"/>
      <c r="CJ6" s="13"/>
      <c r="CK6" s="13"/>
      <c r="CL6" s="13"/>
      <c r="CM6" s="13"/>
      <c r="CN6" s="13"/>
      <c r="CO6" s="13"/>
    </row>
    <row r="7" spans="1:94">
      <c r="A7" s="24" t="s">
        <v>39</v>
      </c>
      <c r="B7" s="30">
        <v>1</v>
      </c>
      <c r="C7" s="31" t="s">
        <v>40</v>
      </c>
      <c r="D7" s="28" t="s">
        <v>41</v>
      </c>
      <c r="E7" s="13" t="s">
        <v>42</v>
      </c>
      <c r="F7" s="13"/>
      <c r="G7" s="13" t="s">
        <v>43</v>
      </c>
      <c r="H7" s="13" t="s">
        <v>44</v>
      </c>
      <c r="I7" s="13" t="s">
        <v>45</v>
      </c>
      <c r="J7" s="13" t="s">
        <v>46</v>
      </c>
      <c r="K7" s="28" t="s">
        <v>47</v>
      </c>
      <c r="L7" s="13">
        <v>3</v>
      </c>
      <c r="M7" s="32">
        <v>0.121</v>
      </c>
      <c r="N7" s="33">
        <v>0.48899999999999999</v>
      </c>
      <c r="O7" s="33">
        <v>0.54200000000000004</v>
      </c>
      <c r="P7" s="33">
        <v>0.70099999999999996</v>
      </c>
      <c r="Q7" s="33"/>
      <c r="R7" s="33"/>
      <c r="S7" s="33"/>
      <c r="T7" s="33">
        <v>0.128</v>
      </c>
      <c r="U7" s="33">
        <v>0.108</v>
      </c>
      <c r="V7" s="33">
        <v>3.5000000000000003E-2</v>
      </c>
      <c r="W7" s="33"/>
      <c r="X7" s="33"/>
      <c r="Y7" s="34"/>
      <c r="Z7" s="35">
        <v>0.35</v>
      </c>
      <c r="AA7" s="35">
        <v>0.33100000000000002</v>
      </c>
      <c r="AB7" s="28">
        <v>24.4</v>
      </c>
      <c r="AC7" s="35"/>
      <c r="AD7" s="35"/>
      <c r="AE7" s="8"/>
      <c r="AF7" s="33">
        <v>0.03</v>
      </c>
      <c r="AG7" s="33">
        <v>1.7999999999999999E-2</v>
      </c>
      <c r="AH7" s="33">
        <v>0.02</v>
      </c>
      <c r="AI7" s="33"/>
      <c r="AJ7" s="33"/>
      <c r="AK7" s="8"/>
      <c r="AL7" s="33">
        <v>3.0000000000000001E-3</v>
      </c>
      <c r="AM7" s="33">
        <v>1E-3</v>
      </c>
      <c r="AN7" s="33">
        <v>0</v>
      </c>
      <c r="AO7" s="33"/>
      <c r="AP7" s="33"/>
      <c r="AQ7" s="8"/>
      <c r="AR7" s="24">
        <v>56.6</v>
      </c>
      <c r="AS7" s="24">
        <v>48.4</v>
      </c>
      <c r="AT7" s="24">
        <v>29.9</v>
      </c>
      <c r="AU7" s="24"/>
      <c r="AV7" s="24"/>
      <c r="AW7" s="24"/>
      <c r="AX7" s="36">
        <v>0.23899999999999999</v>
      </c>
      <c r="AY7" s="36">
        <v>0.86599999999999999</v>
      </c>
      <c r="AZ7" s="24">
        <v>91.1</v>
      </c>
      <c r="BA7" s="8"/>
      <c r="BB7" s="8"/>
      <c r="BC7" s="8"/>
      <c r="BD7" s="33">
        <v>0.38900000000000001</v>
      </c>
      <c r="BE7" s="36">
        <v>0.36799999999999999</v>
      </c>
      <c r="BF7" s="24">
        <v>33.299999999999997</v>
      </c>
      <c r="BG7" s="8"/>
      <c r="BH7" s="8"/>
      <c r="BI7" s="8"/>
      <c r="BJ7" s="33">
        <v>7.4999999999999997E-2</v>
      </c>
      <c r="BK7" s="36">
        <v>7.4999999999999997E-2</v>
      </c>
      <c r="BL7" s="36">
        <v>7.0000000000000007E-2</v>
      </c>
      <c r="BM7" s="8"/>
      <c r="BN7" s="8"/>
      <c r="BO7" s="8"/>
      <c r="BP7" s="28">
        <v>15</v>
      </c>
      <c r="BQ7" s="24">
        <v>14</v>
      </c>
      <c r="BR7" s="24">
        <v>10</v>
      </c>
      <c r="BS7" s="8"/>
      <c r="BT7" s="8"/>
      <c r="BU7" s="8"/>
      <c r="BV7" s="28" t="s">
        <v>48</v>
      </c>
      <c r="BW7" s="24" t="s">
        <v>49</v>
      </c>
      <c r="BX7" s="24" t="s">
        <v>50</v>
      </c>
      <c r="BY7" s="24"/>
      <c r="BZ7" s="8"/>
      <c r="CA7" s="8"/>
      <c r="CB7" s="28" t="s">
        <v>51</v>
      </c>
      <c r="CC7" s="28" t="s">
        <v>52</v>
      </c>
      <c r="CD7" s="28" t="s">
        <v>52</v>
      </c>
      <c r="CE7" s="28"/>
      <c r="CF7" s="28"/>
      <c r="CG7" s="28"/>
      <c r="CH7" s="13"/>
      <c r="CI7" s="13"/>
      <c r="CJ7" s="13"/>
      <c r="CK7" s="13"/>
      <c r="CL7" s="13"/>
      <c r="CM7" s="13"/>
      <c r="CN7" s="13"/>
      <c r="CO7" s="13"/>
    </row>
    <row r="8" spans="1:94" ht="32.25" customHeight="1">
      <c r="A8" s="24" t="s">
        <v>53</v>
      </c>
      <c r="B8" s="30">
        <v>2</v>
      </c>
      <c r="C8" s="37" t="s">
        <v>54</v>
      </c>
      <c r="D8" s="38" t="s">
        <v>55</v>
      </c>
      <c r="E8" s="13" t="s">
        <v>56</v>
      </c>
      <c r="F8" s="13"/>
      <c r="G8" s="13" t="s">
        <v>57</v>
      </c>
      <c r="H8" s="13" t="s">
        <v>58</v>
      </c>
      <c r="I8" s="13" t="s">
        <v>45</v>
      </c>
      <c r="J8" s="13" t="s">
        <v>46</v>
      </c>
      <c r="K8" s="13" t="s">
        <v>59</v>
      </c>
      <c r="L8" s="13">
        <v>3</v>
      </c>
      <c r="M8" s="32">
        <v>0.11600000000000001</v>
      </c>
      <c r="N8" s="33">
        <v>0.57399999999999995</v>
      </c>
      <c r="O8" s="33">
        <v>0.47</v>
      </c>
      <c r="P8" s="33">
        <v>0.49399999999999999</v>
      </c>
      <c r="Q8" s="33"/>
      <c r="R8" s="33"/>
      <c r="S8" s="8"/>
      <c r="T8" s="33">
        <v>5.3999999999999999E-2</v>
      </c>
      <c r="U8" s="33">
        <v>0.16500000000000001</v>
      </c>
      <c r="V8" s="33">
        <v>4.1000000000000002E-2</v>
      </c>
      <c r="W8" s="33"/>
      <c r="X8" s="33"/>
      <c r="Y8" s="39"/>
      <c r="Z8" s="33">
        <v>0.20300000000000001</v>
      </c>
      <c r="AA8" s="33">
        <v>0.184</v>
      </c>
      <c r="AB8" s="33">
        <v>0.20799999999999999</v>
      </c>
      <c r="AC8" s="33"/>
      <c r="AD8" s="33"/>
      <c r="AE8" s="8"/>
      <c r="AF8" s="33">
        <v>0.128</v>
      </c>
      <c r="AG8" s="33">
        <v>8.3000000000000004E-2</v>
      </c>
      <c r="AH8" s="33">
        <v>0.13900000000000001</v>
      </c>
      <c r="AI8" s="33"/>
      <c r="AJ8" s="33"/>
      <c r="AK8" s="8"/>
      <c r="AL8" s="33">
        <v>4.1000000000000002E-2</v>
      </c>
      <c r="AM8" s="33">
        <v>9.8000000000000004E-2</v>
      </c>
      <c r="AN8" s="33">
        <v>0.11799999999999999</v>
      </c>
      <c r="AO8" s="33"/>
      <c r="AP8" s="33"/>
      <c r="AQ8" s="8"/>
      <c r="AR8" s="24">
        <v>67.900000000000006</v>
      </c>
      <c r="AS8" s="24">
        <v>90.4</v>
      </c>
      <c r="AT8" s="24">
        <v>92</v>
      </c>
      <c r="AU8" s="24"/>
      <c r="AV8" s="24"/>
      <c r="AW8" s="24"/>
      <c r="AX8" s="36">
        <v>0.61399999999999999</v>
      </c>
      <c r="AY8" s="36">
        <v>0.19800000000000001</v>
      </c>
      <c r="AZ8" s="36">
        <v>0.69599999999999995</v>
      </c>
      <c r="BA8" s="8"/>
      <c r="BB8" s="8"/>
      <c r="BC8" s="8"/>
      <c r="BD8" s="33">
        <v>0.48499999999999999</v>
      </c>
      <c r="BE8" s="36">
        <v>0.57099999999999995</v>
      </c>
      <c r="BF8" s="40">
        <v>0.54</v>
      </c>
      <c r="BG8" s="8"/>
      <c r="BH8" s="8"/>
      <c r="BI8" s="8"/>
      <c r="BJ8" s="33">
        <v>6.5000000000000002E-2</v>
      </c>
      <c r="BK8" s="40">
        <v>7.0000000000000007E-2</v>
      </c>
      <c r="BL8" s="36">
        <v>6.3E-2</v>
      </c>
      <c r="BM8" s="8"/>
      <c r="BN8" s="8"/>
      <c r="BO8" s="8"/>
      <c r="BP8" s="28">
        <v>32</v>
      </c>
      <c r="BQ8" s="24">
        <v>23</v>
      </c>
      <c r="BR8" s="24">
        <v>27</v>
      </c>
      <c r="BS8" s="8"/>
      <c r="BT8" s="8"/>
      <c r="BU8" s="8"/>
      <c r="BV8" s="28" t="s">
        <v>60</v>
      </c>
      <c r="BW8" s="24" t="s">
        <v>61</v>
      </c>
      <c r="BX8" s="24" t="s">
        <v>62</v>
      </c>
      <c r="BY8" s="24"/>
      <c r="BZ8" s="8"/>
      <c r="CA8" s="8"/>
      <c r="CB8" s="28" t="s">
        <v>63</v>
      </c>
      <c r="CC8" s="28" t="s">
        <v>64</v>
      </c>
      <c r="CD8" s="28" t="s">
        <v>65</v>
      </c>
      <c r="CE8" s="28"/>
      <c r="CF8" s="28"/>
      <c r="CG8" s="28"/>
      <c r="CH8" s="28" t="s">
        <v>66</v>
      </c>
      <c r="CI8" s="13"/>
      <c r="CJ8" s="13"/>
      <c r="CK8" s="13"/>
      <c r="CL8" s="13"/>
      <c r="CM8" s="13"/>
      <c r="CN8" s="13"/>
      <c r="CO8" s="13"/>
    </row>
    <row r="9" spans="1:94" ht="17.25" customHeight="1">
      <c r="A9" s="24" t="s">
        <v>67</v>
      </c>
      <c r="B9" s="30">
        <v>3</v>
      </c>
      <c r="C9" s="41" t="s">
        <v>68</v>
      </c>
      <c r="D9" s="38" t="s">
        <v>69</v>
      </c>
      <c r="E9" s="13"/>
      <c r="F9" s="13" t="s">
        <v>70</v>
      </c>
      <c r="G9" s="13" t="s">
        <v>71</v>
      </c>
      <c r="H9" s="13" t="s">
        <v>72</v>
      </c>
      <c r="I9" s="13" t="s">
        <v>73</v>
      </c>
      <c r="J9" s="13" t="s">
        <v>46</v>
      </c>
      <c r="K9" s="13" t="s">
        <v>74</v>
      </c>
      <c r="L9" s="13">
        <v>3</v>
      </c>
      <c r="M9" s="32">
        <v>6.2600000000000003E-2</v>
      </c>
      <c r="N9" s="33">
        <v>0.45100000000000001</v>
      </c>
      <c r="O9" s="33">
        <v>0.498</v>
      </c>
      <c r="P9" s="33">
        <v>0.495</v>
      </c>
      <c r="Q9" s="33"/>
      <c r="R9" s="33"/>
      <c r="S9" s="8"/>
      <c r="T9" s="28">
        <v>23.9</v>
      </c>
      <c r="U9" s="33">
        <v>0.20699999999999999</v>
      </c>
      <c r="V9" s="33">
        <v>0.218</v>
      </c>
      <c r="W9" s="28"/>
      <c r="X9" s="28"/>
      <c r="Y9" s="39"/>
      <c r="Z9" s="28">
        <v>30.9</v>
      </c>
      <c r="AA9" s="35">
        <v>0.28999999999999998</v>
      </c>
      <c r="AB9" s="33">
        <v>0.28399999999999997</v>
      </c>
      <c r="AC9" s="28"/>
      <c r="AD9" s="28"/>
      <c r="AE9" s="8"/>
      <c r="AF9" s="28">
        <v>0</v>
      </c>
      <c r="AG9" s="33">
        <v>5.0000000000000001E-3</v>
      </c>
      <c r="AH9" s="33">
        <v>3.0000000000000001E-3</v>
      </c>
      <c r="AI9" s="28"/>
      <c r="AJ9" s="28"/>
      <c r="AK9" s="8"/>
      <c r="AL9" s="28">
        <v>0.1</v>
      </c>
      <c r="AM9" s="35">
        <v>0</v>
      </c>
      <c r="AN9" s="35">
        <v>0</v>
      </c>
      <c r="AO9" s="28"/>
      <c r="AP9" s="28"/>
      <c r="AQ9" s="8"/>
      <c r="AR9" s="28">
        <v>63.2</v>
      </c>
      <c r="AS9" s="28">
        <v>57.5</v>
      </c>
      <c r="AT9" s="28">
        <v>58.3</v>
      </c>
      <c r="AU9" s="28"/>
      <c r="AV9" s="28"/>
      <c r="AW9" s="28"/>
      <c r="AX9" s="33">
        <v>0.95699999999999996</v>
      </c>
      <c r="AY9" s="36">
        <v>0.96499999999999997</v>
      </c>
      <c r="AZ9" s="24" t="s">
        <v>75</v>
      </c>
      <c r="BA9" s="8"/>
      <c r="BB9" s="8"/>
      <c r="BC9" s="8"/>
      <c r="BD9" s="28">
        <v>34.700000000000003</v>
      </c>
      <c r="BE9" s="24">
        <v>37.700000000000003</v>
      </c>
      <c r="BF9" s="36">
        <v>0.35399999999999998</v>
      </c>
      <c r="BG9" s="8"/>
      <c r="BH9" s="8"/>
      <c r="BI9" s="8"/>
      <c r="BJ9" s="33">
        <v>8.1000000000000003E-2</v>
      </c>
      <c r="BK9" s="36">
        <v>7.9000000000000001E-2</v>
      </c>
      <c r="BL9" s="36">
        <v>7.9000000000000001E-2</v>
      </c>
      <c r="BM9" s="8"/>
      <c r="BN9" s="8"/>
      <c r="BO9" s="8"/>
      <c r="BP9" s="28">
        <v>1</v>
      </c>
      <c r="BQ9" s="24">
        <v>1</v>
      </c>
      <c r="BR9" s="24">
        <v>2</v>
      </c>
      <c r="BS9" s="8"/>
      <c r="BT9" s="8"/>
      <c r="BU9" s="8"/>
      <c r="BV9" s="28" t="s">
        <v>76</v>
      </c>
      <c r="BW9" s="28" t="s">
        <v>77</v>
      </c>
      <c r="BX9" s="28" t="s">
        <v>78</v>
      </c>
      <c r="BY9" s="28"/>
      <c r="BZ9" s="8"/>
      <c r="CA9" s="8"/>
      <c r="CB9" s="28" t="s">
        <v>79</v>
      </c>
      <c r="CC9" s="28" t="s">
        <v>80</v>
      </c>
      <c r="CD9" s="28" t="s">
        <v>81</v>
      </c>
      <c r="CE9" s="28"/>
      <c r="CF9" s="28"/>
      <c r="CG9" s="24"/>
      <c r="CH9" s="28" t="s">
        <v>82</v>
      </c>
      <c r="CI9" s="13"/>
      <c r="CJ9" s="13"/>
      <c r="CK9" s="13"/>
      <c r="CL9" s="13"/>
      <c r="CM9" s="13"/>
      <c r="CN9" s="13"/>
      <c r="CO9" s="13"/>
    </row>
    <row r="10" spans="1:94">
      <c r="A10" s="24" t="s">
        <v>83</v>
      </c>
      <c r="B10" s="30">
        <v>4</v>
      </c>
      <c r="C10" s="42" t="s">
        <v>84</v>
      </c>
      <c r="D10" s="13" t="s">
        <v>85</v>
      </c>
      <c r="E10" s="13" t="s">
        <v>86</v>
      </c>
      <c r="F10" s="13"/>
      <c r="G10" s="13" t="s">
        <v>87</v>
      </c>
      <c r="H10" s="13" t="s">
        <v>88</v>
      </c>
      <c r="I10" s="13" t="s">
        <v>73</v>
      </c>
      <c r="J10" s="13" t="s">
        <v>46</v>
      </c>
      <c r="K10" s="13" t="s">
        <v>89</v>
      </c>
      <c r="L10" s="13">
        <v>3</v>
      </c>
      <c r="M10" s="13">
        <v>14.7</v>
      </c>
      <c r="N10" s="33">
        <v>0.34499999999999997</v>
      </c>
      <c r="O10" s="33">
        <v>0.49299999999999999</v>
      </c>
      <c r="P10" s="33"/>
      <c r="Q10" s="33"/>
      <c r="R10" s="33"/>
      <c r="S10" s="8"/>
      <c r="T10" s="33">
        <v>0.499</v>
      </c>
      <c r="U10" s="33">
        <v>0.22600000000000001</v>
      </c>
      <c r="V10" s="33"/>
      <c r="W10" s="33"/>
      <c r="X10" s="33"/>
      <c r="Y10" s="39"/>
      <c r="Z10" s="33">
        <v>0.152</v>
      </c>
      <c r="AA10" s="33">
        <v>0.17599999999999999</v>
      </c>
      <c r="AB10" s="33"/>
      <c r="AC10" s="33"/>
      <c r="AD10" s="33"/>
      <c r="AE10" s="8"/>
      <c r="AF10" s="33">
        <v>4.0000000000000001E-3</v>
      </c>
      <c r="AG10" s="33">
        <v>9.1999999999999998E-2</v>
      </c>
      <c r="AH10" s="33"/>
      <c r="AI10" s="33"/>
      <c r="AJ10" s="33"/>
      <c r="AK10" s="8"/>
      <c r="AL10" s="35">
        <v>0</v>
      </c>
      <c r="AM10" s="28">
        <v>1.3</v>
      </c>
      <c r="AN10" s="35"/>
      <c r="AO10" s="35"/>
      <c r="AP10" s="35"/>
      <c r="AQ10" s="8"/>
      <c r="AR10" s="28">
        <v>93</v>
      </c>
      <c r="AS10" s="28">
        <v>76.2</v>
      </c>
      <c r="AT10" s="28"/>
      <c r="AU10" s="28"/>
      <c r="AV10" s="28"/>
      <c r="AW10" s="28"/>
      <c r="AX10" s="33">
        <v>0.71899999999999997</v>
      </c>
      <c r="AY10" s="36">
        <v>0.77400000000000002</v>
      </c>
      <c r="AZ10" s="8"/>
      <c r="BA10" s="8"/>
      <c r="BB10" s="8"/>
      <c r="BC10" s="8"/>
      <c r="BD10" s="33">
        <v>0.498</v>
      </c>
      <c r="BE10" s="36">
        <v>0.54300000000000004</v>
      </c>
      <c r="BF10" s="8"/>
      <c r="BG10" s="8"/>
      <c r="BH10" s="8"/>
      <c r="BI10" s="8"/>
      <c r="BJ10" s="33">
        <v>9.5000000000000001E-2</v>
      </c>
      <c r="BK10" s="36">
        <v>7.4999999999999997E-2</v>
      </c>
      <c r="BL10" s="8"/>
      <c r="BM10" s="8"/>
      <c r="BN10" s="8"/>
      <c r="BO10" s="8"/>
      <c r="BP10" s="28">
        <v>1</v>
      </c>
      <c r="BQ10" s="24">
        <v>26</v>
      </c>
      <c r="BR10" s="8"/>
      <c r="BS10" s="8"/>
      <c r="BT10" s="8"/>
      <c r="BU10" s="8"/>
      <c r="BV10" s="28" t="s">
        <v>90</v>
      </c>
      <c r="BW10" s="28" t="s">
        <v>91</v>
      </c>
      <c r="BX10" s="28"/>
      <c r="BY10" s="28"/>
      <c r="BZ10" s="8"/>
      <c r="CA10" s="8"/>
      <c r="CB10" s="28" t="s">
        <v>92</v>
      </c>
      <c r="CC10" s="28" t="s">
        <v>93</v>
      </c>
      <c r="CD10" s="28"/>
      <c r="CE10" s="28"/>
      <c r="CF10" s="28"/>
      <c r="CG10" s="8"/>
      <c r="CH10" s="28" t="s">
        <v>94</v>
      </c>
      <c r="CI10" s="13"/>
      <c r="CJ10" s="13"/>
      <c r="CK10" s="13"/>
      <c r="CL10" s="13"/>
      <c r="CM10" s="13"/>
      <c r="CN10" s="13"/>
      <c r="CO10" s="13"/>
    </row>
    <row r="11" spans="1:94">
      <c r="A11" s="43">
        <v>46000</v>
      </c>
      <c r="B11" s="30">
        <v>5</v>
      </c>
      <c r="C11" s="42" t="s">
        <v>95</v>
      </c>
      <c r="D11" s="13" t="s">
        <v>96</v>
      </c>
      <c r="E11" s="13"/>
      <c r="F11" s="13" t="s">
        <v>97</v>
      </c>
      <c r="G11" s="13" t="s">
        <v>98</v>
      </c>
      <c r="H11" s="13" t="s">
        <v>99</v>
      </c>
      <c r="I11" s="13" t="s">
        <v>45</v>
      </c>
      <c r="J11" s="13" t="s">
        <v>46</v>
      </c>
      <c r="K11" s="13" t="s">
        <v>100</v>
      </c>
      <c r="L11" s="44" t="s">
        <v>101</v>
      </c>
      <c r="M11" s="32">
        <v>7.3400000000000007E-2</v>
      </c>
      <c r="N11" s="33">
        <v>0.53500000000000003</v>
      </c>
      <c r="O11" s="33">
        <v>0.69499999999999995</v>
      </c>
      <c r="P11" s="13"/>
      <c r="Q11" s="13"/>
      <c r="R11" s="13"/>
      <c r="S11" s="8"/>
      <c r="T11" s="33">
        <v>0.14099999999999999</v>
      </c>
      <c r="U11" s="33">
        <v>9.9000000000000005E-2</v>
      </c>
      <c r="V11" s="13"/>
      <c r="W11" s="13"/>
      <c r="X11" s="13"/>
      <c r="Y11" s="39"/>
      <c r="Z11" s="33">
        <v>0.222</v>
      </c>
      <c r="AA11" s="33">
        <v>0.14399999999999999</v>
      </c>
      <c r="AB11" s="13"/>
      <c r="AC11" s="13"/>
      <c r="AD11" s="13"/>
      <c r="AE11" s="8"/>
      <c r="AF11" s="35">
        <v>0.1</v>
      </c>
      <c r="AG11" s="33">
        <v>5.0999999999999997E-2</v>
      </c>
      <c r="AH11" s="13"/>
      <c r="AI11" s="13"/>
      <c r="AJ11" s="13"/>
      <c r="AK11" s="8"/>
      <c r="AL11" s="33">
        <v>2E-3</v>
      </c>
      <c r="AM11" s="33">
        <v>1.0999999999999999E-2</v>
      </c>
      <c r="AN11" s="13"/>
      <c r="AO11" s="13"/>
      <c r="AP11" s="13"/>
      <c r="AQ11" s="8"/>
      <c r="AR11" s="28">
        <v>64.900000000000006</v>
      </c>
      <c r="AS11" s="28">
        <v>42.9</v>
      </c>
      <c r="AT11" s="13"/>
      <c r="AU11" s="13"/>
      <c r="AV11" s="13"/>
      <c r="AW11" s="13"/>
      <c r="AX11" s="35">
        <v>0.43</v>
      </c>
      <c r="AY11" s="36">
        <v>0.73299999999999998</v>
      </c>
      <c r="AZ11" s="8"/>
      <c r="BA11" s="8"/>
      <c r="BB11" s="8"/>
      <c r="BC11" s="8"/>
      <c r="BD11" s="33">
        <v>0.50600000000000001</v>
      </c>
      <c r="BE11" s="36">
        <v>0.436</v>
      </c>
      <c r="BF11" s="8"/>
      <c r="BG11" s="8"/>
      <c r="BH11" s="8"/>
      <c r="BI11" s="8"/>
      <c r="BJ11" s="33">
        <v>7.0999999999999994E-2</v>
      </c>
      <c r="BK11" s="36">
        <v>6.9000000000000006E-2</v>
      </c>
      <c r="BL11" s="8"/>
      <c r="BM11" s="8"/>
      <c r="BN11" s="8"/>
      <c r="BO11" s="8"/>
      <c r="BP11" s="28">
        <v>22</v>
      </c>
      <c r="BQ11" s="24">
        <v>20</v>
      </c>
      <c r="BR11" s="8"/>
      <c r="BS11" s="8"/>
      <c r="BT11" s="8"/>
      <c r="BU11" s="8"/>
      <c r="BV11" s="28" t="s">
        <v>102</v>
      </c>
      <c r="BW11" s="28" t="s">
        <v>103</v>
      </c>
      <c r="BX11" s="13"/>
      <c r="BY11" s="13"/>
      <c r="BZ11" s="8"/>
      <c r="CA11" s="8"/>
      <c r="CB11" s="28" t="s">
        <v>104</v>
      </c>
      <c r="CC11" s="28" t="s">
        <v>105</v>
      </c>
      <c r="CD11" s="28"/>
      <c r="CE11" s="28"/>
      <c r="CF11" s="28"/>
      <c r="CG11" s="8"/>
      <c r="CH11" s="13"/>
      <c r="CI11" s="13"/>
      <c r="CJ11" s="13"/>
      <c r="CK11" s="13"/>
      <c r="CL11" s="13"/>
      <c r="CM11" s="13"/>
      <c r="CN11" s="13"/>
      <c r="CO11" s="13"/>
    </row>
    <row r="12" spans="1:94">
      <c r="A12" s="43">
        <v>46000</v>
      </c>
      <c r="B12" s="30">
        <v>6</v>
      </c>
      <c r="C12" s="31" t="s">
        <v>106</v>
      </c>
      <c r="D12" s="13" t="s">
        <v>107</v>
      </c>
      <c r="E12" s="13"/>
      <c r="F12" s="13" t="s">
        <v>108</v>
      </c>
      <c r="G12" s="13" t="s">
        <v>109</v>
      </c>
      <c r="H12" s="13" t="s">
        <v>72</v>
      </c>
      <c r="I12" s="13" t="s">
        <v>45</v>
      </c>
      <c r="J12" s="13" t="s">
        <v>46</v>
      </c>
      <c r="K12" s="13" t="s">
        <v>110</v>
      </c>
      <c r="L12" s="13" t="s">
        <v>101</v>
      </c>
      <c r="M12" s="32">
        <v>0.11600000000000001</v>
      </c>
      <c r="N12" s="33">
        <v>0.27500000000000002</v>
      </c>
      <c r="O12" s="33">
        <v>0.39300000000000002</v>
      </c>
      <c r="P12" s="33"/>
      <c r="Q12" s="33"/>
      <c r="R12" s="33"/>
      <c r="S12" s="8"/>
      <c r="T12" s="33">
        <v>0.55900000000000005</v>
      </c>
      <c r="U12" s="33">
        <v>0.29399999999999998</v>
      </c>
      <c r="V12" s="33"/>
      <c r="W12" s="33"/>
      <c r="X12" s="33"/>
      <c r="Y12" s="39"/>
      <c r="Z12" s="33">
        <v>0.16600000000000001</v>
      </c>
      <c r="AA12" s="33">
        <v>0.312</v>
      </c>
      <c r="AB12" s="33"/>
      <c r="AC12" s="33"/>
      <c r="AD12" s="33"/>
      <c r="AE12" s="8"/>
      <c r="AF12" s="35">
        <v>0</v>
      </c>
      <c r="AG12" s="28">
        <v>0.1</v>
      </c>
      <c r="AH12" s="35"/>
      <c r="AI12" s="35"/>
      <c r="AJ12" s="35"/>
      <c r="AK12" s="8"/>
      <c r="AL12" s="35">
        <v>0</v>
      </c>
      <c r="AM12" s="35">
        <v>0</v>
      </c>
      <c r="AN12" s="35"/>
      <c r="AO12" s="35"/>
      <c r="AP12" s="35"/>
      <c r="AQ12" s="8"/>
      <c r="AR12" s="28">
        <v>102.7</v>
      </c>
      <c r="AS12" s="28">
        <v>72.2</v>
      </c>
      <c r="AT12" s="28"/>
      <c r="AU12" s="28"/>
      <c r="AV12" s="28"/>
      <c r="AW12" s="28"/>
      <c r="AX12" s="33">
        <v>0.58599999999999997</v>
      </c>
      <c r="AY12" s="36">
        <v>0.41799999999999998</v>
      </c>
      <c r="AZ12" s="8"/>
      <c r="BA12" s="8"/>
      <c r="BB12" s="8"/>
      <c r="BC12" s="8"/>
      <c r="BD12" s="33">
        <v>0.378</v>
      </c>
      <c r="BE12" s="36">
        <v>0.373</v>
      </c>
      <c r="BF12" s="8"/>
      <c r="BG12" s="8"/>
      <c r="BH12" s="8"/>
      <c r="BI12" s="8"/>
      <c r="BJ12" s="28" t="s">
        <v>111</v>
      </c>
      <c r="BK12" s="36">
        <v>8.4000000000000005E-2</v>
      </c>
      <c r="BL12" s="8"/>
      <c r="BM12" s="8"/>
      <c r="BN12" s="8"/>
      <c r="BO12" s="8"/>
      <c r="BP12" s="28">
        <v>0</v>
      </c>
      <c r="BQ12" s="24">
        <v>0</v>
      </c>
      <c r="BR12" s="8"/>
      <c r="BS12" s="8"/>
      <c r="BT12" s="8"/>
      <c r="BU12" s="8"/>
      <c r="BV12" s="28" t="s">
        <v>112</v>
      </c>
      <c r="BW12" s="28" t="s">
        <v>112</v>
      </c>
      <c r="BX12" s="28"/>
      <c r="BY12" s="28"/>
      <c r="BZ12" s="8"/>
      <c r="CA12" s="8"/>
      <c r="CB12" s="28" t="s">
        <v>113</v>
      </c>
      <c r="CC12" s="28" t="s">
        <v>114</v>
      </c>
      <c r="CD12" s="28"/>
      <c r="CE12" s="28"/>
      <c r="CF12" s="28"/>
      <c r="CG12" s="8"/>
      <c r="CH12" s="28" t="s">
        <v>115</v>
      </c>
      <c r="CI12" s="13"/>
      <c r="CJ12" s="13"/>
      <c r="CK12" s="13"/>
      <c r="CL12" s="13"/>
      <c r="CM12" s="13"/>
      <c r="CN12" s="13"/>
      <c r="CO12" s="13"/>
    </row>
    <row r="13" spans="1:94" ht="17.25" customHeight="1">
      <c r="A13" s="43">
        <v>46000</v>
      </c>
      <c r="B13" s="30">
        <v>7</v>
      </c>
      <c r="C13" s="45" t="s">
        <v>116</v>
      </c>
      <c r="D13" s="38" t="s">
        <v>117</v>
      </c>
      <c r="E13" s="13"/>
      <c r="F13" s="13" t="s">
        <v>118</v>
      </c>
      <c r="G13" s="13" t="s">
        <v>119</v>
      </c>
      <c r="H13" s="13" t="s">
        <v>88</v>
      </c>
      <c r="I13" s="13" t="s">
        <v>73</v>
      </c>
      <c r="J13" s="13" t="s">
        <v>46</v>
      </c>
      <c r="K13" s="13" t="s">
        <v>120</v>
      </c>
      <c r="L13" s="13">
        <v>6</v>
      </c>
      <c r="M13" s="46">
        <v>0.15</v>
      </c>
      <c r="N13" s="33">
        <v>0.82699999999999996</v>
      </c>
      <c r="O13" s="33">
        <v>0.83899999999999997</v>
      </c>
      <c r="P13" s="33"/>
      <c r="Q13" s="33"/>
      <c r="R13" s="33"/>
      <c r="S13" s="8"/>
      <c r="T13" s="33">
        <v>2.8000000000000001E-2</v>
      </c>
      <c r="U13" s="33">
        <v>2.3E-2</v>
      </c>
      <c r="V13" s="33"/>
      <c r="W13" s="33"/>
      <c r="X13" s="33"/>
      <c r="Y13" s="39"/>
      <c r="Z13" s="33">
        <v>0.124</v>
      </c>
      <c r="AA13" s="33">
        <v>0.13600000000000001</v>
      </c>
      <c r="AB13" s="33"/>
      <c r="AC13" s="33"/>
      <c r="AD13" s="33"/>
      <c r="AE13" s="8"/>
      <c r="AF13" s="33">
        <v>1.6E-2</v>
      </c>
      <c r="AG13" s="33">
        <v>2E-3</v>
      </c>
      <c r="AH13" s="33"/>
      <c r="AI13" s="33"/>
      <c r="AJ13" s="33"/>
      <c r="AK13" s="8"/>
      <c r="AL13" s="33">
        <v>5.0000000000000001E-3</v>
      </c>
      <c r="AM13" s="33">
        <v>0</v>
      </c>
      <c r="AN13" s="33"/>
      <c r="AO13" s="33"/>
      <c r="AP13" s="33"/>
      <c r="AQ13" s="8"/>
      <c r="AR13" s="28">
        <v>19.7</v>
      </c>
      <c r="AS13" s="28">
        <v>15</v>
      </c>
      <c r="AT13" s="28"/>
      <c r="AU13" s="28"/>
      <c r="AV13" s="28"/>
      <c r="AW13" s="28"/>
      <c r="AX13" s="33">
        <v>0.25800000000000001</v>
      </c>
      <c r="AY13" s="36">
        <v>0.874</v>
      </c>
      <c r="AZ13" s="8"/>
      <c r="BA13" s="8"/>
      <c r="BB13" s="8"/>
      <c r="BC13" s="8"/>
      <c r="BD13" s="33">
        <v>0.35099999999999998</v>
      </c>
      <c r="BE13" s="36">
        <v>0.30499999999999999</v>
      </c>
      <c r="BF13" s="8"/>
      <c r="BG13" s="8"/>
      <c r="BH13" s="8"/>
      <c r="BI13" s="8"/>
      <c r="BJ13" s="33">
        <v>6.5000000000000002E-2</v>
      </c>
      <c r="BK13" s="36">
        <v>6.7000000000000004E-2</v>
      </c>
      <c r="BL13" s="8"/>
      <c r="BM13" s="8"/>
      <c r="BN13" s="8"/>
      <c r="BO13" s="8"/>
      <c r="BP13" s="28">
        <v>8</v>
      </c>
      <c r="BQ13" s="24">
        <v>1</v>
      </c>
      <c r="BR13" s="8"/>
      <c r="BS13" s="8"/>
      <c r="BT13" s="8"/>
      <c r="BU13" s="8"/>
      <c r="BV13" s="28" t="s">
        <v>121</v>
      </c>
      <c r="BW13" s="28" t="s">
        <v>122</v>
      </c>
      <c r="BX13" s="28"/>
      <c r="BY13" s="28"/>
      <c r="BZ13" s="8"/>
      <c r="CA13" s="8"/>
      <c r="CB13" s="28" t="s">
        <v>123</v>
      </c>
      <c r="CC13" s="28" t="s">
        <v>123</v>
      </c>
      <c r="CD13" s="28"/>
      <c r="CE13" s="28"/>
      <c r="CF13" s="28"/>
      <c r="CG13" s="8"/>
      <c r="CH13" s="13"/>
      <c r="CI13" s="13"/>
      <c r="CJ13" s="13"/>
      <c r="CK13" s="13"/>
      <c r="CL13" s="13"/>
      <c r="CM13" s="13"/>
      <c r="CN13" s="13"/>
      <c r="CO13" s="13"/>
    </row>
    <row r="14" spans="1:94">
      <c r="A14" s="43">
        <v>46000</v>
      </c>
      <c r="B14" s="9">
        <v>8</v>
      </c>
      <c r="C14" s="31" t="s">
        <v>124</v>
      </c>
      <c r="D14" s="13" t="s">
        <v>125</v>
      </c>
      <c r="E14" s="13"/>
      <c r="F14" s="13" t="s">
        <v>126</v>
      </c>
      <c r="G14" s="13" t="s">
        <v>127</v>
      </c>
      <c r="H14" s="13" t="s">
        <v>128</v>
      </c>
      <c r="I14" s="13" t="s">
        <v>45</v>
      </c>
      <c r="J14" s="13" t="s">
        <v>46</v>
      </c>
      <c r="K14" s="13" t="s">
        <v>129</v>
      </c>
      <c r="L14" s="13">
        <v>3</v>
      </c>
      <c r="M14" s="32">
        <v>9.6699999999999994E-2</v>
      </c>
      <c r="N14" s="33">
        <v>0.29799999999999999</v>
      </c>
      <c r="O14" s="33">
        <v>0.16800000000000001</v>
      </c>
      <c r="P14" s="33">
        <v>0.83199999999999996</v>
      </c>
      <c r="Q14" s="33"/>
      <c r="R14" s="33"/>
      <c r="S14" s="8"/>
      <c r="T14" s="33">
        <v>0.442</v>
      </c>
      <c r="U14" s="33">
        <v>0.72399999999999998</v>
      </c>
      <c r="V14" s="33">
        <v>3.1E-2</v>
      </c>
      <c r="W14" s="33"/>
      <c r="X14" s="33"/>
      <c r="Y14" s="39"/>
      <c r="Z14" s="33">
        <v>0.25600000000000001</v>
      </c>
      <c r="AA14" s="33">
        <v>0.107</v>
      </c>
      <c r="AB14" s="33">
        <v>0.129</v>
      </c>
      <c r="AC14" s="33"/>
      <c r="AD14" s="33"/>
      <c r="AE14" s="8"/>
      <c r="AF14" s="33">
        <v>3.0000000000000001E-3</v>
      </c>
      <c r="AG14" s="33">
        <v>1E-3</v>
      </c>
      <c r="AH14" s="33">
        <v>8.0000000000000002E-3</v>
      </c>
      <c r="AI14" s="33"/>
      <c r="AJ14" s="33"/>
      <c r="AK14" s="8"/>
      <c r="AL14" s="33">
        <v>1E-3</v>
      </c>
      <c r="AM14" s="33">
        <v>0</v>
      </c>
      <c r="AN14" s="28" t="s">
        <v>130</v>
      </c>
      <c r="AO14" s="33"/>
      <c r="AP14" s="33"/>
      <c r="AQ14" s="8"/>
      <c r="AR14" s="28">
        <v>92.2</v>
      </c>
      <c r="AS14" s="28">
        <v>124.6</v>
      </c>
      <c r="AT14" s="28">
        <v>17.2</v>
      </c>
      <c r="AU14" s="28"/>
      <c r="AV14" s="28"/>
      <c r="AW14" s="28"/>
      <c r="AX14" s="33">
        <v>0.34899999999999998</v>
      </c>
      <c r="AY14" s="36">
        <v>0.35299999999999998</v>
      </c>
      <c r="AZ14" s="36">
        <v>0.85599999999999998</v>
      </c>
      <c r="BA14" s="8"/>
      <c r="BB14" s="8"/>
      <c r="BC14" s="8"/>
      <c r="BD14" s="33">
        <v>0.40899999999999997</v>
      </c>
      <c r="BE14" s="36">
        <v>0.34899999999999998</v>
      </c>
      <c r="BF14" s="36">
        <v>0.36399999999999999</v>
      </c>
      <c r="BG14" s="8"/>
      <c r="BH14" s="8"/>
      <c r="BI14" s="8"/>
      <c r="BJ14" s="33">
        <v>9.0999999999999998E-2</v>
      </c>
      <c r="BK14" s="36">
        <v>0.108</v>
      </c>
      <c r="BL14" s="24" t="s">
        <v>131</v>
      </c>
      <c r="BM14" s="8"/>
      <c r="BN14" s="8"/>
      <c r="BO14" s="8"/>
      <c r="BP14" s="28">
        <v>1</v>
      </c>
      <c r="BQ14" s="24">
        <v>1</v>
      </c>
      <c r="BR14" s="24">
        <v>2</v>
      </c>
      <c r="BS14" s="8"/>
      <c r="BT14" s="8"/>
      <c r="BU14" s="8"/>
      <c r="BV14" s="28" t="s">
        <v>132</v>
      </c>
      <c r="BW14" s="28" t="s">
        <v>133</v>
      </c>
      <c r="BX14" s="28" t="s">
        <v>48</v>
      </c>
      <c r="BY14" s="28"/>
      <c r="BZ14" s="8"/>
      <c r="CA14" s="8"/>
      <c r="CB14" s="28" t="s">
        <v>134</v>
      </c>
      <c r="CC14" s="28" t="s">
        <v>135</v>
      </c>
      <c r="CD14" s="13"/>
      <c r="CE14" s="13"/>
      <c r="CF14" s="13"/>
      <c r="CG14" s="13"/>
      <c r="CH14" s="28" t="s">
        <v>136</v>
      </c>
      <c r="CI14" s="13"/>
      <c r="CJ14" s="13"/>
      <c r="CK14" s="13"/>
      <c r="CL14" s="13"/>
      <c r="CM14" s="13"/>
      <c r="CN14" s="13"/>
      <c r="CO14" s="13"/>
    </row>
    <row r="15" spans="1:94" ht="17.25" customHeight="1">
      <c r="A15" s="47">
        <v>46001</v>
      </c>
      <c r="B15" s="9">
        <v>9</v>
      </c>
      <c r="C15" s="48" t="s">
        <v>137</v>
      </c>
      <c r="D15" s="38" t="s">
        <v>138</v>
      </c>
      <c r="E15" s="13" t="s">
        <v>139</v>
      </c>
      <c r="F15" s="13"/>
      <c r="G15" s="28" t="s">
        <v>140</v>
      </c>
      <c r="H15" s="13" t="s">
        <v>72</v>
      </c>
      <c r="I15" s="13" t="s">
        <v>45</v>
      </c>
      <c r="J15" s="13" t="s">
        <v>46</v>
      </c>
      <c r="K15" s="13" t="s">
        <v>141</v>
      </c>
      <c r="L15" s="13">
        <v>3</v>
      </c>
      <c r="M15" s="32">
        <v>7.3099999999999998E-2</v>
      </c>
      <c r="N15" s="33">
        <v>0.80600000000000005</v>
      </c>
      <c r="O15" s="33">
        <v>0.82899999999999996</v>
      </c>
      <c r="P15" s="33"/>
      <c r="Q15" s="33"/>
      <c r="R15" s="33"/>
      <c r="S15" s="8"/>
      <c r="T15" s="33">
        <v>3.2000000000000001E-2</v>
      </c>
      <c r="U15" s="33">
        <v>2E-3</v>
      </c>
      <c r="V15" s="33"/>
      <c r="W15" s="33"/>
      <c r="X15" s="33"/>
      <c r="Y15" s="8"/>
      <c r="Z15" s="33">
        <v>0.113</v>
      </c>
      <c r="AA15" s="33">
        <v>7.6999999999999999E-2</v>
      </c>
      <c r="AB15" s="33"/>
      <c r="AC15" s="33"/>
      <c r="AD15" s="33"/>
      <c r="AE15" s="8"/>
      <c r="AF15" s="33">
        <v>4.3999999999999997E-2</v>
      </c>
      <c r="AG15" s="33">
        <v>8.5999999999999993E-2</v>
      </c>
      <c r="AH15" s="33"/>
      <c r="AI15" s="33"/>
      <c r="AJ15" s="33"/>
      <c r="AK15" s="8"/>
      <c r="AL15" s="33">
        <v>5.0000000000000001E-3</v>
      </c>
      <c r="AM15" s="33">
        <v>6.0000000000000001E-3</v>
      </c>
      <c r="AN15" s="33"/>
      <c r="AO15" s="33"/>
      <c r="AP15" s="33"/>
      <c r="AR15" s="28">
        <v>26.2</v>
      </c>
      <c r="AS15" s="28">
        <v>28.9</v>
      </c>
      <c r="AT15" s="28"/>
      <c r="AU15" s="28"/>
      <c r="AV15" s="28"/>
      <c r="AW15" s="28"/>
      <c r="AX15" s="33">
        <v>0.92500000000000004</v>
      </c>
      <c r="AY15" s="40">
        <v>0.93</v>
      </c>
      <c r="AZ15" s="8"/>
      <c r="BA15" s="8"/>
      <c r="BB15" s="8"/>
      <c r="BC15" s="8"/>
      <c r="BD15" s="33">
        <v>0.40500000000000003</v>
      </c>
      <c r="BE15" s="36">
        <v>0.34699999999999998</v>
      </c>
      <c r="BF15" s="8"/>
      <c r="BG15" s="8"/>
      <c r="BH15" s="8"/>
      <c r="BI15" s="8"/>
      <c r="BJ15" s="33">
        <v>6.4000000000000001E-2</v>
      </c>
      <c r="BK15" s="36">
        <v>6.0999999999999999E-2</v>
      </c>
      <c r="BL15" s="8"/>
      <c r="BM15" s="8"/>
      <c r="BN15" s="8"/>
      <c r="BO15" s="8"/>
      <c r="BP15" s="28">
        <v>18</v>
      </c>
      <c r="BQ15" s="24">
        <v>42</v>
      </c>
      <c r="BR15" s="8"/>
      <c r="BS15" s="8"/>
      <c r="BT15" s="8"/>
      <c r="BU15" s="8"/>
      <c r="BV15" s="28" t="s">
        <v>142</v>
      </c>
      <c r="BW15" s="28" t="s">
        <v>143</v>
      </c>
      <c r="BX15" s="28"/>
      <c r="BY15" s="28"/>
      <c r="BZ15" s="8"/>
      <c r="CA15" s="8"/>
      <c r="CB15" s="28" t="s">
        <v>144</v>
      </c>
      <c r="CC15" s="28" t="s">
        <v>145</v>
      </c>
      <c r="CD15" s="28"/>
      <c r="CE15" s="28"/>
      <c r="CF15" s="28"/>
      <c r="CG15" s="8"/>
      <c r="CH15" s="13"/>
      <c r="CI15" s="13"/>
      <c r="CJ15" s="13"/>
      <c r="CK15" s="13"/>
      <c r="CL15" s="13"/>
      <c r="CM15" s="13"/>
      <c r="CN15" s="13"/>
      <c r="CO15" s="13"/>
    </row>
    <row r="16" spans="1:94">
      <c r="A16" s="49">
        <v>45972</v>
      </c>
      <c r="B16" s="9">
        <v>10</v>
      </c>
      <c r="C16" s="42" t="s">
        <v>146</v>
      </c>
      <c r="D16" s="13" t="s">
        <v>147</v>
      </c>
      <c r="E16" s="13" t="s">
        <v>148</v>
      </c>
      <c r="F16" s="13"/>
      <c r="G16" s="13" t="s">
        <v>149</v>
      </c>
      <c r="H16" s="13" t="s">
        <v>150</v>
      </c>
      <c r="I16" s="13" t="s">
        <v>45</v>
      </c>
      <c r="J16" s="13" t="s">
        <v>46</v>
      </c>
      <c r="K16" s="13" t="s">
        <v>151</v>
      </c>
      <c r="L16" s="13">
        <v>6</v>
      </c>
      <c r="M16" s="32">
        <v>0.10299999999999999</v>
      </c>
      <c r="N16" s="33">
        <v>0.94799999999999995</v>
      </c>
      <c r="O16" s="35">
        <v>0.93</v>
      </c>
      <c r="P16" s="13"/>
      <c r="Q16" s="13"/>
      <c r="R16" s="13"/>
      <c r="S16" s="13"/>
      <c r="T16" s="33">
        <v>2E-3</v>
      </c>
      <c r="U16" s="35">
        <v>0.01</v>
      </c>
      <c r="V16" s="13"/>
      <c r="W16" s="13"/>
      <c r="X16" s="13"/>
      <c r="Y16" s="13"/>
      <c r="Z16" s="33">
        <v>2.5000000000000001E-2</v>
      </c>
      <c r="AA16" s="33">
        <v>5.0999999999999997E-2</v>
      </c>
      <c r="AB16" s="13"/>
      <c r="AC16" s="13"/>
      <c r="AD16" s="13"/>
      <c r="AE16" s="13"/>
      <c r="AF16" s="33">
        <v>2.5000000000000001E-2</v>
      </c>
      <c r="AG16" s="28">
        <v>0</v>
      </c>
      <c r="AH16" s="13"/>
      <c r="AI16" s="13"/>
      <c r="AJ16" s="13"/>
      <c r="AK16" s="13"/>
      <c r="AL16" s="35">
        <v>0</v>
      </c>
      <c r="AM16" s="33">
        <v>1E-3</v>
      </c>
      <c r="AN16" s="13"/>
      <c r="AO16" s="13"/>
      <c r="AP16" s="13"/>
      <c r="AQ16" s="13"/>
      <c r="AR16" s="28">
        <v>8.3000000000000007</v>
      </c>
      <c r="AS16" s="28">
        <v>7.9</v>
      </c>
      <c r="AT16" s="13"/>
      <c r="AU16" s="13"/>
      <c r="AV16" s="13"/>
      <c r="AW16" s="13"/>
      <c r="AX16" s="33">
        <v>0.25900000000000001</v>
      </c>
      <c r="AY16" s="33">
        <v>0.26300000000000001</v>
      </c>
      <c r="AZ16" s="13"/>
      <c r="BA16" s="13"/>
      <c r="BB16" s="13"/>
      <c r="BC16" s="13"/>
      <c r="BD16" s="33">
        <v>0.24299999999999999</v>
      </c>
      <c r="BE16" s="33">
        <v>0.28699999999999998</v>
      </c>
      <c r="BF16" s="13"/>
      <c r="BG16" s="13"/>
      <c r="BH16" s="13"/>
      <c r="BI16" s="13"/>
      <c r="BJ16" s="33">
        <v>0.06</v>
      </c>
      <c r="BK16" s="33">
        <v>6.2E-2</v>
      </c>
      <c r="BL16" s="13"/>
      <c r="BM16" s="13"/>
      <c r="BN16" s="13"/>
      <c r="BO16" s="13"/>
      <c r="BP16" s="28">
        <v>14</v>
      </c>
      <c r="BQ16" s="28">
        <v>5</v>
      </c>
      <c r="BR16" s="13"/>
      <c r="BS16" s="13"/>
      <c r="BT16" s="13"/>
      <c r="BU16" s="13"/>
      <c r="BV16" s="28" t="s">
        <v>152</v>
      </c>
      <c r="BW16" s="28" t="s">
        <v>153</v>
      </c>
      <c r="BX16" s="13"/>
      <c r="BY16" s="13"/>
      <c r="BZ16" s="13"/>
      <c r="CA16" s="13"/>
      <c r="CB16" s="28" t="s">
        <v>154</v>
      </c>
      <c r="CC16" s="28" t="s">
        <v>155</v>
      </c>
      <c r="CD16" s="28"/>
      <c r="CE16" s="28"/>
      <c r="CF16" s="28"/>
      <c r="CG16" s="8"/>
      <c r="CH16" s="13"/>
      <c r="CI16" s="13"/>
      <c r="CJ16" s="13"/>
      <c r="CK16" s="13"/>
      <c r="CL16" s="13"/>
      <c r="CM16" s="13"/>
      <c r="CN16" s="13"/>
      <c r="CO16" s="13"/>
    </row>
    <row r="17" spans="1:93">
      <c r="A17" s="49">
        <v>45972</v>
      </c>
      <c r="B17" s="9">
        <v>11</v>
      </c>
      <c r="C17" s="42" t="s">
        <v>156</v>
      </c>
      <c r="D17" s="13" t="s">
        <v>157</v>
      </c>
      <c r="E17" s="13" t="s">
        <v>158</v>
      </c>
      <c r="F17" s="13"/>
      <c r="G17" s="13" t="s">
        <v>159</v>
      </c>
      <c r="H17" s="13" t="s">
        <v>128</v>
      </c>
      <c r="I17" s="13" t="s">
        <v>45</v>
      </c>
      <c r="J17" s="13" t="s">
        <v>46</v>
      </c>
      <c r="K17" s="13" t="s">
        <v>160</v>
      </c>
      <c r="L17" s="13">
        <v>2</v>
      </c>
      <c r="M17" s="32">
        <v>5.5E-2</v>
      </c>
      <c r="N17" s="33">
        <v>0.94099999999999995</v>
      </c>
      <c r="O17" s="33">
        <v>0.97199999999999998</v>
      </c>
      <c r="P17" s="13"/>
      <c r="Q17" s="13"/>
      <c r="R17" s="13"/>
      <c r="S17" s="13"/>
      <c r="T17" s="35">
        <v>0</v>
      </c>
      <c r="U17" s="35">
        <v>0</v>
      </c>
      <c r="V17" s="13"/>
      <c r="W17" s="13"/>
      <c r="X17" s="13"/>
      <c r="Y17" s="13"/>
      <c r="Z17" s="33">
        <v>1.2E-2</v>
      </c>
      <c r="AA17" s="33">
        <v>1.7999999999999999E-2</v>
      </c>
      <c r="AB17" s="13"/>
      <c r="AC17" s="13"/>
      <c r="AD17" s="13"/>
      <c r="AE17" s="13"/>
      <c r="AF17" s="33">
        <v>3.9E-2</v>
      </c>
      <c r="AG17" s="33">
        <v>8.0000000000000002E-3</v>
      </c>
      <c r="AH17" s="13"/>
      <c r="AI17" s="13"/>
      <c r="AJ17" s="13"/>
      <c r="AK17" s="13"/>
      <c r="AL17" s="35">
        <v>0</v>
      </c>
      <c r="AM17" s="33">
        <v>2E-3</v>
      </c>
      <c r="AN17" s="13"/>
      <c r="AO17" s="13"/>
      <c r="AP17" s="13"/>
      <c r="AQ17" s="13"/>
      <c r="AR17" s="28">
        <v>12.7</v>
      </c>
      <c r="AS17" s="28">
        <v>4</v>
      </c>
      <c r="AT17" s="13"/>
      <c r="AU17" s="13"/>
      <c r="AV17" s="13"/>
      <c r="AW17" s="13"/>
      <c r="AX17" s="33">
        <v>0.86499999999999999</v>
      </c>
      <c r="AY17" s="33">
        <v>0.91800000000000004</v>
      </c>
      <c r="AZ17" s="13"/>
      <c r="BA17" s="13"/>
      <c r="BB17" s="13"/>
      <c r="BC17" s="13"/>
      <c r="BD17" s="33">
        <v>0.23100000000000001</v>
      </c>
      <c r="BE17" s="33">
        <v>0.21199999999999999</v>
      </c>
      <c r="BF17" s="13"/>
      <c r="BG17" s="13"/>
      <c r="BH17" s="13"/>
      <c r="BI17" s="13"/>
      <c r="BJ17" s="33">
        <v>5.8999999999999997E-2</v>
      </c>
      <c r="BK17" s="33">
        <v>0.06</v>
      </c>
      <c r="BL17" s="13"/>
      <c r="BM17" s="13"/>
      <c r="BN17" s="13"/>
      <c r="BO17" s="13"/>
      <c r="BP17" s="28">
        <v>14</v>
      </c>
      <c r="BQ17" s="28">
        <v>6</v>
      </c>
      <c r="BR17" s="13"/>
      <c r="BS17" s="13"/>
      <c r="BT17" s="13"/>
      <c r="BU17" s="13"/>
      <c r="BV17" s="28" t="s">
        <v>161</v>
      </c>
      <c r="BW17" s="28" t="s">
        <v>162</v>
      </c>
      <c r="BX17" s="13"/>
      <c r="BY17" s="13"/>
      <c r="BZ17" s="13"/>
      <c r="CA17" s="13"/>
      <c r="CB17" s="28" t="s">
        <v>163</v>
      </c>
      <c r="CC17" s="28" t="s">
        <v>164</v>
      </c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</row>
    <row r="18" spans="1:93">
      <c r="A18" s="49">
        <v>45972</v>
      </c>
      <c r="B18" s="9">
        <v>12</v>
      </c>
      <c r="C18" s="31" t="s">
        <v>165</v>
      </c>
      <c r="D18" s="13" t="s">
        <v>166</v>
      </c>
      <c r="E18" s="13"/>
      <c r="F18" s="13" t="s">
        <v>167</v>
      </c>
      <c r="G18" s="13" t="s">
        <v>168</v>
      </c>
      <c r="H18" s="13" t="s">
        <v>128</v>
      </c>
      <c r="I18" s="13" t="s">
        <v>45</v>
      </c>
      <c r="J18" s="13" t="s">
        <v>46</v>
      </c>
      <c r="K18" s="13" t="s">
        <v>169</v>
      </c>
      <c r="L18" s="13">
        <v>4</v>
      </c>
      <c r="M18" s="32">
        <v>0.113</v>
      </c>
      <c r="N18" s="33">
        <v>0.80600000000000005</v>
      </c>
      <c r="O18" s="33">
        <v>0.77300000000000002</v>
      </c>
      <c r="P18" s="13"/>
      <c r="Q18" s="13"/>
      <c r="R18" s="13"/>
      <c r="S18" s="13"/>
      <c r="T18" s="35">
        <v>0.01</v>
      </c>
      <c r="U18" s="33">
        <v>2.7E-2</v>
      </c>
      <c r="V18" s="13"/>
      <c r="W18" s="13"/>
      <c r="X18" s="13"/>
      <c r="Y18" s="13"/>
      <c r="Z18" s="33">
        <v>8.2000000000000003E-2</v>
      </c>
      <c r="AA18" s="35">
        <v>0.13</v>
      </c>
      <c r="AB18" s="13"/>
      <c r="AC18" s="13"/>
      <c r="AD18" s="13"/>
      <c r="AE18" s="13"/>
      <c r="AF18" s="33">
        <v>6.4000000000000001E-2</v>
      </c>
      <c r="AG18" s="33">
        <v>6.9000000000000006E-2</v>
      </c>
      <c r="AH18" s="13"/>
      <c r="AI18" s="13"/>
      <c r="AJ18" s="13"/>
      <c r="AK18" s="13"/>
      <c r="AL18" s="33">
        <v>3.7999999999999999E-2</v>
      </c>
      <c r="AM18" s="33">
        <v>1E-3</v>
      </c>
      <c r="AN18" s="13"/>
      <c r="AO18" s="13"/>
      <c r="AP18" s="13"/>
      <c r="AQ18" s="13"/>
      <c r="AR18" s="28">
        <v>34.9</v>
      </c>
      <c r="AS18" s="28">
        <v>31.6</v>
      </c>
      <c r="AT18" s="13"/>
      <c r="AU18" s="13"/>
      <c r="AV18" s="13"/>
      <c r="AW18" s="13"/>
      <c r="AX18" s="33">
        <v>0.94699999999999995</v>
      </c>
      <c r="AY18" s="33">
        <v>0.89700000000000002</v>
      </c>
      <c r="AZ18" s="13"/>
      <c r="BA18" s="13"/>
      <c r="BB18" s="13"/>
      <c r="BC18" s="13"/>
      <c r="BD18" s="33">
        <v>0.38600000000000001</v>
      </c>
      <c r="BE18" s="33">
        <v>0.377</v>
      </c>
      <c r="BF18" s="13"/>
      <c r="BG18" s="13"/>
      <c r="BH18" s="13"/>
      <c r="BI18" s="13"/>
      <c r="BJ18" s="33">
        <v>0.06</v>
      </c>
      <c r="BK18" s="33">
        <v>6.4000000000000001E-2</v>
      </c>
      <c r="BL18" s="13"/>
      <c r="BM18" s="13"/>
      <c r="BN18" s="13"/>
      <c r="BO18" s="13"/>
      <c r="BP18" s="28">
        <v>28</v>
      </c>
      <c r="BQ18" s="28">
        <v>25</v>
      </c>
      <c r="BR18" s="13"/>
      <c r="BS18" s="13"/>
      <c r="BT18" s="13"/>
      <c r="BU18" s="13"/>
      <c r="BV18" s="28" t="s">
        <v>170</v>
      </c>
      <c r="BW18" s="28" t="s">
        <v>171</v>
      </c>
      <c r="BX18" s="13"/>
      <c r="BY18" s="13"/>
      <c r="BZ18" s="13"/>
      <c r="CA18" s="13"/>
      <c r="CB18" s="28" t="s">
        <v>172</v>
      </c>
      <c r="CC18" s="28" t="s">
        <v>173</v>
      </c>
      <c r="CD18" s="28"/>
      <c r="CE18" s="28"/>
      <c r="CF18" s="28"/>
      <c r="CG18" s="8"/>
      <c r="CH18" s="13"/>
      <c r="CI18" s="13"/>
      <c r="CJ18" s="13"/>
      <c r="CK18" s="13"/>
      <c r="CL18" s="13"/>
      <c r="CM18" s="13"/>
      <c r="CN18" s="13"/>
      <c r="CO18" s="13"/>
    </row>
    <row r="19" spans="1:93" ht="14.25" customHeight="1">
      <c r="A19" s="49">
        <v>46003</v>
      </c>
      <c r="B19" s="9">
        <v>13</v>
      </c>
      <c r="C19" s="50" t="s">
        <v>174</v>
      </c>
      <c r="D19" s="38" t="s">
        <v>175</v>
      </c>
      <c r="E19" s="13" t="s">
        <v>176</v>
      </c>
      <c r="F19" s="13"/>
      <c r="G19" s="13" t="s">
        <v>177</v>
      </c>
      <c r="H19" s="13" t="s">
        <v>88</v>
      </c>
      <c r="I19" s="13" t="s">
        <v>45</v>
      </c>
      <c r="J19" s="13" t="s">
        <v>178</v>
      </c>
      <c r="K19" s="13" t="s">
        <v>179</v>
      </c>
      <c r="L19" s="13">
        <v>2</v>
      </c>
      <c r="M19" s="32">
        <v>9.1499999999999998E-2</v>
      </c>
      <c r="N19" s="33">
        <v>0.246</v>
      </c>
      <c r="O19" s="33">
        <v>0.51400000000000001</v>
      </c>
      <c r="P19" s="13"/>
      <c r="Q19" s="13"/>
      <c r="R19" s="13"/>
      <c r="S19" s="13"/>
      <c r="T19" s="33">
        <v>0.38900000000000001</v>
      </c>
      <c r="U19" s="33">
        <v>0.10199999999999999</v>
      </c>
      <c r="V19" s="13"/>
      <c r="W19" s="13"/>
      <c r="X19" s="13"/>
      <c r="Y19" s="13"/>
      <c r="Z19" s="33">
        <v>0.36499999999999999</v>
      </c>
      <c r="AA19" s="33">
        <v>0.376</v>
      </c>
      <c r="AB19" s="13"/>
      <c r="AC19" s="13"/>
      <c r="AD19" s="13"/>
      <c r="AE19" s="13"/>
      <c r="AF19" s="35">
        <v>0</v>
      </c>
      <c r="AG19" s="35">
        <v>0</v>
      </c>
      <c r="AH19" s="13"/>
      <c r="AI19" s="13"/>
      <c r="AJ19" s="13"/>
      <c r="AK19" s="13"/>
      <c r="AL19" s="35">
        <v>0</v>
      </c>
      <c r="AM19" s="33">
        <v>8.0000000000000002E-3</v>
      </c>
      <c r="AN19" s="13"/>
      <c r="AO19" s="13"/>
      <c r="AP19" s="13"/>
      <c r="AQ19" s="13"/>
      <c r="AR19" s="28">
        <v>91.4</v>
      </c>
      <c r="AS19" s="28">
        <v>48.8</v>
      </c>
      <c r="AT19" s="13"/>
      <c r="AU19" s="13"/>
      <c r="AV19" s="13"/>
      <c r="AW19" s="13"/>
      <c r="AX19" s="35">
        <v>0.55000000000000004</v>
      </c>
      <c r="AY19" s="33">
        <v>0.755</v>
      </c>
      <c r="AZ19" s="13"/>
      <c r="BA19" s="13"/>
      <c r="BB19" s="13"/>
      <c r="BC19" s="13"/>
      <c r="BD19" s="33">
        <v>0.26100000000000001</v>
      </c>
      <c r="BE19" s="35">
        <v>0.28000000000000003</v>
      </c>
      <c r="BF19" s="13"/>
      <c r="BG19" s="13"/>
      <c r="BH19" s="13"/>
      <c r="BI19" s="13"/>
      <c r="BJ19" s="33">
        <v>8.7999999999999995E-2</v>
      </c>
      <c r="BK19" s="33">
        <v>7.6999999999999999E-2</v>
      </c>
      <c r="BL19" s="13"/>
      <c r="BM19" s="13"/>
      <c r="BN19" s="13"/>
      <c r="BO19" s="13"/>
      <c r="BP19" s="28">
        <v>0</v>
      </c>
      <c r="BQ19" s="28">
        <v>2</v>
      </c>
      <c r="BR19" s="13"/>
      <c r="BS19" s="13"/>
      <c r="BT19" s="13"/>
      <c r="BU19" s="13"/>
      <c r="BV19" s="28">
        <v>0</v>
      </c>
      <c r="BW19" s="28" t="s">
        <v>180</v>
      </c>
      <c r="BX19" s="13"/>
      <c r="BY19" s="13"/>
      <c r="BZ19" s="13"/>
      <c r="CA19" s="13"/>
      <c r="CB19" s="28" t="s">
        <v>181</v>
      </c>
      <c r="CC19" s="28" t="s">
        <v>181</v>
      </c>
      <c r="CD19" s="28"/>
      <c r="CE19" s="28"/>
      <c r="CF19" s="28"/>
      <c r="CG19" s="8"/>
      <c r="CH19" s="28" t="s">
        <v>182</v>
      </c>
      <c r="CI19" s="13"/>
      <c r="CJ19" s="13"/>
      <c r="CK19" s="13"/>
      <c r="CL19" s="13"/>
      <c r="CM19" s="13"/>
      <c r="CN19" s="13"/>
      <c r="CO19" s="13"/>
    </row>
    <row r="20" spans="1:93">
      <c r="A20" s="47">
        <v>46006</v>
      </c>
      <c r="B20" s="9">
        <v>14</v>
      </c>
      <c r="C20" s="31" t="s">
        <v>183</v>
      </c>
      <c r="D20" s="28" t="s">
        <v>184</v>
      </c>
      <c r="E20" s="13"/>
      <c r="F20" s="28" t="s">
        <v>185</v>
      </c>
      <c r="G20" s="28" t="s">
        <v>186</v>
      </c>
      <c r="H20" s="28" t="s">
        <v>72</v>
      </c>
      <c r="I20" s="13" t="s">
        <v>73</v>
      </c>
      <c r="J20" s="28" t="s">
        <v>46</v>
      </c>
      <c r="K20" s="28" t="s">
        <v>187</v>
      </c>
      <c r="L20" s="51">
        <v>45718</v>
      </c>
      <c r="M20" s="33">
        <v>9.4E-2</v>
      </c>
      <c r="N20" s="33">
        <v>0.77300000000000002</v>
      </c>
      <c r="O20" s="33">
        <v>0.88600000000000001</v>
      </c>
      <c r="P20" s="13"/>
      <c r="Q20" s="13"/>
      <c r="R20" s="13"/>
      <c r="S20" s="13"/>
      <c r="T20" s="33">
        <v>4.2000000000000003E-2</v>
      </c>
      <c r="U20" s="28">
        <v>1.6</v>
      </c>
      <c r="V20" s="13"/>
      <c r="W20" s="13"/>
      <c r="X20" s="13"/>
      <c r="Y20" s="13"/>
      <c r="Z20" s="33">
        <v>0.16400000000000001</v>
      </c>
      <c r="AA20" s="33">
        <v>9.4E-2</v>
      </c>
      <c r="AB20" s="13"/>
      <c r="AC20" s="13"/>
      <c r="AD20" s="13"/>
      <c r="AE20" s="13"/>
      <c r="AF20" s="35">
        <v>0.02</v>
      </c>
      <c r="AG20" s="33">
        <v>4.0000000000000001E-3</v>
      </c>
      <c r="AH20" s="13"/>
      <c r="AI20" s="13"/>
      <c r="AJ20" s="13"/>
      <c r="AK20" s="13"/>
      <c r="AL20" s="33">
        <v>1E-3</v>
      </c>
      <c r="AM20" s="28">
        <v>0</v>
      </c>
      <c r="AN20" s="13"/>
      <c r="AO20" s="13"/>
      <c r="AP20" s="13"/>
      <c r="AQ20" s="13"/>
      <c r="AR20" s="28">
        <v>24.9</v>
      </c>
      <c r="AS20" s="28">
        <v>11</v>
      </c>
      <c r="AT20" s="13"/>
      <c r="AU20" s="13"/>
      <c r="AV20" s="13"/>
      <c r="AW20" s="13"/>
      <c r="AX20" s="33">
        <v>0.96399999999999997</v>
      </c>
      <c r="AY20" s="33">
        <v>0.98199999999999998</v>
      </c>
      <c r="AZ20" s="13"/>
      <c r="BA20" s="13"/>
      <c r="BB20" s="13"/>
      <c r="BC20" s="13"/>
      <c r="BD20" s="33">
        <v>0.33800000000000002</v>
      </c>
      <c r="BE20" s="33">
        <v>0.27600000000000002</v>
      </c>
      <c r="BF20" s="13"/>
      <c r="BG20" s="13"/>
      <c r="BH20" s="13"/>
      <c r="BI20" s="13"/>
      <c r="BJ20" s="33">
        <v>6.8000000000000005E-2</v>
      </c>
      <c r="BK20" s="33">
        <v>6.5000000000000002E-2</v>
      </c>
      <c r="BL20" s="13"/>
      <c r="BM20" s="13"/>
      <c r="BN20" s="13"/>
      <c r="BO20" s="13"/>
      <c r="BP20" s="28">
        <v>8</v>
      </c>
      <c r="BQ20" s="28">
        <v>2</v>
      </c>
      <c r="BR20" s="13"/>
      <c r="BS20" s="13"/>
      <c r="BT20" s="13"/>
      <c r="BU20" s="13"/>
      <c r="BV20" s="28" t="s">
        <v>188</v>
      </c>
      <c r="BW20" s="28" t="s">
        <v>189</v>
      </c>
      <c r="BX20" s="13"/>
      <c r="BY20" s="13"/>
      <c r="BZ20" s="13"/>
      <c r="CA20" s="13"/>
      <c r="CB20" s="28" t="s">
        <v>190</v>
      </c>
      <c r="CC20" s="28" t="s">
        <v>191</v>
      </c>
      <c r="CD20" s="28"/>
      <c r="CE20" s="28"/>
      <c r="CF20" s="28"/>
      <c r="CG20" s="8"/>
      <c r="CH20" s="13"/>
      <c r="CI20" s="13"/>
      <c r="CJ20" s="13"/>
      <c r="CK20" s="13"/>
      <c r="CL20" s="13"/>
      <c r="CM20" s="13"/>
      <c r="CN20" s="13"/>
      <c r="CO20" s="13"/>
    </row>
    <row r="21" spans="1:93">
      <c r="A21" s="52">
        <v>46006</v>
      </c>
      <c r="B21" s="9">
        <v>15</v>
      </c>
      <c r="C21" s="31" t="s">
        <v>192</v>
      </c>
      <c r="D21" s="28" t="s">
        <v>193</v>
      </c>
      <c r="E21" s="28" t="s">
        <v>194</v>
      </c>
      <c r="F21" s="13"/>
      <c r="G21" s="28" t="s">
        <v>195</v>
      </c>
      <c r="H21" s="28" t="s">
        <v>196</v>
      </c>
      <c r="I21" s="13" t="s">
        <v>45</v>
      </c>
      <c r="J21" s="28" t="s">
        <v>46</v>
      </c>
      <c r="K21" s="28" t="s">
        <v>197</v>
      </c>
      <c r="L21" s="28">
        <v>2</v>
      </c>
      <c r="M21" s="33">
        <v>8.6999999999999994E-2</v>
      </c>
      <c r="N21" s="33">
        <v>0.70599999999999996</v>
      </c>
      <c r="O21" s="35">
        <v>0.68</v>
      </c>
      <c r="P21" s="13"/>
      <c r="Q21" s="13"/>
      <c r="R21" s="13"/>
      <c r="S21" s="13"/>
      <c r="T21" s="33">
        <v>8.3000000000000004E-2</v>
      </c>
      <c r="U21" s="33">
        <v>8.1000000000000003E-2</v>
      </c>
      <c r="V21" s="13"/>
      <c r="W21" s="13"/>
      <c r="X21" s="13"/>
      <c r="Y21" s="13"/>
      <c r="Z21" s="33">
        <v>0.152</v>
      </c>
      <c r="AA21" s="33">
        <v>0.20599999999999999</v>
      </c>
      <c r="AB21" s="13"/>
      <c r="AC21" s="13"/>
      <c r="AD21" s="13"/>
      <c r="AE21" s="13"/>
      <c r="AF21" s="33">
        <v>5.8999999999999997E-2</v>
      </c>
      <c r="AG21" s="33">
        <v>3.1E-2</v>
      </c>
      <c r="AH21" s="13"/>
      <c r="AI21" s="13"/>
      <c r="AJ21" s="13"/>
      <c r="AK21" s="13"/>
      <c r="AL21" s="35">
        <v>0</v>
      </c>
      <c r="AM21" s="28">
        <v>0.2</v>
      </c>
      <c r="AN21" s="13"/>
      <c r="AO21" s="13"/>
      <c r="AP21" s="13"/>
      <c r="AQ21" s="13"/>
      <c r="AR21" s="28">
        <v>39.6</v>
      </c>
      <c r="AS21" s="28">
        <v>37.5</v>
      </c>
      <c r="AT21" s="13"/>
      <c r="AU21" s="13"/>
      <c r="AV21" s="13"/>
      <c r="AW21" s="13"/>
      <c r="AX21" s="33">
        <v>0.753</v>
      </c>
      <c r="AY21" s="33">
        <v>0.80300000000000005</v>
      </c>
      <c r="AZ21" s="13"/>
      <c r="BA21" s="13"/>
      <c r="BB21" s="13"/>
      <c r="BC21" s="13"/>
      <c r="BD21" s="33">
        <v>0.441</v>
      </c>
      <c r="BE21" s="33">
        <v>0.376</v>
      </c>
      <c r="BF21" s="13"/>
      <c r="BG21" s="13"/>
      <c r="BH21" s="13"/>
      <c r="BI21" s="13"/>
      <c r="BJ21" s="33">
        <v>6.8000000000000005E-2</v>
      </c>
      <c r="BK21" s="33">
        <v>7.0999999999999994E-2</v>
      </c>
      <c r="BL21" s="13"/>
      <c r="BM21" s="13"/>
      <c r="BN21" s="13"/>
      <c r="BO21" s="13"/>
      <c r="BP21" s="28">
        <v>24</v>
      </c>
      <c r="BQ21" s="28">
        <v>16</v>
      </c>
      <c r="BR21" s="13"/>
      <c r="BS21" s="13"/>
      <c r="BT21" s="13"/>
      <c r="BU21" s="13"/>
      <c r="BV21" s="28" t="s">
        <v>188</v>
      </c>
      <c r="BW21" s="28" t="s">
        <v>48</v>
      </c>
      <c r="BX21" s="13"/>
      <c r="BY21" s="13"/>
      <c r="BZ21" s="13"/>
      <c r="CA21" s="13"/>
      <c r="CB21" s="28" t="s">
        <v>198</v>
      </c>
      <c r="CC21" s="28" t="s">
        <v>199</v>
      </c>
      <c r="CD21" s="28"/>
      <c r="CE21" s="28"/>
      <c r="CF21" s="28"/>
      <c r="CG21" s="8"/>
      <c r="CH21" s="28" t="s">
        <v>200</v>
      </c>
      <c r="CI21" s="13"/>
      <c r="CJ21" s="13"/>
      <c r="CK21" s="13"/>
      <c r="CL21" s="13"/>
      <c r="CM21" s="13"/>
      <c r="CN21" s="13"/>
      <c r="CO21" s="13"/>
    </row>
    <row r="22" spans="1:93">
      <c r="A22" s="47">
        <v>46006</v>
      </c>
      <c r="B22" s="53">
        <v>16</v>
      </c>
      <c r="C22" s="31" t="s">
        <v>201</v>
      </c>
      <c r="D22" s="24" t="s">
        <v>202</v>
      </c>
      <c r="E22" s="24" t="s">
        <v>203</v>
      </c>
      <c r="F22" s="8"/>
      <c r="G22" s="24" t="s">
        <v>204</v>
      </c>
      <c r="H22" s="24" t="s">
        <v>205</v>
      </c>
      <c r="I22" s="24" t="s">
        <v>45</v>
      </c>
      <c r="J22" s="24" t="s">
        <v>46</v>
      </c>
      <c r="K22" s="24" t="s">
        <v>206</v>
      </c>
      <c r="L22" s="24">
        <v>5</v>
      </c>
      <c r="M22" s="36">
        <v>0.107</v>
      </c>
      <c r="N22" s="33">
        <v>0.75700000000000001</v>
      </c>
      <c r="O22" s="33">
        <v>0.67100000000000004</v>
      </c>
      <c r="P22" s="13"/>
      <c r="Q22" s="13"/>
      <c r="R22" s="13"/>
      <c r="S22" s="13"/>
      <c r="T22" s="33">
        <v>2.5999999999999999E-2</v>
      </c>
      <c r="U22" s="33">
        <v>5.5E-2</v>
      </c>
      <c r="V22" s="13"/>
      <c r="W22" s="13"/>
      <c r="X22" s="13"/>
      <c r="Y22" s="13"/>
      <c r="Z22" s="33">
        <v>0.14899999999999999</v>
      </c>
      <c r="AA22" s="33">
        <v>0.20899999999999999</v>
      </c>
      <c r="AB22" s="13"/>
      <c r="AC22" s="13"/>
      <c r="AD22" s="13"/>
      <c r="AE22" s="13"/>
      <c r="AF22" s="33">
        <v>6.3E-2</v>
      </c>
      <c r="AG22" s="33">
        <v>5.3999999999999999E-2</v>
      </c>
      <c r="AH22" s="13"/>
      <c r="AI22" s="13"/>
      <c r="AJ22" s="13"/>
      <c r="AK22" s="13"/>
      <c r="AL22" s="33">
        <v>5.0000000000000001E-3</v>
      </c>
      <c r="AM22" s="33">
        <v>1.0999999999999999E-2</v>
      </c>
      <c r="AN22" s="13"/>
      <c r="AO22" s="13"/>
      <c r="AP22" s="13"/>
      <c r="AQ22" s="13"/>
      <c r="AR22" s="28">
        <v>32.700000000000003</v>
      </c>
      <c r="AS22" s="28">
        <v>41.8</v>
      </c>
      <c r="AT22" s="13"/>
      <c r="AU22" s="13"/>
      <c r="AV22" s="13"/>
      <c r="AW22" s="13"/>
      <c r="AX22" s="33">
        <v>0.72599999999999998</v>
      </c>
      <c r="AY22" s="33">
        <v>0.88400000000000001</v>
      </c>
      <c r="AZ22" s="13"/>
      <c r="BA22" s="13"/>
      <c r="BB22" s="13"/>
      <c r="BC22" s="13"/>
      <c r="BD22" s="33">
        <v>0.38900000000000001</v>
      </c>
      <c r="BE22" s="35">
        <v>0.4</v>
      </c>
      <c r="BF22" s="13"/>
      <c r="BG22" s="13"/>
      <c r="BH22" s="13"/>
      <c r="BI22" s="13"/>
      <c r="BJ22" s="33">
        <v>6.4000000000000001E-2</v>
      </c>
      <c r="BK22" s="33">
        <v>6.8000000000000005E-2</v>
      </c>
      <c r="BL22" s="13"/>
      <c r="BM22" s="13"/>
      <c r="BN22" s="13"/>
      <c r="BO22" s="13"/>
      <c r="BP22" s="28">
        <v>37</v>
      </c>
      <c r="BQ22" s="28">
        <v>25</v>
      </c>
      <c r="BR22" s="13"/>
      <c r="BS22" s="13"/>
      <c r="BT22" s="13"/>
      <c r="BU22" s="13"/>
      <c r="BV22" s="28" t="s">
        <v>207</v>
      </c>
      <c r="BW22" s="28" t="s">
        <v>208</v>
      </c>
      <c r="BX22" s="13"/>
      <c r="BY22" s="13"/>
      <c r="BZ22" s="13"/>
      <c r="CA22" s="13"/>
      <c r="CB22" s="28" t="s">
        <v>209</v>
      </c>
      <c r="CC22" s="28" t="s">
        <v>210</v>
      </c>
      <c r="CD22" s="28"/>
      <c r="CE22" s="28"/>
      <c r="CF22" s="28"/>
      <c r="CG22" s="8"/>
      <c r="CH22" s="13"/>
      <c r="CI22" s="13"/>
      <c r="CJ22" s="13"/>
      <c r="CK22" s="13"/>
      <c r="CL22" s="13"/>
      <c r="CM22" s="13"/>
      <c r="CN22" s="13"/>
      <c r="CO22" s="13"/>
    </row>
    <row r="23" spans="1:93">
      <c r="A23" s="52">
        <v>46007</v>
      </c>
      <c r="B23" s="28">
        <v>17</v>
      </c>
      <c r="C23" s="31" t="s">
        <v>211</v>
      </c>
      <c r="D23" s="54" t="s">
        <v>212</v>
      </c>
      <c r="E23" s="55"/>
      <c r="F23" s="54" t="s">
        <v>213</v>
      </c>
      <c r="G23" s="56" t="s">
        <v>214</v>
      </c>
      <c r="H23" s="54" t="s">
        <v>215</v>
      </c>
      <c r="I23" s="54" t="s">
        <v>73</v>
      </c>
      <c r="J23" s="54" t="s">
        <v>46</v>
      </c>
      <c r="K23" s="54" t="s">
        <v>216</v>
      </c>
      <c r="L23" s="54">
        <v>3</v>
      </c>
      <c r="M23" s="57">
        <v>7.3999999999999996E-2</v>
      </c>
      <c r="N23" s="57">
        <v>0.65500000000000003</v>
      </c>
      <c r="O23" s="54" t="s">
        <v>217</v>
      </c>
      <c r="P23" s="55"/>
      <c r="Q23" s="55"/>
      <c r="R23" s="55"/>
      <c r="S23" s="55"/>
      <c r="T23" s="57">
        <v>0.128</v>
      </c>
      <c r="U23" s="54" t="s">
        <v>217</v>
      </c>
      <c r="V23" s="55"/>
      <c r="W23" s="55"/>
      <c r="X23" s="55"/>
      <c r="Y23" s="55"/>
      <c r="Z23" s="57">
        <v>0.20499999999999999</v>
      </c>
      <c r="AA23" s="8"/>
      <c r="AB23" s="8"/>
      <c r="AC23" s="8"/>
      <c r="AD23" s="8"/>
      <c r="AE23" s="8"/>
      <c r="AF23" s="57">
        <v>1.2E-2</v>
      </c>
      <c r="AG23" s="55"/>
      <c r="AH23" s="55"/>
      <c r="AI23" s="55"/>
      <c r="AJ23" s="55"/>
      <c r="AK23" s="55"/>
      <c r="AL23" s="58">
        <v>0</v>
      </c>
      <c r="AM23" s="55"/>
      <c r="AN23" s="55"/>
      <c r="AO23" s="55"/>
      <c r="AP23" s="55"/>
      <c r="AQ23" s="55"/>
      <c r="AR23" s="54">
        <v>39.799999999999997</v>
      </c>
      <c r="AS23" s="55"/>
      <c r="AT23" s="55"/>
      <c r="AU23" s="55"/>
      <c r="AV23" s="55"/>
      <c r="AW23" s="55"/>
      <c r="AX23" s="57">
        <v>0.39100000000000001</v>
      </c>
      <c r="AY23" s="55"/>
      <c r="AZ23" s="55"/>
      <c r="BA23" s="55"/>
      <c r="BB23" s="8"/>
      <c r="BC23" s="8"/>
      <c r="BD23" s="57">
        <v>0.433</v>
      </c>
      <c r="BE23" s="55"/>
      <c r="BF23" s="55"/>
      <c r="BG23" s="55"/>
      <c r="BH23" s="55"/>
      <c r="BI23" s="55"/>
      <c r="BJ23" s="57">
        <v>7.1999999999999995E-2</v>
      </c>
      <c r="BK23" s="55"/>
      <c r="BL23" s="55"/>
      <c r="BM23" s="55"/>
      <c r="BN23" s="55"/>
      <c r="BO23" s="55"/>
      <c r="BP23" s="54">
        <v>3</v>
      </c>
      <c r="BQ23" s="55"/>
      <c r="BR23" s="55"/>
      <c r="BS23" s="55"/>
      <c r="BT23" s="55"/>
      <c r="BU23" s="55"/>
      <c r="BV23" s="54" t="s">
        <v>218</v>
      </c>
      <c r="BW23" s="8"/>
      <c r="BX23" s="8"/>
      <c r="BY23" s="8"/>
      <c r="BZ23" s="8"/>
      <c r="CA23" s="8"/>
      <c r="CB23" s="54" t="s">
        <v>219</v>
      </c>
      <c r="CC23" s="55"/>
      <c r="CD23" s="55"/>
      <c r="CE23" s="55"/>
      <c r="CF23" s="55"/>
      <c r="CG23" s="55"/>
      <c r="CH23" s="54" t="s">
        <v>220</v>
      </c>
      <c r="CI23" s="8"/>
      <c r="CJ23" s="8"/>
      <c r="CK23" s="8"/>
      <c r="CL23" s="8"/>
      <c r="CM23" s="8"/>
      <c r="CN23" s="8"/>
      <c r="CO23" s="8"/>
    </row>
    <row r="24" spans="1:93" ht="26.25" customHeight="1">
      <c r="A24" s="47">
        <v>46007</v>
      </c>
      <c r="B24" s="28">
        <v>18</v>
      </c>
      <c r="C24" s="59" t="s">
        <v>221</v>
      </c>
      <c r="D24" s="54" t="s">
        <v>222</v>
      </c>
      <c r="E24" s="54" t="s">
        <v>223</v>
      </c>
      <c r="F24" s="55"/>
      <c r="G24" s="54" t="s">
        <v>224</v>
      </c>
      <c r="H24" s="54" t="s">
        <v>128</v>
      </c>
      <c r="I24" s="54" t="s">
        <v>225</v>
      </c>
      <c r="J24" s="54" t="s">
        <v>46</v>
      </c>
      <c r="K24" s="54" t="s">
        <v>226</v>
      </c>
      <c r="L24" s="54">
        <v>2</v>
      </c>
      <c r="M24" s="57">
        <v>0.13900000000000001</v>
      </c>
      <c r="N24" s="57">
        <v>0.32400000000000001</v>
      </c>
      <c r="O24" s="57">
        <v>0.20899999999999999</v>
      </c>
      <c r="P24" s="55"/>
      <c r="Q24" s="55"/>
      <c r="R24" s="55"/>
      <c r="S24" s="55"/>
      <c r="T24" s="57">
        <v>0.40500000000000003</v>
      </c>
      <c r="U24" s="57">
        <v>0.56399999999999995</v>
      </c>
      <c r="V24" s="55"/>
      <c r="W24" s="55"/>
      <c r="X24" s="55"/>
      <c r="Y24" s="55"/>
      <c r="Z24" s="57">
        <v>0.13200000000000001</v>
      </c>
      <c r="AA24" s="57">
        <v>0.111</v>
      </c>
      <c r="AB24" s="55"/>
      <c r="AC24" s="55"/>
      <c r="AD24" s="55"/>
      <c r="AE24" s="55"/>
      <c r="AF24" s="57">
        <v>0.13200000000000001</v>
      </c>
      <c r="AG24" s="57">
        <v>6.3E-2</v>
      </c>
      <c r="AH24" s="55"/>
      <c r="AI24" s="55"/>
      <c r="AJ24" s="55"/>
      <c r="AK24" s="55"/>
      <c r="AL24" s="57">
        <v>7.0000000000000001E-3</v>
      </c>
      <c r="AM24" s="57">
        <v>5.2999999999999999E-2</v>
      </c>
      <c r="AN24" s="55"/>
      <c r="AO24" s="55"/>
      <c r="AP24" s="55"/>
      <c r="AQ24" s="55"/>
      <c r="AR24" s="54">
        <v>109.1</v>
      </c>
      <c r="AS24" s="54">
        <v>130.1</v>
      </c>
      <c r="AT24" s="55"/>
      <c r="AU24" s="55"/>
      <c r="AV24" s="55"/>
      <c r="AW24" s="55"/>
      <c r="AX24" s="57">
        <v>9.7000000000000003E-2</v>
      </c>
      <c r="AY24" s="57">
        <v>1.4999999999999999E-2</v>
      </c>
      <c r="AZ24" s="8"/>
      <c r="BA24" s="8"/>
      <c r="BB24" s="8"/>
      <c r="BC24" s="8"/>
      <c r="BD24" s="57">
        <v>0.61199999999999999</v>
      </c>
      <c r="BE24" s="57">
        <v>0.52700000000000002</v>
      </c>
      <c r="BF24" s="55"/>
      <c r="BG24" s="55"/>
      <c r="BH24" s="55"/>
      <c r="BI24" s="55"/>
      <c r="BJ24" s="57">
        <v>8.6999999999999994E-2</v>
      </c>
      <c r="BK24" s="54">
        <v>10</v>
      </c>
      <c r="BL24" s="55"/>
      <c r="BM24" s="55"/>
      <c r="BN24" s="55"/>
      <c r="BO24" s="55"/>
      <c r="BP24" s="54">
        <v>16</v>
      </c>
      <c r="BQ24" s="54">
        <v>6</v>
      </c>
      <c r="BR24" s="55"/>
      <c r="BS24" s="55"/>
      <c r="BT24" s="55"/>
      <c r="BU24" s="55"/>
      <c r="BV24" s="54" t="s">
        <v>227</v>
      </c>
      <c r="BW24" s="54" t="s">
        <v>228</v>
      </c>
      <c r="BX24" s="55"/>
      <c r="BY24" s="55"/>
      <c r="BZ24" s="55"/>
      <c r="CA24" s="55"/>
      <c r="CB24" s="54" t="s">
        <v>229</v>
      </c>
      <c r="CC24" s="54"/>
      <c r="CD24" s="24"/>
      <c r="CE24" s="24"/>
      <c r="CF24" s="24"/>
      <c r="CG24" s="24"/>
      <c r="CH24" s="54" t="s">
        <v>230</v>
      </c>
      <c r="CI24" s="8"/>
      <c r="CJ24" s="8"/>
      <c r="CK24" s="8"/>
      <c r="CL24" s="8"/>
      <c r="CM24" s="8"/>
      <c r="CN24" s="8"/>
      <c r="CO24" s="8"/>
    </row>
    <row r="25" spans="1:93" ht="15.75" customHeight="1">
      <c r="A25" s="47">
        <v>46008</v>
      </c>
      <c r="B25" s="28">
        <v>19</v>
      </c>
      <c r="C25" s="41" t="s">
        <v>231</v>
      </c>
      <c r="D25" s="24" t="s">
        <v>232</v>
      </c>
      <c r="E25" s="8"/>
      <c r="F25" s="24" t="s">
        <v>233</v>
      </c>
      <c r="G25" s="24" t="s">
        <v>234</v>
      </c>
      <c r="H25" s="24" t="s">
        <v>58</v>
      </c>
      <c r="I25" s="24" t="s">
        <v>225</v>
      </c>
      <c r="J25" s="24" t="s">
        <v>46</v>
      </c>
      <c r="K25" s="24" t="s">
        <v>235</v>
      </c>
      <c r="L25" s="24">
        <v>3</v>
      </c>
      <c r="M25" s="36">
        <v>0.13100000000000001</v>
      </c>
      <c r="N25" s="36">
        <v>0.67200000000000004</v>
      </c>
      <c r="O25" s="36">
        <v>0.71599999999999997</v>
      </c>
      <c r="P25" s="8"/>
      <c r="Q25" s="8"/>
      <c r="R25" s="8"/>
      <c r="S25" s="8"/>
      <c r="T25" s="36">
        <v>5.3999999999999999E-2</v>
      </c>
      <c r="U25" s="36">
        <v>3.5000000000000003E-2</v>
      </c>
      <c r="V25" s="8"/>
      <c r="W25" s="8"/>
      <c r="X25" s="8"/>
      <c r="Y25" s="8"/>
      <c r="Z25" s="36">
        <v>0.26100000000000001</v>
      </c>
      <c r="AA25" s="36">
        <v>0.19700000000000001</v>
      </c>
      <c r="AB25" s="8"/>
      <c r="AC25" s="8"/>
      <c r="AD25" s="8"/>
      <c r="AE25" s="8"/>
      <c r="AF25" s="36">
        <v>1.2999999999999999E-2</v>
      </c>
      <c r="AG25" s="36">
        <v>2.9000000000000001E-2</v>
      </c>
      <c r="AH25" s="8"/>
      <c r="AI25" s="8"/>
      <c r="AJ25" s="8"/>
      <c r="AK25" s="8"/>
      <c r="AL25" s="40">
        <v>0</v>
      </c>
      <c r="AM25" s="36">
        <v>2.3E-2</v>
      </c>
      <c r="AN25" s="8"/>
      <c r="AO25" s="8"/>
      <c r="AP25" s="8"/>
      <c r="AQ25" s="8"/>
      <c r="AR25" s="24">
        <v>32.6</v>
      </c>
      <c r="AS25" s="24">
        <v>35.200000000000003</v>
      </c>
      <c r="AT25" s="8"/>
      <c r="AU25" s="8"/>
      <c r="AV25" s="8"/>
      <c r="AW25" s="8"/>
      <c r="AX25" s="40">
        <v>0.94</v>
      </c>
      <c r="AY25" s="36">
        <v>0.95399999999999996</v>
      </c>
      <c r="AZ25" s="8"/>
      <c r="BA25" s="8"/>
      <c r="BB25" s="8"/>
      <c r="BC25" s="8"/>
      <c r="BD25" s="40">
        <v>0.34</v>
      </c>
      <c r="BE25" s="40">
        <v>0.38</v>
      </c>
      <c r="BF25" s="8"/>
      <c r="BG25" s="8"/>
      <c r="BH25" s="8"/>
      <c r="BI25" s="8"/>
      <c r="BJ25" s="40">
        <v>7.0000000000000007E-2</v>
      </c>
      <c r="BK25" s="24" t="s">
        <v>236</v>
      </c>
      <c r="BL25" s="8"/>
      <c r="BM25" s="8"/>
      <c r="BN25" s="8"/>
      <c r="BO25" s="8"/>
      <c r="BP25" s="24">
        <v>4</v>
      </c>
      <c r="BQ25" s="24">
        <v>7</v>
      </c>
      <c r="BR25" s="8"/>
      <c r="BS25" s="8"/>
      <c r="BT25" s="8"/>
      <c r="BU25" s="8"/>
      <c r="BV25" s="24" t="s">
        <v>237</v>
      </c>
      <c r="BW25" s="24" t="s">
        <v>238</v>
      </c>
      <c r="BX25" s="8"/>
      <c r="BY25" s="8"/>
      <c r="BZ25" s="8"/>
      <c r="CA25" s="8"/>
      <c r="CB25" s="24" t="s">
        <v>239</v>
      </c>
      <c r="CC25" s="24" t="s">
        <v>239</v>
      </c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</row>
    <row r="26" spans="1:93" ht="15.75" customHeight="1">
      <c r="A26" s="47">
        <v>46008</v>
      </c>
      <c r="B26" s="28">
        <v>20</v>
      </c>
      <c r="C26" s="42" t="s">
        <v>240</v>
      </c>
      <c r="D26" s="24" t="s">
        <v>241</v>
      </c>
      <c r="E26" s="8"/>
      <c r="F26" s="24" t="s">
        <v>242</v>
      </c>
      <c r="G26" s="24" t="s">
        <v>243</v>
      </c>
      <c r="H26" s="24" t="s">
        <v>58</v>
      </c>
      <c r="I26" s="24" t="s">
        <v>45</v>
      </c>
      <c r="J26" s="24" t="s">
        <v>46</v>
      </c>
      <c r="K26" s="24" t="s">
        <v>244</v>
      </c>
      <c r="L26" s="24">
        <v>3</v>
      </c>
      <c r="M26" s="36">
        <v>9.7000000000000003E-2</v>
      </c>
      <c r="N26" s="36">
        <v>0.78300000000000003</v>
      </c>
      <c r="O26" s="36">
        <v>0.77600000000000002</v>
      </c>
      <c r="P26" s="8"/>
      <c r="Q26" s="8"/>
      <c r="R26" s="8"/>
      <c r="S26" s="8"/>
      <c r="T26" s="36">
        <v>4.5999999999999999E-2</v>
      </c>
      <c r="U26" s="36">
        <v>5.0999999999999997E-2</v>
      </c>
      <c r="V26" s="8"/>
      <c r="W26" s="8"/>
      <c r="X26" s="8"/>
      <c r="Y26" s="8"/>
      <c r="Z26" s="36">
        <v>0.14699999999999999</v>
      </c>
      <c r="AA26" s="36">
        <v>9.9000000000000005E-2</v>
      </c>
      <c r="AB26" s="8"/>
      <c r="AC26" s="8"/>
      <c r="AD26" s="8"/>
      <c r="AE26" s="8"/>
      <c r="AF26" s="36">
        <v>2.3E-2</v>
      </c>
      <c r="AG26" s="36">
        <v>4.2000000000000003E-2</v>
      </c>
      <c r="AH26" s="8"/>
      <c r="AI26" s="8"/>
      <c r="AJ26" s="8"/>
      <c r="AK26" s="8"/>
      <c r="AL26" s="36">
        <v>1E-3</v>
      </c>
      <c r="AM26" s="36">
        <v>3.2000000000000001E-2</v>
      </c>
      <c r="AN26" s="8"/>
      <c r="AO26" s="8"/>
      <c r="AP26" s="8"/>
      <c r="AQ26" s="8"/>
      <c r="AR26" s="24">
        <v>24.9</v>
      </c>
      <c r="AS26" s="24">
        <v>35.799999999999997</v>
      </c>
      <c r="AT26" s="8"/>
      <c r="AU26" s="8"/>
      <c r="AV26" s="8"/>
      <c r="AW26" s="8"/>
      <c r="AX26" s="40">
        <v>0.98</v>
      </c>
      <c r="AY26" s="36">
        <v>0.98799999999999999</v>
      </c>
      <c r="AZ26" s="8"/>
      <c r="BA26" s="8"/>
      <c r="BB26" s="8"/>
      <c r="BC26" s="8"/>
      <c r="BD26" s="36">
        <v>0.377</v>
      </c>
      <c r="BE26" s="36">
        <v>0.433</v>
      </c>
      <c r="BF26" s="8"/>
      <c r="BG26" s="8"/>
      <c r="BH26" s="8"/>
      <c r="BI26" s="8"/>
      <c r="BJ26" s="36">
        <v>6.6000000000000003E-2</v>
      </c>
      <c r="BK26" s="24" t="s">
        <v>236</v>
      </c>
      <c r="BL26" s="8"/>
      <c r="BM26" s="8"/>
      <c r="BN26" s="8"/>
      <c r="BO26" s="8"/>
      <c r="BP26" s="24">
        <v>9</v>
      </c>
      <c r="BQ26" s="24">
        <v>11</v>
      </c>
      <c r="BR26" s="8"/>
      <c r="BS26" s="8"/>
      <c r="BT26" s="8"/>
      <c r="BU26" s="8"/>
      <c r="BV26" s="24" t="s">
        <v>142</v>
      </c>
      <c r="BW26" s="24" t="s">
        <v>245</v>
      </c>
      <c r="BX26" s="8"/>
      <c r="BY26" s="8"/>
      <c r="BZ26" s="8"/>
      <c r="CA26" s="8"/>
      <c r="CB26" s="24" t="s">
        <v>246</v>
      </c>
      <c r="CC26" s="24" t="s">
        <v>247</v>
      </c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</row>
    <row r="27" spans="1:93" ht="18" customHeight="1">
      <c r="A27" s="47">
        <v>6693422</v>
      </c>
      <c r="B27" s="28">
        <v>21</v>
      </c>
      <c r="C27" s="42" t="s">
        <v>248</v>
      </c>
      <c r="D27" s="60" t="s">
        <v>249</v>
      </c>
      <c r="E27" s="8"/>
      <c r="F27" s="24" t="s">
        <v>250</v>
      </c>
      <c r="G27" s="24" t="s">
        <v>251</v>
      </c>
      <c r="H27" s="24" t="s">
        <v>205</v>
      </c>
      <c r="I27" s="24" t="s">
        <v>225</v>
      </c>
      <c r="J27" s="24" t="s">
        <v>46</v>
      </c>
      <c r="K27" s="24" t="s">
        <v>252</v>
      </c>
      <c r="L27" s="24">
        <v>3</v>
      </c>
      <c r="M27" s="36">
        <v>0.114</v>
      </c>
      <c r="N27" s="40">
        <v>0.45</v>
      </c>
      <c r="O27" s="8"/>
      <c r="P27" s="8"/>
      <c r="Q27" s="8"/>
      <c r="R27" s="8"/>
      <c r="S27" s="8"/>
      <c r="T27" s="36">
        <v>0.223</v>
      </c>
      <c r="U27" s="8"/>
      <c r="V27" s="8"/>
      <c r="W27" s="8"/>
      <c r="X27" s="8"/>
      <c r="Y27" s="8"/>
      <c r="Z27" s="36">
        <v>0.251</v>
      </c>
      <c r="AA27" s="8"/>
      <c r="AB27" s="8"/>
      <c r="AC27" s="8"/>
      <c r="AD27" s="8"/>
      <c r="AE27" s="8"/>
      <c r="AF27" s="36">
        <v>6.0999999999999999E-2</v>
      </c>
      <c r="AG27" s="8"/>
      <c r="AH27" s="8"/>
      <c r="AI27" s="8"/>
      <c r="AJ27" s="8"/>
      <c r="AK27" s="8"/>
      <c r="AL27" s="24">
        <v>1.5</v>
      </c>
      <c r="AM27" s="8"/>
      <c r="AN27" s="8"/>
      <c r="AO27" s="8"/>
      <c r="AP27" s="8"/>
      <c r="AQ27" s="8"/>
      <c r="AR27" s="24">
        <v>74.900000000000006</v>
      </c>
      <c r="AS27" s="8"/>
      <c r="AT27" s="8"/>
      <c r="AU27" s="8"/>
      <c r="AV27" s="8"/>
      <c r="AW27" s="8"/>
      <c r="AX27" s="36">
        <v>0.61299999999999999</v>
      </c>
      <c r="AY27" s="8"/>
      <c r="AZ27" s="8"/>
      <c r="BA27" s="8"/>
      <c r="BB27" s="8"/>
      <c r="BC27" s="8"/>
      <c r="BD27" s="36">
        <v>0.48599999999999999</v>
      </c>
      <c r="BE27" s="8"/>
      <c r="BF27" s="8"/>
      <c r="BG27" s="8"/>
      <c r="BH27" s="8"/>
      <c r="BI27" s="8"/>
      <c r="BJ27" s="36">
        <v>7.6999999999999999E-2</v>
      </c>
      <c r="BK27" s="8"/>
      <c r="BL27" s="8"/>
      <c r="BM27" s="8"/>
      <c r="BN27" s="8"/>
      <c r="BO27" s="8"/>
      <c r="BP27" s="24">
        <v>19</v>
      </c>
      <c r="BQ27" s="8"/>
      <c r="BR27" s="8"/>
      <c r="BS27" s="8"/>
      <c r="BT27" s="8"/>
      <c r="BU27" s="8"/>
      <c r="BV27" s="24" t="s">
        <v>253</v>
      </c>
      <c r="BW27" s="8"/>
      <c r="BX27" s="8"/>
      <c r="BY27" s="8"/>
      <c r="BZ27" s="8"/>
      <c r="CA27" s="8"/>
      <c r="CB27" s="24" t="s">
        <v>254</v>
      </c>
      <c r="CC27" s="8"/>
      <c r="CD27" s="8"/>
      <c r="CE27" s="8"/>
      <c r="CF27" s="8"/>
      <c r="CG27" s="8"/>
      <c r="CH27" s="24" t="s">
        <v>255</v>
      </c>
      <c r="CI27" s="8"/>
      <c r="CJ27" s="8"/>
      <c r="CK27" s="8"/>
      <c r="CL27" s="8"/>
      <c r="CM27" s="8"/>
      <c r="CN27" s="8"/>
      <c r="CO27" s="8"/>
    </row>
    <row r="28" spans="1:93" ht="15.75" customHeight="1">
      <c r="A28" s="47">
        <v>46009</v>
      </c>
      <c r="B28" s="28">
        <v>22</v>
      </c>
      <c r="C28" s="42" t="s">
        <v>256</v>
      </c>
      <c r="D28" s="24" t="s">
        <v>257</v>
      </c>
      <c r="E28" s="8"/>
      <c r="F28" s="24" t="s">
        <v>258</v>
      </c>
      <c r="G28" s="24" t="s">
        <v>259</v>
      </c>
      <c r="H28" s="24" t="s">
        <v>196</v>
      </c>
      <c r="I28" s="24" t="s">
        <v>225</v>
      </c>
      <c r="J28" s="24" t="s">
        <v>46</v>
      </c>
      <c r="K28" s="24" t="s">
        <v>260</v>
      </c>
      <c r="L28" s="24">
        <v>3</v>
      </c>
      <c r="M28" s="36">
        <v>9.3700000000000006E-2</v>
      </c>
      <c r="N28" s="36">
        <v>0.51100000000000001</v>
      </c>
      <c r="O28" s="8"/>
      <c r="P28" s="8"/>
      <c r="Q28" s="8"/>
      <c r="R28" s="8"/>
      <c r="S28" s="8"/>
      <c r="T28" s="36">
        <v>7.5999999999999998E-2</v>
      </c>
      <c r="U28" s="8"/>
      <c r="V28" s="8"/>
      <c r="W28" s="8"/>
      <c r="X28" s="8"/>
      <c r="Y28" s="8"/>
      <c r="Z28" s="36">
        <v>0.20499999999999999</v>
      </c>
      <c r="AA28" s="8"/>
      <c r="AB28" s="8"/>
      <c r="AC28" s="8"/>
      <c r="AD28" s="8"/>
      <c r="AE28" s="8"/>
      <c r="AF28" s="36">
        <v>0.14899999999999999</v>
      </c>
      <c r="AG28" s="8"/>
      <c r="AH28" s="8"/>
      <c r="AI28" s="8"/>
      <c r="AJ28" s="8"/>
      <c r="AK28" s="8"/>
      <c r="AL28" s="36">
        <v>5.8999999999999997E-2</v>
      </c>
      <c r="AM28" s="8"/>
      <c r="AN28" s="8"/>
      <c r="AO28" s="8"/>
      <c r="AP28" s="8"/>
      <c r="AQ28" s="8"/>
      <c r="AR28" s="24">
        <v>82</v>
      </c>
      <c r="AS28" s="8"/>
      <c r="AT28" s="8"/>
      <c r="AU28" s="8"/>
      <c r="AV28" s="8"/>
      <c r="AW28" s="8"/>
      <c r="AX28" s="36">
        <v>0.996</v>
      </c>
      <c r="AY28" s="8"/>
      <c r="AZ28" s="8"/>
      <c r="BA28" s="8"/>
      <c r="BB28" s="8"/>
      <c r="BC28" s="8"/>
      <c r="BD28" s="24" t="s">
        <v>261</v>
      </c>
      <c r="BE28" s="8"/>
      <c r="BF28" s="8"/>
      <c r="BG28" s="8"/>
      <c r="BH28" s="8"/>
      <c r="BI28" s="8"/>
      <c r="BJ28" s="24" t="s">
        <v>236</v>
      </c>
      <c r="BK28" s="8"/>
      <c r="BL28" s="8"/>
      <c r="BM28" s="8"/>
      <c r="BN28" s="8"/>
      <c r="BO28" s="8"/>
      <c r="BP28" s="24">
        <v>6</v>
      </c>
      <c r="BQ28" s="8"/>
      <c r="BR28" s="8"/>
      <c r="BS28" s="8"/>
      <c r="BT28" s="8"/>
      <c r="BU28" s="8"/>
      <c r="BV28" s="24" t="s">
        <v>262</v>
      </c>
      <c r="BW28" s="8"/>
      <c r="BX28" s="8"/>
      <c r="BY28" s="8"/>
      <c r="BZ28" s="8"/>
      <c r="CA28" s="8"/>
      <c r="CB28" s="24" t="s">
        <v>263</v>
      </c>
      <c r="CC28" s="8"/>
      <c r="CD28" s="8"/>
      <c r="CE28" s="8"/>
      <c r="CF28" s="8"/>
      <c r="CG28" s="8"/>
      <c r="CH28" s="24" t="s">
        <v>264</v>
      </c>
      <c r="CI28" s="8"/>
      <c r="CJ28" s="8"/>
      <c r="CK28" s="8"/>
      <c r="CL28" s="8"/>
      <c r="CM28" s="8"/>
      <c r="CN28" s="8"/>
      <c r="CO28" s="8"/>
    </row>
    <row r="29" spans="1:93" ht="15.75" customHeight="1">
      <c r="A29" s="47">
        <v>46009</v>
      </c>
      <c r="B29" s="28">
        <v>23</v>
      </c>
      <c r="C29" s="42" t="s">
        <v>265</v>
      </c>
      <c r="D29" s="24" t="s">
        <v>266</v>
      </c>
      <c r="E29" s="8"/>
      <c r="F29" s="24" t="s">
        <v>267</v>
      </c>
      <c r="G29" s="24" t="s">
        <v>268</v>
      </c>
      <c r="H29" s="24" t="s">
        <v>150</v>
      </c>
      <c r="I29" s="24" t="s">
        <v>225</v>
      </c>
      <c r="J29" s="24" t="s">
        <v>46</v>
      </c>
      <c r="K29" s="24" t="s">
        <v>269</v>
      </c>
      <c r="L29" s="24">
        <v>3</v>
      </c>
      <c r="M29" s="36">
        <v>0.107</v>
      </c>
      <c r="N29" s="36">
        <v>0.63500000000000001</v>
      </c>
      <c r="O29" s="36">
        <v>0.65800000000000003</v>
      </c>
      <c r="P29" s="8"/>
      <c r="Q29" s="8"/>
      <c r="R29" s="8"/>
      <c r="S29" s="8"/>
      <c r="T29" s="40">
        <v>0.11</v>
      </c>
      <c r="U29" s="36">
        <v>3.2000000000000001E-2</v>
      </c>
      <c r="V29" s="8"/>
      <c r="W29" s="8"/>
      <c r="X29" s="8"/>
      <c r="Y29" s="8"/>
      <c r="Z29" s="36">
        <v>0.16400000000000001</v>
      </c>
      <c r="AA29" s="40">
        <v>0.28999999999999998</v>
      </c>
      <c r="AB29" s="8"/>
      <c r="AC29" s="8"/>
      <c r="AD29" s="8"/>
      <c r="AE29" s="8"/>
      <c r="AF29" s="40">
        <v>0.09</v>
      </c>
      <c r="AG29" s="36">
        <v>1.9E-2</v>
      </c>
      <c r="AH29" s="8"/>
      <c r="AI29" s="8"/>
      <c r="AJ29" s="8"/>
      <c r="AK29" s="8"/>
      <c r="AL29" s="40">
        <v>0.01</v>
      </c>
      <c r="AM29" s="36">
        <v>1E-3</v>
      </c>
      <c r="AN29" s="8"/>
      <c r="AO29" s="8"/>
      <c r="AP29" s="8"/>
      <c r="AQ29" s="8"/>
      <c r="AR29" s="24">
        <v>52.6</v>
      </c>
      <c r="AS29" s="24">
        <v>33.200000000000003</v>
      </c>
      <c r="AT29" s="8"/>
      <c r="AU29" s="8"/>
      <c r="AV29" s="8"/>
      <c r="AW29" s="8"/>
      <c r="AX29" s="36">
        <v>0.79900000000000004</v>
      </c>
      <c r="AY29" s="36">
        <v>0.871</v>
      </c>
      <c r="AZ29" s="8"/>
      <c r="BA29" s="8"/>
      <c r="BB29" s="8"/>
      <c r="BC29" s="8"/>
      <c r="BD29" s="36">
        <v>0.503</v>
      </c>
      <c r="BE29" s="36">
        <v>0.32700000000000001</v>
      </c>
      <c r="BF29" s="8"/>
      <c r="BG29" s="8"/>
      <c r="BH29" s="8"/>
      <c r="BI29" s="8"/>
      <c r="BJ29" s="36">
        <v>6.9000000000000006E-2</v>
      </c>
      <c r="BK29" s="36">
        <v>7.0000000000000007E-2</v>
      </c>
      <c r="BL29" s="8"/>
      <c r="BM29" s="8"/>
      <c r="BN29" s="8"/>
      <c r="BO29" s="8"/>
      <c r="BP29" s="24">
        <v>28</v>
      </c>
      <c r="BQ29" s="24">
        <v>9</v>
      </c>
      <c r="BR29" s="8"/>
      <c r="BS29" s="8"/>
      <c r="BT29" s="8"/>
      <c r="BU29" s="8"/>
      <c r="BV29" s="24" t="s">
        <v>270</v>
      </c>
      <c r="BW29" s="24" t="s">
        <v>271</v>
      </c>
      <c r="BX29" s="8"/>
      <c r="BY29" s="8"/>
      <c r="BZ29" s="8"/>
      <c r="CA29" s="8"/>
      <c r="CB29" s="24" t="s">
        <v>272</v>
      </c>
      <c r="CC29" s="24" t="s">
        <v>272</v>
      </c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</row>
    <row r="30" spans="1:93" ht="16.5" customHeight="1">
      <c r="A30" s="47">
        <v>46009</v>
      </c>
      <c r="B30" s="28">
        <v>24</v>
      </c>
      <c r="C30" s="42" t="s">
        <v>273</v>
      </c>
      <c r="D30" s="24" t="s">
        <v>274</v>
      </c>
      <c r="E30" s="8"/>
      <c r="F30" s="24" t="s">
        <v>275</v>
      </c>
      <c r="G30" s="24" t="s">
        <v>276</v>
      </c>
      <c r="H30" s="24" t="s">
        <v>150</v>
      </c>
      <c r="I30" s="24" t="s">
        <v>45</v>
      </c>
      <c r="J30" s="24" t="s">
        <v>46</v>
      </c>
      <c r="K30" s="24" t="s">
        <v>277</v>
      </c>
      <c r="L30" s="61">
        <v>45718</v>
      </c>
      <c r="M30" s="36">
        <v>8.8999999999999996E-2</v>
      </c>
      <c r="N30" s="40">
        <v>0.64</v>
      </c>
      <c r="O30" s="36">
        <v>0.78700000000000003</v>
      </c>
      <c r="P30" s="8"/>
      <c r="Q30" s="8"/>
      <c r="R30" s="8"/>
      <c r="S30" s="8"/>
      <c r="T30" s="40">
        <v>0.1</v>
      </c>
      <c r="U30" s="40">
        <v>0.03</v>
      </c>
      <c r="V30" s="8"/>
      <c r="W30" s="8"/>
      <c r="X30" s="8"/>
      <c r="Y30" s="8"/>
      <c r="Z30" s="40">
        <v>0.26</v>
      </c>
      <c r="AA30" s="36">
        <v>0.17599999999999999</v>
      </c>
      <c r="AB30" s="8"/>
      <c r="AC30" s="8"/>
      <c r="AD30" s="8"/>
      <c r="AE30" s="8"/>
      <c r="AF30" s="40">
        <v>0</v>
      </c>
      <c r="AG30" s="36">
        <v>7.0000000000000001E-3</v>
      </c>
      <c r="AH30" s="8"/>
      <c r="AI30" s="8"/>
      <c r="AJ30" s="8"/>
      <c r="AK30" s="8"/>
      <c r="AL30" s="40">
        <v>0</v>
      </c>
      <c r="AM30" s="40">
        <v>0</v>
      </c>
      <c r="AN30" s="8"/>
      <c r="AO30" s="8"/>
      <c r="AP30" s="8"/>
      <c r="AQ30" s="8"/>
      <c r="AR30" s="24">
        <v>36.799999999999997</v>
      </c>
      <c r="AS30" s="24">
        <v>20.6</v>
      </c>
      <c r="AT30" s="8"/>
      <c r="AU30" s="8"/>
      <c r="AV30" s="8"/>
      <c r="AW30" s="8"/>
      <c r="AX30" s="36">
        <v>0.75900000000000001</v>
      </c>
      <c r="AY30" s="36">
        <v>0.875</v>
      </c>
      <c r="AZ30" s="8"/>
      <c r="BA30" s="8"/>
      <c r="BB30" s="8"/>
      <c r="BC30" s="8"/>
      <c r="BD30" s="36">
        <v>0.38400000000000001</v>
      </c>
      <c r="BE30" s="36">
        <v>0.35699999999999998</v>
      </c>
      <c r="BF30" s="8"/>
      <c r="BG30" s="8"/>
      <c r="BH30" s="8"/>
      <c r="BI30" s="8"/>
      <c r="BJ30" s="36">
        <v>7.1999999999999995E-2</v>
      </c>
      <c r="BK30" s="36">
        <v>6.7000000000000004E-2</v>
      </c>
      <c r="BL30" s="8"/>
      <c r="BM30" s="8"/>
      <c r="BN30" s="8"/>
      <c r="BO30" s="8"/>
      <c r="BP30" s="24">
        <v>0</v>
      </c>
      <c r="BQ30" s="24">
        <v>2</v>
      </c>
      <c r="BR30" s="8"/>
      <c r="BS30" s="8"/>
      <c r="BT30" s="8"/>
      <c r="BU30" s="8"/>
      <c r="BV30" s="24" t="s">
        <v>112</v>
      </c>
      <c r="BW30" s="24" t="s">
        <v>161</v>
      </c>
      <c r="BX30" s="8"/>
      <c r="BY30" s="8"/>
      <c r="BZ30" s="8"/>
      <c r="CA30" s="8"/>
      <c r="CB30" s="24" t="s">
        <v>278</v>
      </c>
      <c r="CC30" s="24" t="s">
        <v>278</v>
      </c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</row>
    <row r="31" spans="1:93" ht="15.75" customHeight="1">
      <c r="A31" s="47">
        <v>46015</v>
      </c>
      <c r="B31" s="28">
        <v>25</v>
      </c>
      <c r="C31" s="42" t="s">
        <v>279</v>
      </c>
      <c r="D31" s="24" t="s">
        <v>280</v>
      </c>
      <c r="E31" s="24" t="s">
        <v>281</v>
      </c>
      <c r="F31" s="8"/>
      <c r="G31" s="24" t="s">
        <v>282</v>
      </c>
      <c r="H31" s="24" t="s">
        <v>72</v>
      </c>
      <c r="I31" s="24" t="s">
        <v>45</v>
      </c>
      <c r="J31" s="24" t="s">
        <v>46</v>
      </c>
      <c r="K31" s="24" t="s">
        <v>283</v>
      </c>
      <c r="L31" s="24">
        <v>6</v>
      </c>
      <c r="M31" s="36">
        <v>6.8400000000000002E-2</v>
      </c>
      <c r="N31" s="36">
        <v>0.85799999999999998</v>
      </c>
      <c r="O31" s="8"/>
      <c r="P31" s="8"/>
      <c r="Q31" s="8"/>
      <c r="R31" s="8"/>
      <c r="S31" s="8"/>
      <c r="T31" s="36">
        <v>1.7000000000000001E-2</v>
      </c>
      <c r="U31" s="8"/>
      <c r="V31" s="8"/>
      <c r="W31" s="8"/>
      <c r="X31" s="8"/>
      <c r="Y31" s="8"/>
      <c r="Z31" s="36">
        <v>9.7000000000000003E-2</v>
      </c>
      <c r="AA31" s="8"/>
      <c r="AB31" s="8"/>
      <c r="AC31" s="8"/>
      <c r="AD31" s="8"/>
      <c r="AE31" s="8"/>
      <c r="AF31" s="36">
        <v>2.8000000000000001E-2</v>
      </c>
      <c r="AG31" s="8"/>
      <c r="AH31" s="8"/>
      <c r="AI31" s="8"/>
      <c r="AJ31" s="8"/>
      <c r="AK31" s="8"/>
      <c r="AL31" s="40">
        <v>0</v>
      </c>
      <c r="AM31" s="8"/>
      <c r="AN31" s="8"/>
      <c r="AO31" s="8"/>
      <c r="AP31" s="8"/>
      <c r="AQ31" s="8"/>
      <c r="AR31" s="24">
        <v>17.2</v>
      </c>
      <c r="AS31" s="8"/>
      <c r="AT31" s="8"/>
      <c r="AU31" s="8"/>
      <c r="AV31" s="8"/>
      <c r="AW31" s="8"/>
      <c r="AX31" s="36">
        <v>0.69499999999999995</v>
      </c>
      <c r="AY31" s="8"/>
      <c r="AZ31" s="8"/>
      <c r="BA31" s="8"/>
      <c r="BB31" s="8"/>
      <c r="BC31" s="8"/>
      <c r="BD31" s="36">
        <v>0.34100000000000003</v>
      </c>
      <c r="BE31" s="8"/>
      <c r="BF31" s="8"/>
      <c r="BG31" s="8"/>
      <c r="BH31" s="8"/>
      <c r="BI31" s="8"/>
      <c r="BJ31" s="36">
        <v>6.3E-2</v>
      </c>
      <c r="BK31" s="8"/>
      <c r="BL31" s="8"/>
      <c r="BM31" s="8"/>
      <c r="BN31" s="8"/>
      <c r="BO31" s="8"/>
      <c r="BP31" s="24">
        <v>18</v>
      </c>
      <c r="BQ31" s="8"/>
      <c r="BR31" s="8"/>
      <c r="BS31" s="8"/>
      <c r="BT31" s="8"/>
      <c r="BU31" s="8"/>
      <c r="BV31" s="24" t="s">
        <v>284</v>
      </c>
      <c r="BW31" s="8"/>
      <c r="BX31" s="8"/>
      <c r="BY31" s="8"/>
      <c r="BZ31" s="8"/>
      <c r="CA31" s="8"/>
      <c r="CB31" s="24" t="s">
        <v>285</v>
      </c>
      <c r="CC31" s="8"/>
      <c r="CD31" s="8"/>
      <c r="CE31" s="8"/>
      <c r="CF31" s="8"/>
      <c r="CG31" s="8"/>
      <c r="CH31" s="24" t="s">
        <v>286</v>
      </c>
      <c r="CI31" s="8"/>
      <c r="CJ31" s="8"/>
      <c r="CK31" s="8"/>
      <c r="CL31" s="8"/>
      <c r="CM31" s="8"/>
      <c r="CN31" s="8"/>
      <c r="CO31" s="8"/>
    </row>
    <row r="32" spans="1:93" ht="15.75" customHeight="1">
      <c r="A32" s="52">
        <v>46013</v>
      </c>
      <c r="B32" s="28">
        <v>26</v>
      </c>
      <c r="C32" s="42" t="s">
        <v>287</v>
      </c>
      <c r="D32" s="24" t="s">
        <v>288</v>
      </c>
      <c r="E32" s="24" t="s">
        <v>289</v>
      </c>
      <c r="F32" s="8"/>
      <c r="G32" s="24" t="s">
        <v>290</v>
      </c>
      <c r="H32" s="24" t="s">
        <v>128</v>
      </c>
      <c r="I32" s="24" t="s">
        <v>45</v>
      </c>
      <c r="J32" s="24" t="s">
        <v>46</v>
      </c>
      <c r="K32" s="24" t="s">
        <v>291</v>
      </c>
      <c r="L32" s="61">
        <v>45718</v>
      </c>
      <c r="M32" s="36">
        <v>9.6699999999999994E-2</v>
      </c>
      <c r="N32" s="40">
        <v>0.56999999999999995</v>
      </c>
      <c r="O32" s="8"/>
      <c r="P32" s="8"/>
      <c r="Q32" s="8"/>
      <c r="R32" s="8"/>
      <c r="S32" s="8"/>
      <c r="T32" s="36">
        <v>8.5999999999999993E-2</v>
      </c>
      <c r="U32" s="8"/>
      <c r="V32" s="8"/>
      <c r="W32" s="8"/>
      <c r="X32" s="8"/>
      <c r="Y32" s="8"/>
      <c r="Z32" s="36">
        <v>0.14899999999999999</v>
      </c>
      <c r="AA32" s="8"/>
      <c r="AB32" s="8"/>
      <c r="AC32" s="8"/>
      <c r="AD32" s="8"/>
      <c r="AE32" s="8"/>
      <c r="AF32" s="36">
        <v>4.0000000000000001E-3</v>
      </c>
      <c r="AG32" s="8"/>
      <c r="AH32" s="8"/>
      <c r="AI32" s="8"/>
      <c r="AJ32" s="8"/>
      <c r="AK32" s="8"/>
      <c r="AL32" s="36">
        <v>0.191</v>
      </c>
      <c r="AM32" s="8"/>
      <c r="AN32" s="8"/>
      <c r="AO32" s="8"/>
      <c r="AP32" s="8"/>
      <c r="AQ32" s="8"/>
      <c r="AR32" s="24">
        <v>83.9</v>
      </c>
      <c r="AS32" s="8"/>
      <c r="AT32" s="8"/>
      <c r="AU32" s="8"/>
      <c r="AV32" s="8"/>
      <c r="AW32" s="8"/>
      <c r="AX32" s="36">
        <v>0.79900000000000004</v>
      </c>
      <c r="AY32" s="8"/>
      <c r="AZ32" s="8"/>
      <c r="BA32" s="8"/>
      <c r="BB32" s="8"/>
      <c r="BC32" s="8"/>
      <c r="BD32" s="36">
        <v>0.55600000000000005</v>
      </c>
      <c r="BE32" s="8"/>
      <c r="BF32" s="8"/>
      <c r="BG32" s="8"/>
      <c r="BH32" s="8"/>
      <c r="BI32" s="8"/>
      <c r="BJ32" s="36">
        <v>6.5000000000000002E-2</v>
      </c>
      <c r="BK32" s="8"/>
      <c r="BL32" s="8"/>
      <c r="BM32" s="8"/>
      <c r="BN32" s="8"/>
      <c r="BO32" s="8"/>
      <c r="BP32" s="24">
        <v>2</v>
      </c>
      <c r="BQ32" s="8"/>
      <c r="BR32" s="8"/>
      <c r="BS32" s="8"/>
      <c r="BT32" s="8"/>
      <c r="BU32" s="8"/>
      <c r="BV32" s="24" t="s">
        <v>292</v>
      </c>
      <c r="BW32" s="8"/>
      <c r="BX32" s="8"/>
      <c r="BY32" s="8"/>
      <c r="BZ32" s="8"/>
      <c r="CA32" s="8"/>
      <c r="CB32" s="24" t="s">
        <v>293</v>
      </c>
      <c r="CC32" s="8"/>
      <c r="CD32" s="8"/>
      <c r="CE32" s="8"/>
      <c r="CF32" s="8"/>
      <c r="CG32" s="8"/>
      <c r="CH32" s="24" t="s">
        <v>294</v>
      </c>
      <c r="CI32" s="8"/>
      <c r="CJ32" s="8"/>
      <c r="CK32" s="8"/>
      <c r="CL32" s="8"/>
      <c r="CM32" s="8"/>
      <c r="CN32" s="8"/>
      <c r="CO32" s="8"/>
    </row>
    <row r="33" spans="1:93" ht="15.75" customHeight="1">
      <c r="A33" s="52">
        <v>46013</v>
      </c>
      <c r="B33" s="28">
        <v>27</v>
      </c>
      <c r="C33" s="42" t="s">
        <v>295</v>
      </c>
      <c r="D33" s="24" t="s">
        <v>296</v>
      </c>
      <c r="E33" s="8"/>
      <c r="F33" s="24" t="s">
        <v>297</v>
      </c>
      <c r="G33" s="24" t="s">
        <v>298</v>
      </c>
      <c r="H33" s="24" t="s">
        <v>88</v>
      </c>
      <c r="I33" s="24" t="s">
        <v>225</v>
      </c>
      <c r="J33" s="24" t="s">
        <v>46</v>
      </c>
      <c r="K33" s="24" t="s">
        <v>299</v>
      </c>
      <c r="L33" s="24">
        <v>6</v>
      </c>
      <c r="M33" s="36">
        <v>0.127</v>
      </c>
      <c r="N33" s="36">
        <v>0.51300000000000001</v>
      </c>
      <c r="O33" s="8"/>
      <c r="P33" s="8"/>
      <c r="Q33" s="8"/>
      <c r="R33" s="8"/>
      <c r="S33" s="8"/>
      <c r="T33" s="36">
        <v>0.122</v>
      </c>
      <c r="U33" s="8"/>
      <c r="V33" s="8"/>
      <c r="W33" s="8"/>
      <c r="X33" s="8"/>
      <c r="Y33" s="8"/>
      <c r="Z33" s="36">
        <v>0.36499999999999999</v>
      </c>
      <c r="AA33" s="8"/>
      <c r="AB33" s="8"/>
      <c r="AC33" s="8"/>
      <c r="AD33" s="8"/>
      <c r="AE33" s="8"/>
      <c r="AF33" s="24">
        <v>0</v>
      </c>
      <c r="AG33" s="8"/>
      <c r="AH33" s="8"/>
      <c r="AI33" s="8"/>
      <c r="AJ33" s="8"/>
      <c r="AK33" s="8"/>
      <c r="AL33" s="24">
        <v>0</v>
      </c>
      <c r="AM33" s="8"/>
      <c r="AN33" s="8"/>
      <c r="AO33" s="8"/>
      <c r="AP33" s="8"/>
      <c r="AQ33" s="8"/>
      <c r="AR33" s="24">
        <v>48.7</v>
      </c>
      <c r="AS33" s="8"/>
      <c r="AT33" s="8"/>
      <c r="AU33" s="8"/>
      <c r="AV33" s="8"/>
      <c r="AW33" s="8"/>
      <c r="AX33" s="36">
        <v>0.81899999999999995</v>
      </c>
      <c r="AY33" s="8"/>
      <c r="AZ33" s="8"/>
      <c r="BA33" s="8"/>
      <c r="BB33" s="8"/>
      <c r="BC33" s="8"/>
      <c r="BD33" s="36">
        <v>0.311</v>
      </c>
      <c r="BE33" s="8"/>
      <c r="BF33" s="8"/>
      <c r="BG33" s="8"/>
      <c r="BH33" s="8"/>
      <c r="BI33" s="8"/>
      <c r="BJ33" s="36">
        <v>7.6999999999999999E-2</v>
      </c>
      <c r="BK33" s="8"/>
      <c r="BL33" s="8"/>
      <c r="BM33" s="8"/>
      <c r="BN33" s="8"/>
      <c r="BO33" s="8"/>
      <c r="BP33" s="24">
        <v>0</v>
      </c>
      <c r="BQ33" s="8"/>
      <c r="BR33" s="8"/>
      <c r="BS33" s="8"/>
      <c r="BT33" s="8"/>
      <c r="BU33" s="8"/>
      <c r="BV33" s="24" t="s">
        <v>112</v>
      </c>
      <c r="BW33" s="8"/>
      <c r="BX33" s="8"/>
      <c r="BY33" s="8"/>
      <c r="BZ33" s="8"/>
      <c r="CA33" s="8"/>
      <c r="CB33" s="24" t="s">
        <v>300</v>
      </c>
      <c r="CC33" s="8"/>
      <c r="CD33" s="8"/>
      <c r="CE33" s="8"/>
      <c r="CF33" s="8"/>
      <c r="CG33" s="8"/>
      <c r="CH33" s="24" t="s">
        <v>301</v>
      </c>
      <c r="CI33" s="8"/>
      <c r="CJ33" s="8"/>
      <c r="CK33" s="8"/>
      <c r="CL33" s="8"/>
      <c r="CM33" s="8"/>
      <c r="CN33" s="8"/>
      <c r="CO33" s="8"/>
    </row>
    <row r="34" spans="1:93" ht="15.75" customHeight="1">
      <c r="A34" s="52">
        <v>46013</v>
      </c>
      <c r="B34" s="28">
        <v>28</v>
      </c>
      <c r="C34" s="42" t="s">
        <v>302</v>
      </c>
      <c r="D34" s="24" t="s">
        <v>303</v>
      </c>
      <c r="E34" s="8"/>
      <c r="F34" s="24" t="s">
        <v>304</v>
      </c>
      <c r="G34" s="24" t="s">
        <v>305</v>
      </c>
      <c r="H34" s="24" t="s">
        <v>128</v>
      </c>
      <c r="I34" s="24" t="s">
        <v>45</v>
      </c>
      <c r="J34" s="24" t="s">
        <v>46</v>
      </c>
      <c r="K34" s="24" t="s">
        <v>306</v>
      </c>
      <c r="L34" s="24">
        <v>2</v>
      </c>
      <c r="M34" s="36">
        <v>0.112</v>
      </c>
      <c r="N34" s="36">
        <v>0.68600000000000005</v>
      </c>
      <c r="O34" s="8"/>
      <c r="P34" s="8"/>
      <c r="Q34" s="8"/>
      <c r="R34" s="8"/>
      <c r="S34" s="8"/>
      <c r="T34" s="36">
        <v>8.1000000000000003E-2</v>
      </c>
      <c r="U34" s="8"/>
      <c r="V34" s="8"/>
      <c r="W34" s="8"/>
      <c r="X34" s="8"/>
      <c r="Y34" s="8"/>
      <c r="Z34" s="36">
        <v>0.217</v>
      </c>
      <c r="AA34" s="8"/>
      <c r="AB34" s="8"/>
      <c r="AC34" s="8"/>
      <c r="AD34" s="8"/>
      <c r="AE34" s="8"/>
      <c r="AF34" s="24">
        <v>1.3</v>
      </c>
      <c r="AG34" s="8"/>
      <c r="AH34" s="8"/>
      <c r="AI34" s="8"/>
      <c r="AJ34" s="8"/>
      <c r="AK34" s="8"/>
      <c r="AL34" s="24">
        <v>0.3</v>
      </c>
      <c r="AM34" s="8"/>
      <c r="AN34" s="8"/>
      <c r="AO34" s="8"/>
      <c r="AP34" s="8"/>
      <c r="AQ34" s="8"/>
      <c r="AR34" s="24">
        <v>34.299999999999997</v>
      </c>
      <c r="AS34" s="8"/>
      <c r="AT34" s="8"/>
      <c r="AU34" s="8"/>
      <c r="AV34" s="8"/>
      <c r="AW34" s="8"/>
      <c r="AX34" s="36">
        <v>0.185</v>
      </c>
      <c r="AY34" s="8"/>
      <c r="AZ34" s="8"/>
      <c r="BA34" s="8"/>
      <c r="BB34" s="8"/>
      <c r="BC34" s="8"/>
      <c r="BD34" s="36">
        <v>0.38800000000000001</v>
      </c>
      <c r="BE34" s="8"/>
      <c r="BF34" s="8"/>
      <c r="BG34" s="8"/>
      <c r="BH34" s="8"/>
      <c r="BI34" s="8"/>
      <c r="BJ34" s="36">
        <v>6.9000000000000006E-2</v>
      </c>
      <c r="BK34" s="8"/>
      <c r="BL34" s="8"/>
      <c r="BM34" s="8"/>
      <c r="BN34" s="8"/>
      <c r="BO34" s="8"/>
      <c r="BP34" s="24">
        <v>5</v>
      </c>
      <c r="BQ34" s="8"/>
      <c r="BR34" s="8"/>
      <c r="BS34" s="8"/>
      <c r="BT34" s="8"/>
      <c r="BU34" s="8"/>
      <c r="BV34" s="24" t="s">
        <v>307</v>
      </c>
      <c r="BW34" s="8"/>
      <c r="BX34" s="8"/>
      <c r="BY34" s="8"/>
      <c r="BZ34" s="8"/>
      <c r="CA34" s="8"/>
      <c r="CB34" s="24" t="s">
        <v>308</v>
      </c>
      <c r="CC34" s="8"/>
      <c r="CD34" s="8"/>
      <c r="CE34" s="8"/>
      <c r="CF34" s="8"/>
      <c r="CG34" s="8"/>
      <c r="CH34" s="24" t="s">
        <v>309</v>
      </c>
      <c r="CI34" s="8"/>
      <c r="CJ34" s="8"/>
      <c r="CK34" s="8"/>
      <c r="CL34" s="8"/>
      <c r="CM34" s="8"/>
      <c r="CN34" s="8"/>
      <c r="CO34" s="8"/>
    </row>
    <row r="35" spans="1:93" ht="15.75" customHeight="1">
      <c r="A35" s="47">
        <v>46014</v>
      </c>
      <c r="B35" s="28">
        <v>29</v>
      </c>
      <c r="C35" s="42" t="s">
        <v>310</v>
      </c>
      <c r="D35" s="24" t="s">
        <v>311</v>
      </c>
      <c r="E35" s="8"/>
      <c r="F35" s="24" t="s">
        <v>312</v>
      </c>
      <c r="G35" s="24" t="s">
        <v>313</v>
      </c>
      <c r="H35" s="24" t="s">
        <v>314</v>
      </c>
      <c r="I35" s="24" t="s">
        <v>45</v>
      </c>
      <c r="J35" s="24" t="s">
        <v>46</v>
      </c>
      <c r="K35" s="24" t="s">
        <v>315</v>
      </c>
      <c r="L35" s="61">
        <v>45718</v>
      </c>
      <c r="M35" s="36">
        <v>9.3299999999999994E-2</v>
      </c>
      <c r="N35" s="36">
        <v>0.68700000000000006</v>
      </c>
      <c r="O35" s="8"/>
      <c r="P35" s="8"/>
      <c r="Q35" s="8"/>
      <c r="R35" s="8"/>
      <c r="S35" s="8"/>
      <c r="T35" s="36">
        <v>6.9000000000000006E-2</v>
      </c>
      <c r="U35" s="8"/>
      <c r="V35" s="8"/>
      <c r="W35" s="8"/>
      <c r="X35" s="8"/>
      <c r="Y35" s="8"/>
      <c r="Z35" s="36">
        <v>0.221</v>
      </c>
      <c r="AA35" s="8"/>
      <c r="AB35" s="8"/>
      <c r="AC35" s="8"/>
      <c r="AD35" s="8"/>
      <c r="AE35" s="8"/>
      <c r="AF35" s="36">
        <v>1.2999999999999999E-2</v>
      </c>
      <c r="AG35" s="8"/>
      <c r="AH35" s="8"/>
      <c r="AI35" s="8"/>
      <c r="AJ35" s="8"/>
      <c r="AK35" s="8"/>
      <c r="AL35" s="40">
        <v>0.01</v>
      </c>
      <c r="AM35" s="8"/>
      <c r="AN35" s="8"/>
      <c r="AO35" s="8"/>
      <c r="AP35" s="8"/>
      <c r="AQ35" s="8"/>
      <c r="AR35" s="24">
        <v>34.799999999999997</v>
      </c>
      <c r="AS35" s="8"/>
      <c r="AT35" s="8"/>
      <c r="AU35" s="8"/>
      <c r="AV35" s="8"/>
      <c r="AW35" s="8"/>
      <c r="AX35" s="36">
        <v>0.97099999999999997</v>
      </c>
      <c r="AY35" s="8"/>
      <c r="AZ35" s="8"/>
      <c r="BA35" s="8"/>
      <c r="BB35" s="8"/>
      <c r="BC35" s="8"/>
      <c r="BD35" s="40">
        <v>0.39</v>
      </c>
      <c r="BE35" s="8"/>
      <c r="BF35" s="8"/>
      <c r="BG35" s="8"/>
      <c r="BH35" s="8"/>
      <c r="BI35" s="8"/>
      <c r="BJ35" s="40">
        <v>7.0000000000000007E-2</v>
      </c>
      <c r="BK35" s="8"/>
      <c r="BL35" s="8"/>
      <c r="BM35" s="8"/>
      <c r="BN35" s="8"/>
      <c r="BO35" s="8"/>
      <c r="BP35" s="24">
        <v>8</v>
      </c>
      <c r="BQ35" s="8"/>
      <c r="BR35" s="8"/>
      <c r="BS35" s="8"/>
      <c r="BT35" s="8"/>
      <c r="BU35" s="8"/>
      <c r="BV35" s="24" t="s">
        <v>316</v>
      </c>
      <c r="BW35" s="8"/>
      <c r="BX35" s="8"/>
      <c r="BY35" s="8"/>
      <c r="BZ35" s="8"/>
      <c r="CA35" s="8"/>
      <c r="CB35" s="24" t="s">
        <v>317</v>
      </c>
      <c r="CC35" s="8"/>
      <c r="CD35" s="8"/>
      <c r="CE35" s="8"/>
      <c r="CF35" s="8"/>
      <c r="CG35" s="8"/>
      <c r="CH35" s="24" t="s">
        <v>318</v>
      </c>
      <c r="CI35" s="8"/>
      <c r="CJ35" s="8"/>
      <c r="CK35" s="8"/>
      <c r="CL35" s="8"/>
      <c r="CM35" s="8"/>
      <c r="CN35" s="8"/>
      <c r="CO35" s="8"/>
    </row>
    <row r="36" spans="1:93" ht="15.75" customHeight="1">
      <c r="A36" s="47">
        <v>46015</v>
      </c>
      <c r="B36" s="28">
        <v>30</v>
      </c>
      <c r="C36" s="42" t="s">
        <v>319</v>
      </c>
      <c r="D36" s="24" t="s">
        <v>320</v>
      </c>
      <c r="E36" s="8"/>
      <c r="F36" s="24" t="s">
        <v>321</v>
      </c>
      <c r="G36" s="24" t="s">
        <v>322</v>
      </c>
      <c r="H36" s="24" t="s">
        <v>323</v>
      </c>
      <c r="I36" s="24" t="s">
        <v>45</v>
      </c>
      <c r="J36" s="24" t="s">
        <v>46</v>
      </c>
      <c r="K36" s="24" t="s">
        <v>324</v>
      </c>
      <c r="L36" s="61">
        <v>45718</v>
      </c>
      <c r="M36" s="36">
        <v>0.109</v>
      </c>
      <c r="N36" s="36">
        <v>0.54300000000000004</v>
      </c>
      <c r="O36" s="8"/>
      <c r="P36" s="8"/>
      <c r="Q36" s="8"/>
      <c r="R36" s="8"/>
      <c r="S36" s="8"/>
      <c r="T36" s="40">
        <v>0.11</v>
      </c>
      <c r="U36" s="8"/>
      <c r="V36" s="8"/>
      <c r="W36" s="8"/>
      <c r="X36" s="8"/>
      <c r="Y36" s="8"/>
      <c r="Z36" s="36">
        <v>0.34399999999999997</v>
      </c>
      <c r="AA36" s="8"/>
      <c r="AB36" s="8"/>
      <c r="AC36" s="8"/>
      <c r="AD36" s="8"/>
      <c r="AE36" s="8"/>
      <c r="AF36" s="36">
        <v>3.0000000000000001E-3</v>
      </c>
      <c r="AG36" s="8"/>
      <c r="AH36" s="8"/>
      <c r="AI36" s="8"/>
      <c r="AJ36" s="8"/>
      <c r="AK36" s="8"/>
      <c r="AL36" s="40">
        <v>0</v>
      </c>
      <c r="AM36" s="8"/>
      <c r="AN36" s="8"/>
      <c r="AO36" s="8"/>
      <c r="AP36" s="8"/>
      <c r="AQ36" s="8"/>
      <c r="AR36" s="24">
        <v>45.8</v>
      </c>
      <c r="AS36" s="8"/>
      <c r="AT36" s="8"/>
      <c r="AU36" s="8"/>
      <c r="AV36" s="8"/>
      <c r="AW36" s="8"/>
      <c r="AX36" s="36">
        <v>0.98199999999999998</v>
      </c>
      <c r="AY36" s="8"/>
      <c r="AZ36" s="8"/>
      <c r="BA36" s="8"/>
      <c r="BB36" s="8"/>
      <c r="BC36" s="8"/>
      <c r="BD36" s="36">
        <v>0.28599999999999998</v>
      </c>
      <c r="BE36" s="8"/>
      <c r="BF36" s="8"/>
      <c r="BG36" s="8"/>
      <c r="BH36" s="8"/>
      <c r="BI36" s="8"/>
      <c r="BJ36" s="36">
        <v>7.6999999999999999E-2</v>
      </c>
      <c r="BK36" s="8"/>
      <c r="BL36" s="8"/>
      <c r="BM36" s="8"/>
      <c r="BN36" s="8"/>
      <c r="BO36" s="8"/>
      <c r="BP36" s="24">
        <v>1</v>
      </c>
      <c r="BQ36" s="8"/>
      <c r="BR36" s="8"/>
      <c r="BS36" s="8"/>
      <c r="BT36" s="8"/>
      <c r="BU36" s="8"/>
      <c r="BV36" s="24" t="s">
        <v>325</v>
      </c>
      <c r="BW36" s="8"/>
      <c r="BX36" s="8"/>
      <c r="BY36" s="8"/>
      <c r="BZ36" s="8"/>
      <c r="CA36" s="8"/>
      <c r="CB36" s="24" t="s">
        <v>326</v>
      </c>
      <c r="CC36" s="8"/>
      <c r="CD36" s="8"/>
      <c r="CE36" s="8"/>
      <c r="CF36" s="8"/>
      <c r="CG36" s="8"/>
      <c r="CH36" s="24" t="s">
        <v>327</v>
      </c>
      <c r="CI36" s="8"/>
      <c r="CJ36" s="8"/>
      <c r="CK36" s="8"/>
      <c r="CL36" s="8"/>
      <c r="CM36" s="8"/>
      <c r="CN36" s="8"/>
      <c r="CO36" s="8"/>
    </row>
    <row r="37" spans="1:93" ht="15.75" customHeight="1">
      <c r="A37" s="47">
        <v>46017</v>
      </c>
      <c r="B37" s="28">
        <v>31</v>
      </c>
      <c r="C37" s="42" t="s">
        <v>328</v>
      </c>
      <c r="D37" s="24" t="s">
        <v>329</v>
      </c>
      <c r="E37" s="24" t="s">
        <v>330</v>
      </c>
      <c r="F37" s="8"/>
      <c r="G37" s="24" t="s">
        <v>331</v>
      </c>
      <c r="H37" s="24" t="s">
        <v>88</v>
      </c>
      <c r="I37" s="24" t="s">
        <v>332</v>
      </c>
      <c r="J37" s="24" t="s">
        <v>46</v>
      </c>
      <c r="K37" s="24" t="s">
        <v>333</v>
      </c>
      <c r="L37" s="61">
        <v>46083</v>
      </c>
      <c r="M37" s="36">
        <v>0.89400000000000002</v>
      </c>
      <c r="N37" s="36"/>
      <c r="O37" s="8"/>
      <c r="P37" s="8"/>
      <c r="Q37" s="8"/>
      <c r="R37" s="8"/>
      <c r="S37" s="8"/>
      <c r="T37" s="36">
        <v>3.0000000000000001E-3</v>
      </c>
      <c r="U37" s="36"/>
      <c r="V37" s="8"/>
      <c r="W37" s="8"/>
      <c r="X37" s="8"/>
      <c r="Y37" s="8"/>
      <c r="Z37" s="40">
        <v>7.0000000000000007E-2</v>
      </c>
      <c r="AA37" s="40"/>
      <c r="AB37" s="8"/>
      <c r="AC37" s="8"/>
      <c r="AD37" s="8"/>
      <c r="AE37" s="8"/>
      <c r="AF37" s="36">
        <v>2.8000000000000001E-2</v>
      </c>
      <c r="AG37" s="8"/>
      <c r="AH37" s="8"/>
      <c r="AI37" s="8"/>
      <c r="AJ37" s="8"/>
      <c r="AK37" s="8"/>
      <c r="AL37" s="36">
        <v>5.0000000000000001E-3</v>
      </c>
      <c r="AM37" s="8"/>
      <c r="AN37" s="8"/>
      <c r="AO37" s="8"/>
      <c r="AP37" s="8"/>
      <c r="AQ37" s="8"/>
      <c r="AR37" s="24">
        <v>14.3</v>
      </c>
      <c r="AS37" s="8"/>
      <c r="AT37" s="8"/>
      <c r="AU37" s="8"/>
      <c r="AV37" s="8"/>
      <c r="AW37" s="8"/>
      <c r="AX37" s="40">
        <v>0.26</v>
      </c>
      <c r="AY37" s="8"/>
      <c r="AZ37" s="8"/>
      <c r="BA37" s="8"/>
      <c r="BB37" s="8"/>
      <c r="BC37" s="8"/>
      <c r="BD37" s="36">
        <v>0.28699999999999998</v>
      </c>
      <c r="BE37" s="8"/>
      <c r="BF37" s="8"/>
      <c r="BG37" s="8"/>
      <c r="BH37" s="8"/>
      <c r="BI37" s="8"/>
      <c r="BJ37" s="36">
        <v>6.2E-2</v>
      </c>
      <c r="BK37" s="8"/>
      <c r="BL37" s="8"/>
      <c r="BM37" s="8"/>
      <c r="BN37" s="8"/>
      <c r="BO37" s="8"/>
      <c r="BP37" s="24">
        <v>11</v>
      </c>
      <c r="BQ37" s="8"/>
      <c r="BR37" s="8"/>
      <c r="BS37" s="8"/>
      <c r="BT37" s="8"/>
      <c r="BU37" s="8"/>
      <c r="BV37" s="24" t="s">
        <v>325</v>
      </c>
      <c r="BW37" s="8"/>
      <c r="BX37" s="8"/>
      <c r="BY37" s="8"/>
      <c r="BZ37" s="8"/>
      <c r="CA37" s="8"/>
      <c r="CB37" s="24" t="s">
        <v>334</v>
      </c>
      <c r="CC37" s="8"/>
      <c r="CD37" s="8"/>
      <c r="CE37" s="8"/>
      <c r="CF37" s="8"/>
      <c r="CG37" s="8"/>
      <c r="CH37" s="8"/>
    </row>
    <row r="38" spans="1:93" ht="15.75" customHeight="1">
      <c r="A38" s="24" t="s">
        <v>335</v>
      </c>
      <c r="B38" s="28">
        <v>32</v>
      </c>
      <c r="C38" s="42" t="s">
        <v>336</v>
      </c>
      <c r="D38" s="24" t="s">
        <v>337</v>
      </c>
      <c r="E38" s="24" t="s">
        <v>338</v>
      </c>
      <c r="F38" s="8"/>
      <c r="G38" s="24" t="s">
        <v>339</v>
      </c>
      <c r="H38" s="24" t="s">
        <v>58</v>
      </c>
      <c r="I38" s="24" t="s">
        <v>73</v>
      </c>
      <c r="J38" s="24" t="s">
        <v>340</v>
      </c>
      <c r="K38" s="24" t="s">
        <v>341</v>
      </c>
      <c r="L38" s="61">
        <v>46083</v>
      </c>
      <c r="M38" s="36">
        <v>0.109</v>
      </c>
      <c r="N38" s="36">
        <v>0.41399999999999998</v>
      </c>
      <c r="O38" s="8"/>
      <c r="P38" s="8"/>
      <c r="Q38" s="8"/>
      <c r="R38" s="8"/>
      <c r="S38" s="8"/>
      <c r="T38" s="36">
        <v>0.27700000000000002</v>
      </c>
      <c r="U38" s="8"/>
      <c r="V38" s="8"/>
      <c r="W38" s="8"/>
      <c r="X38" s="8"/>
      <c r="Y38" s="8"/>
      <c r="Z38" s="36">
        <v>0.28899999999999998</v>
      </c>
      <c r="AA38" s="8"/>
      <c r="AB38" s="8"/>
      <c r="AC38" s="8"/>
      <c r="AD38" s="8"/>
      <c r="AE38" s="8"/>
      <c r="AF38" s="40">
        <v>0.02</v>
      </c>
      <c r="AG38" s="8"/>
      <c r="AH38" s="8"/>
      <c r="AI38" s="8"/>
      <c r="AJ38" s="8"/>
      <c r="AK38" s="8"/>
      <c r="AL38" s="40">
        <v>0</v>
      </c>
      <c r="AM38" s="8"/>
      <c r="AN38" s="8"/>
      <c r="AO38" s="8"/>
      <c r="AP38" s="8"/>
      <c r="AQ38" s="8"/>
      <c r="AR38" s="24">
        <v>72.2</v>
      </c>
      <c r="AS38" s="8"/>
      <c r="AT38" s="8"/>
      <c r="AU38" s="8"/>
      <c r="AV38" s="8"/>
      <c r="AW38" s="8"/>
      <c r="AX38" s="36">
        <v>0.72699999999999998</v>
      </c>
      <c r="AY38" s="8"/>
      <c r="AZ38" s="8"/>
      <c r="BA38" s="8"/>
      <c r="BB38" s="8"/>
      <c r="BC38" s="8"/>
      <c r="BD38" s="36">
        <v>0.41599999999999998</v>
      </c>
      <c r="BE38" s="8"/>
      <c r="BF38" s="8"/>
      <c r="BG38" s="8"/>
      <c r="BH38" s="8"/>
      <c r="BI38" s="8"/>
      <c r="BJ38" s="36">
        <v>0.08</v>
      </c>
      <c r="BK38" s="8"/>
      <c r="BL38" s="8"/>
      <c r="BM38" s="8"/>
      <c r="BN38" s="8"/>
      <c r="BO38" s="8"/>
      <c r="BP38" s="24">
        <v>7</v>
      </c>
      <c r="BQ38" s="8"/>
      <c r="BR38" s="8"/>
      <c r="BS38" s="8"/>
      <c r="BT38" s="8"/>
      <c r="BU38" s="8"/>
      <c r="BV38" s="24" t="s">
        <v>316</v>
      </c>
      <c r="BW38" s="8"/>
      <c r="BX38" s="8"/>
      <c r="BY38" s="8"/>
      <c r="BZ38" s="8"/>
      <c r="CA38" s="8"/>
      <c r="CB38" s="24" t="s">
        <v>342</v>
      </c>
      <c r="CC38" s="24" t="s">
        <v>343</v>
      </c>
      <c r="CD38" s="8"/>
      <c r="CE38" s="8"/>
      <c r="CF38" s="8"/>
      <c r="CG38" s="8"/>
      <c r="CH38" s="8"/>
    </row>
    <row r="39" spans="1:93" ht="15.75" customHeight="1">
      <c r="A39" s="62">
        <v>45665</v>
      </c>
      <c r="B39" s="28">
        <v>33</v>
      </c>
      <c r="C39" s="31" t="s">
        <v>344</v>
      </c>
      <c r="D39" s="24" t="s">
        <v>345</v>
      </c>
      <c r="E39" s="8"/>
      <c r="F39" s="8"/>
      <c r="G39" s="24" t="s">
        <v>346</v>
      </c>
      <c r="H39" s="24" t="s">
        <v>323</v>
      </c>
      <c r="I39" s="24" t="s">
        <v>45</v>
      </c>
      <c r="J39" s="24" t="s">
        <v>46</v>
      </c>
      <c r="K39" s="24" t="s">
        <v>347</v>
      </c>
      <c r="L39" s="24">
        <v>6</v>
      </c>
      <c r="M39" s="36">
        <v>9.1200000000000003E-2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</row>
    <row r="40" spans="1:93" ht="15.75" customHeight="1">
      <c r="A40" s="63">
        <v>46036</v>
      </c>
      <c r="B40" s="64">
        <v>34</v>
      </c>
      <c r="C40" s="65" t="s">
        <v>348</v>
      </c>
      <c r="D40" s="66" t="s">
        <v>349</v>
      </c>
      <c r="F40" s="66" t="s">
        <v>350</v>
      </c>
      <c r="G40" s="66" t="s">
        <v>351</v>
      </c>
      <c r="H40" s="66" t="s">
        <v>323</v>
      </c>
      <c r="I40" s="66" t="s">
        <v>73</v>
      </c>
      <c r="J40" s="66" t="s">
        <v>340</v>
      </c>
      <c r="K40" s="66" t="s">
        <v>352</v>
      </c>
    </row>
    <row r="41" spans="1:93" ht="15.75" customHeight="1">
      <c r="A41" s="63">
        <v>46037</v>
      </c>
      <c r="B41" s="64">
        <v>35</v>
      </c>
      <c r="C41" s="65" t="s">
        <v>353</v>
      </c>
      <c r="D41" s="66" t="s">
        <v>354</v>
      </c>
      <c r="F41" s="66" t="s">
        <v>355</v>
      </c>
      <c r="G41" s="66" t="s">
        <v>356</v>
      </c>
      <c r="H41" s="66" t="s">
        <v>58</v>
      </c>
      <c r="I41" s="66" t="s">
        <v>73</v>
      </c>
      <c r="J41" s="66" t="s">
        <v>46</v>
      </c>
      <c r="K41" s="66" t="s">
        <v>357</v>
      </c>
    </row>
    <row r="42" spans="1:93" s="94" customFormat="1" ht="15.75" customHeight="1">
      <c r="A42" s="63">
        <v>46041</v>
      </c>
      <c r="B42" s="64">
        <v>36</v>
      </c>
      <c r="C42" s="64" t="s">
        <v>481</v>
      </c>
      <c r="D42" s="66" t="s">
        <v>482</v>
      </c>
      <c r="F42" s="66" t="s">
        <v>483</v>
      </c>
      <c r="G42" s="66" t="s">
        <v>484</v>
      </c>
      <c r="H42" s="66" t="s">
        <v>485</v>
      </c>
      <c r="I42" s="66" t="s">
        <v>73</v>
      </c>
      <c r="J42" s="66" t="s">
        <v>46</v>
      </c>
      <c r="K42" s="66" t="s">
        <v>486</v>
      </c>
      <c r="L42" s="80">
        <v>46115</v>
      </c>
      <c r="M42" s="78">
        <v>8.0600000000000005E-2</v>
      </c>
    </row>
    <row r="43" spans="1:93" ht="15.75" customHeight="1">
      <c r="B43" s="1"/>
      <c r="C43" s="1"/>
    </row>
    <row r="44" spans="1:93" ht="15.75" customHeight="1">
      <c r="B44" s="1"/>
      <c r="C44" s="1"/>
    </row>
    <row r="45" spans="1:93" ht="15.75" customHeight="1">
      <c r="B45" s="1"/>
      <c r="C45" s="1"/>
    </row>
    <row r="46" spans="1:93" ht="15.75" customHeight="1">
      <c r="B46" s="1"/>
      <c r="C46" s="1"/>
    </row>
    <row r="47" spans="1:93" ht="15.75" customHeight="1">
      <c r="B47" s="1"/>
      <c r="C47" s="1"/>
    </row>
    <row r="48" spans="1:93" ht="15.75" customHeight="1">
      <c r="B48" s="1"/>
      <c r="C48" s="1"/>
    </row>
    <row r="49" spans="2:3" ht="15.75" customHeight="1">
      <c r="B49" s="1"/>
      <c r="C49" s="1"/>
    </row>
    <row r="50" spans="2:3" ht="15.75" customHeight="1">
      <c r="B50" s="1"/>
      <c r="C50" s="1"/>
    </row>
    <row r="51" spans="2:3" ht="15.75" customHeight="1">
      <c r="B51" s="1"/>
      <c r="C51" s="1"/>
    </row>
    <row r="52" spans="2:3" ht="15.75" customHeight="1">
      <c r="B52" s="1"/>
      <c r="C52" s="1"/>
    </row>
    <row r="53" spans="2:3" ht="15.75" customHeight="1">
      <c r="B53" s="1"/>
      <c r="C53" s="1"/>
    </row>
    <row r="54" spans="2:3" ht="15.75" customHeight="1">
      <c r="B54" s="1"/>
      <c r="C54" s="1"/>
    </row>
    <row r="55" spans="2:3" ht="15.75" customHeight="1">
      <c r="B55" s="1"/>
      <c r="C55" s="1"/>
    </row>
    <row r="56" spans="2:3" ht="15.75" customHeight="1">
      <c r="B56" s="1"/>
      <c r="C56" s="1"/>
    </row>
    <row r="57" spans="2:3" ht="15.75" customHeight="1">
      <c r="B57" s="1"/>
      <c r="C57" s="1"/>
    </row>
    <row r="58" spans="2:3" ht="15.75" customHeight="1">
      <c r="B58" s="1"/>
      <c r="C58" s="1"/>
    </row>
    <row r="59" spans="2:3" ht="15.75" customHeight="1">
      <c r="B59" s="1"/>
      <c r="C59" s="1"/>
    </row>
    <row r="60" spans="2:3" ht="15.75" customHeight="1">
      <c r="B60" s="1"/>
      <c r="C60" s="1"/>
    </row>
    <row r="61" spans="2:3" ht="15.75" customHeight="1">
      <c r="B61" s="1"/>
      <c r="C61" s="1"/>
    </row>
    <row r="62" spans="2:3" ht="15.75" customHeight="1">
      <c r="B62" s="1"/>
      <c r="C62" s="1"/>
    </row>
    <row r="63" spans="2:3" ht="15.75" customHeight="1">
      <c r="B63" s="1"/>
      <c r="C63" s="1"/>
    </row>
    <row r="64" spans="2:3" ht="15.75" customHeight="1">
      <c r="B64" s="1"/>
      <c r="C64" s="1"/>
    </row>
    <row r="65" spans="2:3" ht="15.75" customHeight="1">
      <c r="B65" s="1"/>
      <c r="C65" s="1"/>
    </row>
    <row r="66" spans="2:3" ht="15.75" customHeight="1">
      <c r="B66" s="1"/>
      <c r="C66" s="1"/>
    </row>
    <row r="67" spans="2:3" ht="15.75" customHeight="1">
      <c r="B67" s="1"/>
      <c r="C67" s="1"/>
    </row>
    <row r="68" spans="2:3" ht="15.75" customHeight="1">
      <c r="B68" s="1"/>
      <c r="C68" s="1"/>
    </row>
    <row r="69" spans="2:3" ht="15.75" customHeight="1">
      <c r="B69" s="1"/>
      <c r="C69" s="1"/>
    </row>
    <row r="70" spans="2:3" ht="15.75" customHeight="1">
      <c r="B70" s="1"/>
      <c r="C70" s="1"/>
    </row>
    <row r="71" spans="2:3" ht="15.75" customHeight="1">
      <c r="B71" s="1"/>
      <c r="C71" s="1"/>
    </row>
    <row r="72" spans="2:3" ht="15.75" customHeight="1">
      <c r="B72" s="1"/>
      <c r="C72" s="1"/>
    </row>
    <row r="73" spans="2:3" ht="15.75" customHeight="1">
      <c r="B73" s="1"/>
      <c r="C73" s="1"/>
    </row>
    <row r="74" spans="2:3" ht="15.75" customHeight="1">
      <c r="B74" s="1"/>
      <c r="C74" s="1"/>
    </row>
    <row r="75" spans="2:3" ht="15.75" customHeight="1">
      <c r="B75" s="1"/>
      <c r="C75" s="1"/>
    </row>
    <row r="76" spans="2:3" ht="15.75" customHeight="1">
      <c r="B76" s="1"/>
      <c r="C76" s="1"/>
    </row>
    <row r="77" spans="2:3" ht="15.75" customHeight="1">
      <c r="B77" s="1"/>
      <c r="C77" s="1"/>
    </row>
    <row r="78" spans="2:3" ht="15.75" customHeight="1">
      <c r="B78" s="1"/>
      <c r="C78" s="1"/>
    </row>
    <row r="79" spans="2:3" ht="15.75" customHeight="1">
      <c r="B79" s="1"/>
      <c r="C79" s="1"/>
    </row>
    <row r="80" spans="2:3" ht="15.75" customHeight="1">
      <c r="B80" s="1"/>
      <c r="C80" s="1"/>
    </row>
    <row r="81" spans="2:3" ht="15.75" customHeight="1">
      <c r="B81" s="1"/>
      <c r="C81" s="1"/>
    </row>
    <row r="82" spans="2:3" ht="15.75" customHeight="1">
      <c r="B82" s="1"/>
      <c r="C82" s="1"/>
    </row>
    <row r="83" spans="2:3" ht="15.75" customHeight="1">
      <c r="B83" s="1"/>
      <c r="C83" s="1"/>
    </row>
    <row r="84" spans="2:3" ht="15.75" customHeight="1">
      <c r="B84" s="1"/>
      <c r="C84" s="1"/>
    </row>
    <row r="85" spans="2:3" ht="15.75" customHeight="1">
      <c r="B85" s="1"/>
      <c r="C85" s="1"/>
    </row>
    <row r="86" spans="2:3" ht="15.75" customHeight="1">
      <c r="B86" s="1"/>
      <c r="C86" s="1"/>
    </row>
    <row r="87" spans="2:3" ht="15.75" customHeight="1">
      <c r="B87" s="1"/>
      <c r="C87" s="1"/>
    </row>
    <row r="88" spans="2:3" ht="15.75" customHeight="1">
      <c r="B88" s="1"/>
      <c r="C88" s="1"/>
    </row>
    <row r="89" spans="2:3" ht="15.75" customHeight="1">
      <c r="B89" s="1"/>
      <c r="C89" s="1"/>
    </row>
    <row r="90" spans="2:3" ht="15.75" customHeight="1">
      <c r="B90" s="1"/>
      <c r="C90" s="1"/>
    </row>
    <row r="91" spans="2:3" ht="15.75" customHeight="1">
      <c r="B91" s="1"/>
      <c r="C91" s="1"/>
    </row>
    <row r="92" spans="2:3" ht="15.75" customHeight="1">
      <c r="B92" s="1"/>
      <c r="C92" s="1"/>
    </row>
    <row r="93" spans="2:3" ht="15.75" customHeight="1">
      <c r="B93" s="1"/>
      <c r="C93" s="1"/>
    </row>
    <row r="94" spans="2:3" ht="15.75" customHeight="1">
      <c r="B94" s="1"/>
      <c r="C94" s="1"/>
    </row>
    <row r="95" spans="2:3" ht="15.75" customHeight="1">
      <c r="B95" s="1"/>
      <c r="C95" s="1"/>
    </row>
    <row r="96" spans="2:3" ht="15.75" customHeight="1">
      <c r="B96" s="1"/>
      <c r="C96" s="1"/>
    </row>
    <row r="97" spans="2:3" ht="15.75" customHeight="1">
      <c r="B97" s="1"/>
      <c r="C97" s="1"/>
    </row>
    <row r="98" spans="2:3" ht="15.75" customHeight="1">
      <c r="B98" s="1"/>
      <c r="C98" s="1"/>
    </row>
    <row r="99" spans="2:3" ht="15.75" customHeight="1">
      <c r="B99" s="1"/>
      <c r="C99" s="1"/>
    </row>
    <row r="100" spans="2:3" ht="15.75" customHeight="1">
      <c r="B100" s="1"/>
      <c r="C100" s="1"/>
    </row>
    <row r="101" spans="2:3" ht="15.75" customHeight="1">
      <c r="B101" s="1"/>
      <c r="C101" s="1"/>
    </row>
    <row r="102" spans="2:3" ht="15.75" customHeight="1">
      <c r="B102" s="1"/>
      <c r="C102" s="1"/>
    </row>
    <row r="103" spans="2:3" ht="15.75" customHeight="1">
      <c r="B103" s="1"/>
      <c r="C103" s="1"/>
    </row>
    <row r="104" spans="2:3" ht="15.75" customHeight="1">
      <c r="B104" s="1"/>
      <c r="C104" s="1"/>
    </row>
    <row r="105" spans="2:3" ht="15.75" customHeight="1">
      <c r="B105" s="1"/>
      <c r="C105" s="1"/>
    </row>
    <row r="106" spans="2:3" ht="15.75" customHeight="1">
      <c r="B106" s="1"/>
      <c r="C106" s="1"/>
    </row>
    <row r="107" spans="2:3" ht="15.75" customHeight="1">
      <c r="B107" s="1"/>
      <c r="C107" s="1"/>
    </row>
    <row r="108" spans="2:3" ht="15.75" customHeight="1">
      <c r="B108" s="1"/>
      <c r="C108" s="1"/>
    </row>
    <row r="109" spans="2:3" ht="15.75" customHeight="1">
      <c r="B109" s="1"/>
      <c r="C109" s="1"/>
    </row>
    <row r="110" spans="2:3" ht="15.75" customHeight="1">
      <c r="B110" s="1"/>
      <c r="C110" s="1"/>
    </row>
    <row r="111" spans="2:3" ht="15.75" customHeight="1">
      <c r="B111" s="1"/>
      <c r="C111" s="1"/>
    </row>
    <row r="112" spans="2:3" ht="15.75" customHeight="1">
      <c r="B112" s="1"/>
      <c r="C112" s="1"/>
    </row>
    <row r="113" spans="2:3" ht="15.75" customHeight="1">
      <c r="B113" s="1"/>
      <c r="C113" s="1"/>
    </row>
    <row r="114" spans="2:3" ht="15.75" customHeight="1">
      <c r="B114" s="1"/>
      <c r="C114" s="1"/>
    </row>
    <row r="115" spans="2:3" ht="15.75" customHeight="1">
      <c r="B115" s="1"/>
      <c r="C115" s="1"/>
    </row>
    <row r="116" spans="2:3" ht="15.75" customHeight="1">
      <c r="B116" s="1"/>
      <c r="C116" s="1"/>
    </row>
    <row r="117" spans="2:3" ht="15.75" customHeight="1">
      <c r="B117" s="1"/>
      <c r="C117" s="1"/>
    </row>
    <row r="118" spans="2:3" ht="15.75" customHeight="1">
      <c r="B118" s="1"/>
      <c r="C118" s="1"/>
    </row>
    <row r="119" spans="2:3" ht="15.75" customHeight="1">
      <c r="B119" s="1"/>
      <c r="C119" s="1"/>
    </row>
    <row r="120" spans="2:3" ht="15.75" customHeight="1">
      <c r="B120" s="1"/>
      <c r="C120" s="1"/>
    </row>
    <row r="121" spans="2:3" ht="15.75" customHeight="1">
      <c r="B121" s="1"/>
      <c r="C121" s="1"/>
    </row>
    <row r="122" spans="2:3" ht="15.75" customHeight="1">
      <c r="B122" s="1"/>
      <c r="C122" s="1"/>
    </row>
    <row r="123" spans="2:3" ht="15.75" customHeight="1">
      <c r="B123" s="1"/>
      <c r="C123" s="1"/>
    </row>
    <row r="124" spans="2:3" ht="15.75" customHeight="1">
      <c r="B124" s="1"/>
      <c r="C124" s="1"/>
    </row>
    <row r="125" spans="2:3" ht="15.75" customHeight="1">
      <c r="B125" s="1"/>
      <c r="C125" s="1"/>
    </row>
    <row r="126" spans="2:3" ht="15.75" customHeight="1">
      <c r="B126" s="1"/>
      <c r="C126" s="1"/>
    </row>
    <row r="127" spans="2:3" ht="15.75" customHeight="1">
      <c r="B127" s="1"/>
      <c r="C127" s="1"/>
    </row>
    <row r="128" spans="2:3" ht="15.75" customHeight="1">
      <c r="B128" s="1"/>
      <c r="C128" s="1"/>
    </row>
    <row r="129" spans="2:3" ht="15.75" customHeight="1">
      <c r="B129" s="1"/>
      <c r="C129" s="1"/>
    </row>
    <row r="130" spans="2:3" ht="15.75" customHeight="1">
      <c r="B130" s="1"/>
      <c r="C130" s="1"/>
    </row>
    <row r="131" spans="2:3" ht="15.75" customHeight="1">
      <c r="B131" s="1"/>
      <c r="C131" s="1"/>
    </row>
    <row r="132" spans="2:3" ht="15.75" customHeight="1">
      <c r="B132" s="1"/>
      <c r="C132" s="1"/>
    </row>
    <row r="133" spans="2:3" ht="15.75" customHeight="1">
      <c r="B133" s="1"/>
      <c r="C133" s="1"/>
    </row>
    <row r="134" spans="2:3" ht="15.75" customHeight="1">
      <c r="B134" s="1"/>
      <c r="C134" s="1"/>
    </row>
    <row r="135" spans="2:3" ht="15.75" customHeight="1">
      <c r="B135" s="1"/>
      <c r="C135" s="1"/>
    </row>
    <row r="136" spans="2:3" ht="15.75" customHeight="1">
      <c r="B136" s="1"/>
      <c r="C136" s="1"/>
    </row>
    <row r="137" spans="2:3" ht="15.75" customHeight="1">
      <c r="B137" s="1"/>
      <c r="C137" s="1"/>
    </row>
    <row r="138" spans="2:3" ht="15.75" customHeight="1">
      <c r="B138" s="1"/>
      <c r="C138" s="1"/>
    </row>
    <row r="139" spans="2:3" ht="15.75" customHeight="1">
      <c r="B139" s="1"/>
      <c r="C139" s="1"/>
    </row>
    <row r="140" spans="2:3" ht="15.75" customHeight="1">
      <c r="B140" s="1"/>
      <c r="C140" s="1"/>
    </row>
    <row r="141" spans="2:3" ht="15.75" customHeight="1">
      <c r="B141" s="1"/>
      <c r="C141" s="1"/>
    </row>
    <row r="142" spans="2:3" ht="15.75" customHeight="1">
      <c r="B142" s="1"/>
      <c r="C142" s="1"/>
    </row>
    <row r="143" spans="2:3" ht="15.75" customHeight="1">
      <c r="B143" s="1"/>
      <c r="C143" s="1"/>
    </row>
    <row r="144" spans="2:3" ht="15.75" customHeight="1">
      <c r="B144" s="1"/>
      <c r="C144" s="1"/>
    </row>
    <row r="145" spans="2:3" ht="15.75" customHeight="1">
      <c r="B145" s="1"/>
      <c r="C145" s="1"/>
    </row>
    <row r="146" spans="2:3" ht="15.75" customHeight="1">
      <c r="B146" s="1"/>
      <c r="C146" s="1"/>
    </row>
    <row r="147" spans="2:3" ht="15.75" customHeight="1">
      <c r="B147" s="1"/>
      <c r="C147" s="1"/>
    </row>
    <row r="148" spans="2:3" ht="15.75" customHeight="1">
      <c r="B148" s="1"/>
      <c r="C148" s="1"/>
    </row>
    <row r="149" spans="2:3" ht="15.75" customHeight="1">
      <c r="B149" s="1"/>
      <c r="C149" s="1"/>
    </row>
    <row r="150" spans="2:3" ht="15.75" customHeight="1">
      <c r="B150" s="1"/>
      <c r="C150" s="1"/>
    </row>
    <row r="151" spans="2:3" ht="15.75" customHeight="1">
      <c r="B151" s="1"/>
      <c r="C151" s="1"/>
    </row>
    <row r="152" spans="2:3" ht="15.75" customHeight="1">
      <c r="B152" s="1"/>
      <c r="C152" s="1"/>
    </row>
    <row r="153" spans="2:3" ht="15.75" customHeight="1">
      <c r="B153" s="1"/>
      <c r="C153" s="1"/>
    </row>
    <row r="154" spans="2:3" ht="15.75" customHeight="1">
      <c r="B154" s="1"/>
      <c r="C154" s="1"/>
    </row>
    <row r="155" spans="2:3" ht="15.75" customHeight="1">
      <c r="B155" s="1"/>
      <c r="C155" s="1"/>
    </row>
    <row r="156" spans="2:3" ht="15.75" customHeight="1">
      <c r="B156" s="1"/>
      <c r="C156" s="1"/>
    </row>
    <row r="157" spans="2:3" ht="15.75" customHeight="1">
      <c r="B157" s="1"/>
      <c r="C157" s="1"/>
    </row>
    <row r="158" spans="2:3" ht="15.75" customHeight="1">
      <c r="B158" s="1"/>
      <c r="C158" s="1"/>
    </row>
    <row r="159" spans="2:3" ht="15.75" customHeight="1">
      <c r="B159" s="1"/>
      <c r="C159" s="1"/>
    </row>
    <row r="160" spans="2:3" ht="15.75" customHeight="1">
      <c r="B160" s="1"/>
      <c r="C160" s="1"/>
    </row>
    <row r="161" spans="2:3" ht="15.75" customHeight="1">
      <c r="B161" s="1"/>
      <c r="C161" s="1"/>
    </row>
    <row r="162" spans="2:3" ht="15.75" customHeight="1">
      <c r="B162" s="1"/>
      <c r="C162" s="1"/>
    </row>
    <row r="163" spans="2:3" ht="15.75" customHeight="1">
      <c r="B163" s="1"/>
      <c r="C163" s="1"/>
    </row>
    <row r="164" spans="2:3" ht="15.75" customHeight="1">
      <c r="B164" s="1"/>
      <c r="C164" s="1"/>
    </row>
    <row r="165" spans="2:3" ht="15.75" customHeight="1">
      <c r="B165" s="1"/>
      <c r="C165" s="1"/>
    </row>
    <row r="166" spans="2:3" ht="15.75" customHeight="1">
      <c r="B166" s="1"/>
      <c r="C166" s="1"/>
    </row>
    <row r="167" spans="2:3" ht="15.75" customHeight="1">
      <c r="B167" s="1"/>
      <c r="C167" s="1"/>
    </row>
    <row r="168" spans="2:3" ht="15.75" customHeight="1">
      <c r="B168" s="1"/>
      <c r="C168" s="1"/>
    </row>
    <row r="169" spans="2:3" ht="15.75" customHeight="1">
      <c r="B169" s="1"/>
      <c r="C169" s="1"/>
    </row>
    <row r="170" spans="2:3" ht="15.75" customHeight="1">
      <c r="B170" s="1"/>
      <c r="C170" s="1"/>
    </row>
    <row r="171" spans="2:3" ht="15.75" customHeight="1">
      <c r="B171" s="1"/>
      <c r="C171" s="1"/>
    </row>
    <row r="172" spans="2:3" ht="15.75" customHeight="1">
      <c r="B172" s="1"/>
      <c r="C172" s="1"/>
    </row>
    <row r="173" spans="2:3" ht="15.75" customHeight="1">
      <c r="B173" s="1"/>
      <c r="C173" s="1"/>
    </row>
    <row r="174" spans="2:3" ht="15.75" customHeight="1">
      <c r="B174" s="1"/>
      <c r="C174" s="1"/>
    </row>
    <row r="175" spans="2:3" ht="15.75" customHeight="1">
      <c r="B175" s="1"/>
      <c r="C175" s="1"/>
    </row>
    <row r="176" spans="2:3" ht="15.75" customHeight="1">
      <c r="B176" s="1"/>
      <c r="C176" s="1"/>
    </row>
    <row r="177" spans="2:3" ht="15.75" customHeight="1">
      <c r="B177" s="1"/>
      <c r="C177" s="1"/>
    </row>
    <row r="178" spans="2:3" ht="15.75" customHeight="1">
      <c r="B178" s="1"/>
      <c r="C178" s="1"/>
    </row>
    <row r="179" spans="2:3" ht="15.75" customHeight="1">
      <c r="B179" s="1"/>
      <c r="C179" s="1"/>
    </row>
    <row r="180" spans="2:3" ht="15.75" customHeight="1">
      <c r="B180" s="1"/>
      <c r="C180" s="1"/>
    </row>
    <row r="181" spans="2:3" ht="15.75" customHeight="1">
      <c r="B181" s="1"/>
      <c r="C181" s="1"/>
    </row>
    <row r="182" spans="2:3" ht="15.75" customHeight="1">
      <c r="B182" s="1"/>
      <c r="C182" s="1"/>
    </row>
    <row r="183" spans="2:3" ht="15.75" customHeight="1">
      <c r="B183" s="1"/>
      <c r="C183" s="1"/>
    </row>
    <row r="184" spans="2:3" ht="15.75" customHeight="1">
      <c r="B184" s="1"/>
      <c r="C184" s="1"/>
    </row>
    <row r="185" spans="2:3" ht="15.75" customHeight="1">
      <c r="B185" s="1"/>
      <c r="C185" s="1"/>
    </row>
    <row r="186" spans="2:3" ht="15.75" customHeight="1">
      <c r="B186" s="1"/>
      <c r="C186" s="1"/>
    </row>
    <row r="187" spans="2:3" ht="15.75" customHeight="1">
      <c r="B187" s="1"/>
      <c r="C187" s="1"/>
    </row>
    <row r="188" spans="2:3" ht="15.75" customHeight="1">
      <c r="B188" s="1"/>
      <c r="C188" s="1"/>
    </row>
    <row r="189" spans="2:3" ht="15.75" customHeight="1">
      <c r="B189" s="1"/>
      <c r="C189" s="1"/>
    </row>
    <row r="190" spans="2:3" ht="15.75" customHeight="1">
      <c r="B190" s="1"/>
      <c r="C190" s="1"/>
    </row>
    <row r="191" spans="2:3" ht="15.75" customHeight="1">
      <c r="B191" s="1"/>
      <c r="C191" s="1"/>
    </row>
    <row r="192" spans="2:3" ht="15.75" customHeight="1">
      <c r="B192" s="1"/>
      <c r="C192" s="1"/>
    </row>
    <row r="193" spans="2:3" ht="15.75" customHeight="1">
      <c r="B193" s="1"/>
      <c r="C193" s="1"/>
    </row>
    <row r="194" spans="2:3" ht="15.75" customHeight="1">
      <c r="B194" s="1"/>
      <c r="C194" s="1"/>
    </row>
    <row r="195" spans="2:3" ht="15.75" customHeight="1">
      <c r="B195" s="1"/>
      <c r="C195" s="1"/>
    </row>
    <row r="196" spans="2:3" ht="15.75" customHeight="1">
      <c r="B196" s="1"/>
      <c r="C196" s="1"/>
    </row>
    <row r="197" spans="2:3" ht="15.75" customHeight="1">
      <c r="B197" s="1"/>
      <c r="C197" s="1"/>
    </row>
    <row r="198" spans="2:3" ht="15.75" customHeight="1">
      <c r="B198" s="1"/>
      <c r="C198" s="1"/>
    </row>
    <row r="199" spans="2:3" ht="15.75" customHeight="1">
      <c r="B199" s="1"/>
      <c r="C199" s="1"/>
    </row>
    <row r="200" spans="2:3" ht="15.75" customHeight="1">
      <c r="B200" s="1"/>
      <c r="C200" s="1"/>
    </row>
    <row r="201" spans="2:3" ht="15.75" customHeight="1">
      <c r="B201" s="1"/>
      <c r="C201" s="1"/>
    </row>
    <row r="202" spans="2:3" ht="15.75" customHeight="1">
      <c r="B202" s="1"/>
      <c r="C202" s="1"/>
    </row>
    <row r="203" spans="2:3" ht="15.75" customHeight="1">
      <c r="B203" s="1"/>
      <c r="C203" s="1"/>
    </row>
    <row r="204" spans="2:3" ht="15.75" customHeight="1">
      <c r="B204" s="1"/>
      <c r="C204" s="1"/>
    </row>
    <row r="205" spans="2:3" ht="15.75" customHeight="1">
      <c r="B205" s="1"/>
      <c r="C205" s="1"/>
    </row>
    <row r="206" spans="2:3" ht="15.75" customHeight="1">
      <c r="B206" s="1"/>
      <c r="C206" s="1"/>
    </row>
    <row r="207" spans="2:3" ht="15.75" customHeight="1">
      <c r="B207" s="1"/>
      <c r="C207" s="1"/>
    </row>
    <row r="208" spans="2:3" ht="15.75" customHeight="1">
      <c r="B208" s="1"/>
      <c r="C208" s="1"/>
    </row>
    <row r="209" spans="2:3" ht="15.75" customHeight="1">
      <c r="B209" s="1"/>
      <c r="C209" s="1"/>
    </row>
    <row r="210" spans="2:3" ht="15.75" customHeight="1">
      <c r="B210" s="1"/>
      <c r="C210" s="1"/>
    </row>
    <row r="211" spans="2:3" ht="15.75" customHeight="1">
      <c r="B211" s="1"/>
      <c r="C211" s="1"/>
    </row>
    <row r="212" spans="2:3" ht="15.75" customHeight="1">
      <c r="B212" s="1"/>
      <c r="C212" s="1"/>
    </row>
    <row r="213" spans="2:3" ht="15.75" customHeight="1">
      <c r="B213" s="1"/>
      <c r="C213" s="1"/>
    </row>
    <row r="214" spans="2:3" ht="15.75" customHeight="1">
      <c r="B214" s="1"/>
      <c r="C214" s="1"/>
    </row>
    <row r="215" spans="2:3" ht="15.75" customHeight="1">
      <c r="B215" s="1"/>
      <c r="C215" s="1"/>
    </row>
    <row r="216" spans="2:3" ht="15.75" customHeight="1">
      <c r="B216" s="1"/>
      <c r="C216" s="1"/>
    </row>
    <row r="217" spans="2:3" ht="15.75" customHeight="1">
      <c r="B217" s="1"/>
      <c r="C217" s="1"/>
    </row>
    <row r="218" spans="2:3" ht="15.75" customHeight="1">
      <c r="B218" s="1"/>
      <c r="C218" s="1"/>
    </row>
    <row r="219" spans="2:3" ht="15.75" customHeight="1">
      <c r="B219" s="1"/>
      <c r="C219" s="1"/>
    </row>
    <row r="220" spans="2:3" ht="15.75" customHeight="1">
      <c r="B220" s="1"/>
      <c r="C220" s="1"/>
    </row>
    <row r="221" spans="2:3" ht="15.75" customHeight="1">
      <c r="B221" s="1"/>
      <c r="C221" s="1"/>
    </row>
    <row r="222" spans="2:3" ht="15.75" customHeight="1">
      <c r="B222" s="1"/>
      <c r="C222" s="1"/>
    </row>
    <row r="223" spans="2:3" ht="15.75" customHeight="1">
      <c r="B223" s="1"/>
      <c r="C223" s="1"/>
    </row>
    <row r="224" spans="2:3" ht="15.75" customHeight="1">
      <c r="B224" s="1"/>
      <c r="C224" s="1"/>
    </row>
    <row r="225" spans="2:3" ht="15.75" customHeight="1">
      <c r="B225" s="1"/>
      <c r="C225" s="1"/>
    </row>
    <row r="226" spans="2:3" ht="15.75" customHeight="1">
      <c r="B226" s="1"/>
      <c r="C226" s="1"/>
    </row>
    <row r="227" spans="2:3" ht="15.75" customHeight="1">
      <c r="B227" s="1"/>
      <c r="C227" s="1"/>
    </row>
    <row r="228" spans="2:3" ht="15.75" customHeight="1">
      <c r="B228" s="1"/>
      <c r="C228" s="1"/>
    </row>
    <row r="229" spans="2:3" ht="15.75" customHeight="1">
      <c r="B229" s="1"/>
      <c r="C229" s="1"/>
    </row>
    <row r="230" spans="2:3" ht="15.75" customHeight="1">
      <c r="B230" s="1"/>
      <c r="C230" s="1"/>
    </row>
    <row r="231" spans="2:3" ht="15.75" customHeight="1">
      <c r="B231" s="1"/>
      <c r="C231" s="1"/>
    </row>
    <row r="232" spans="2:3" ht="15.75" customHeight="1">
      <c r="B232" s="1"/>
      <c r="C232" s="1"/>
    </row>
    <row r="233" spans="2:3" ht="15.75" customHeight="1">
      <c r="B233" s="1"/>
      <c r="C233" s="1"/>
    </row>
    <row r="234" spans="2:3" ht="15.75" customHeight="1">
      <c r="B234" s="1"/>
      <c r="C234" s="1"/>
    </row>
    <row r="235" spans="2:3" ht="15.75" customHeight="1">
      <c r="B235" s="1"/>
      <c r="C235" s="1"/>
    </row>
    <row r="236" spans="2:3" ht="15.75" customHeight="1">
      <c r="B236" s="1"/>
      <c r="C236" s="1"/>
    </row>
    <row r="237" spans="2:3" ht="15.75" customHeight="1">
      <c r="B237" s="1"/>
      <c r="C237" s="1"/>
    </row>
    <row r="238" spans="2:3" ht="15.75" customHeight="1">
      <c r="B238" s="1"/>
      <c r="C238" s="1"/>
    </row>
    <row r="239" spans="2:3" ht="15.75" customHeight="1">
      <c r="B239" s="1"/>
      <c r="C239" s="1"/>
    </row>
    <row r="240" spans="2:3" ht="15.75" customHeight="1">
      <c r="B240" s="1"/>
      <c r="C240" s="1"/>
    </row>
    <row r="241" spans="2:3" ht="15.75" customHeight="1">
      <c r="B241" s="1"/>
      <c r="C241" s="1"/>
    </row>
    <row r="242" spans="2:3" ht="15.75" customHeight="1">
      <c r="B242" s="1"/>
      <c r="C242" s="1"/>
    </row>
    <row r="243" spans="2:3" ht="15.75" customHeight="1">
      <c r="B243" s="1"/>
      <c r="C243" s="1"/>
    </row>
    <row r="244" spans="2:3" ht="15.75" customHeight="1">
      <c r="B244" s="1"/>
      <c r="C244" s="1"/>
    </row>
    <row r="245" spans="2:3" ht="15.75" customHeight="1">
      <c r="B245" s="1"/>
      <c r="C245" s="1"/>
    </row>
    <row r="246" spans="2:3" ht="15.75" customHeight="1">
      <c r="B246" s="1"/>
      <c r="C246" s="1"/>
    </row>
    <row r="247" spans="2:3" ht="15.75" customHeight="1">
      <c r="B247" s="1"/>
      <c r="C247" s="1"/>
    </row>
    <row r="248" spans="2:3" ht="15.75" customHeight="1">
      <c r="B248" s="1"/>
      <c r="C248" s="1"/>
    </row>
    <row r="249" spans="2:3" ht="15.75" customHeight="1">
      <c r="B249" s="1"/>
      <c r="C249" s="1"/>
    </row>
    <row r="250" spans="2:3" ht="15.75" customHeight="1">
      <c r="B250" s="1"/>
      <c r="C250" s="1"/>
    </row>
    <row r="251" spans="2:3" ht="15.75" customHeight="1">
      <c r="B251" s="1"/>
      <c r="C251" s="1"/>
    </row>
    <row r="252" spans="2:3" ht="15.75" customHeight="1">
      <c r="B252" s="1"/>
      <c r="C252" s="1"/>
    </row>
    <row r="253" spans="2:3" ht="15.75" customHeight="1">
      <c r="B253" s="1"/>
      <c r="C253" s="1"/>
    </row>
    <row r="254" spans="2:3" ht="15.75" customHeight="1">
      <c r="B254" s="1"/>
      <c r="C254" s="1"/>
    </row>
    <row r="255" spans="2:3" ht="15.75" customHeight="1">
      <c r="B255" s="1"/>
      <c r="C255" s="1"/>
    </row>
    <row r="256" spans="2:3" ht="15.75" customHeight="1">
      <c r="B256" s="1"/>
      <c r="C256" s="1"/>
    </row>
    <row r="257" spans="2:3" ht="15.75" customHeight="1">
      <c r="B257" s="1"/>
      <c r="C257" s="1"/>
    </row>
    <row r="258" spans="2:3" ht="15.75" customHeight="1">
      <c r="B258" s="1"/>
      <c r="C258" s="1"/>
    </row>
    <row r="259" spans="2:3" ht="15.75" customHeight="1">
      <c r="B259" s="1"/>
      <c r="C259" s="1"/>
    </row>
    <row r="260" spans="2:3" ht="15.75" customHeight="1">
      <c r="B260" s="1"/>
      <c r="C260" s="1"/>
    </row>
    <row r="261" spans="2:3" ht="15.75" customHeight="1">
      <c r="B261" s="1"/>
      <c r="C261" s="1"/>
    </row>
    <row r="262" spans="2:3" ht="15.75" customHeight="1">
      <c r="B262" s="1"/>
      <c r="C262" s="1"/>
    </row>
    <row r="263" spans="2:3" ht="15.75" customHeight="1">
      <c r="B263" s="1"/>
      <c r="C263" s="1"/>
    </row>
    <row r="264" spans="2:3" ht="15.75" customHeight="1">
      <c r="B264" s="1"/>
      <c r="C264" s="1"/>
    </row>
    <row r="265" spans="2:3" ht="15.75" customHeight="1">
      <c r="B265" s="1"/>
      <c r="C265" s="1"/>
    </row>
    <row r="266" spans="2:3" ht="15.75" customHeight="1">
      <c r="B266" s="1"/>
      <c r="C266" s="1"/>
    </row>
    <row r="267" spans="2:3" ht="15.75" customHeight="1">
      <c r="B267" s="1"/>
      <c r="C267" s="1"/>
    </row>
    <row r="268" spans="2:3" ht="15.75" customHeight="1">
      <c r="B268" s="1"/>
      <c r="C268" s="1"/>
    </row>
    <row r="269" spans="2:3" ht="15.75" customHeight="1">
      <c r="B269" s="1"/>
      <c r="C269" s="1"/>
    </row>
    <row r="270" spans="2:3" ht="15.75" customHeight="1">
      <c r="B270" s="1"/>
      <c r="C270" s="1"/>
    </row>
    <row r="271" spans="2:3" ht="15.75" customHeight="1">
      <c r="B271" s="1"/>
      <c r="C271" s="1"/>
    </row>
    <row r="272" spans="2:3" ht="15.75" customHeight="1">
      <c r="B272" s="1"/>
      <c r="C272" s="1"/>
    </row>
    <row r="273" spans="2:3" ht="15.75" customHeight="1">
      <c r="B273" s="1"/>
      <c r="C273" s="1"/>
    </row>
    <row r="274" spans="2:3" ht="15.75" customHeight="1">
      <c r="B274" s="1"/>
      <c r="C274" s="1"/>
    </row>
    <row r="275" spans="2:3" ht="15.75" customHeight="1">
      <c r="B275" s="1"/>
      <c r="C275" s="1"/>
    </row>
    <row r="276" spans="2:3" ht="15.75" customHeight="1">
      <c r="B276" s="1"/>
      <c r="C276" s="1"/>
    </row>
    <row r="277" spans="2:3" ht="15.75" customHeight="1">
      <c r="B277" s="1"/>
      <c r="C277" s="1"/>
    </row>
    <row r="278" spans="2:3" ht="15.75" customHeight="1">
      <c r="B278" s="1"/>
      <c r="C278" s="1"/>
    </row>
    <row r="279" spans="2:3" ht="15.75" customHeight="1">
      <c r="B279" s="1"/>
      <c r="C279" s="1"/>
    </row>
    <row r="280" spans="2:3" ht="15.75" customHeight="1">
      <c r="B280" s="1"/>
      <c r="C280" s="1"/>
    </row>
    <row r="281" spans="2:3" ht="15.75" customHeight="1">
      <c r="B281" s="1"/>
      <c r="C281" s="1"/>
    </row>
    <row r="282" spans="2:3" ht="15.75" customHeight="1">
      <c r="B282" s="1"/>
      <c r="C282" s="1"/>
    </row>
    <row r="283" spans="2:3" ht="15.75" customHeight="1">
      <c r="B283" s="1"/>
      <c r="C283" s="1"/>
    </row>
    <row r="284" spans="2:3" ht="15.75" customHeight="1">
      <c r="B284" s="1"/>
      <c r="C284" s="1"/>
    </row>
    <row r="285" spans="2:3" ht="15.75" customHeight="1">
      <c r="B285" s="1"/>
      <c r="C285" s="1"/>
    </row>
    <row r="286" spans="2:3" ht="15.75" customHeight="1">
      <c r="B286" s="1"/>
      <c r="C286" s="1"/>
    </row>
    <row r="287" spans="2:3" ht="15.75" customHeight="1">
      <c r="B287" s="1"/>
      <c r="C287" s="1"/>
    </row>
    <row r="288" spans="2:3" ht="15.75" customHeight="1">
      <c r="B288" s="1"/>
      <c r="C288" s="1"/>
    </row>
    <row r="289" spans="2:3" ht="15.75" customHeight="1">
      <c r="B289" s="1"/>
      <c r="C289" s="1"/>
    </row>
    <row r="290" spans="2:3" ht="15.75" customHeight="1">
      <c r="B290" s="1"/>
      <c r="C290" s="1"/>
    </row>
    <row r="291" spans="2:3" ht="15.75" customHeight="1">
      <c r="B291" s="1"/>
      <c r="C291" s="1"/>
    </row>
    <row r="292" spans="2:3" ht="15.75" customHeight="1">
      <c r="B292" s="1"/>
      <c r="C292" s="1"/>
    </row>
    <row r="293" spans="2:3" ht="15.75" customHeight="1">
      <c r="B293" s="1"/>
      <c r="C293" s="1"/>
    </row>
    <row r="294" spans="2:3" ht="15.75" customHeight="1">
      <c r="B294" s="1"/>
      <c r="C294" s="1"/>
    </row>
    <row r="295" spans="2:3" ht="15.75" customHeight="1">
      <c r="B295" s="1"/>
      <c r="C295" s="1"/>
    </row>
    <row r="296" spans="2:3" ht="15.75" customHeight="1">
      <c r="B296" s="1"/>
      <c r="C296" s="1"/>
    </row>
    <row r="297" spans="2:3" ht="15.75" customHeight="1">
      <c r="B297" s="1"/>
      <c r="C297" s="1"/>
    </row>
    <row r="298" spans="2:3" ht="15.75" customHeight="1">
      <c r="B298" s="1"/>
      <c r="C298" s="1"/>
    </row>
    <row r="299" spans="2:3" ht="15.75" customHeight="1">
      <c r="B299" s="1"/>
      <c r="C299" s="1"/>
    </row>
    <row r="300" spans="2:3" ht="15.75" customHeight="1">
      <c r="B300" s="1"/>
      <c r="C300" s="1"/>
    </row>
    <row r="301" spans="2:3" ht="15.75" customHeight="1">
      <c r="B301" s="1"/>
      <c r="C301" s="1"/>
    </row>
    <row r="302" spans="2:3" ht="15.75" customHeight="1">
      <c r="B302" s="1"/>
      <c r="C302" s="1"/>
    </row>
    <row r="303" spans="2:3" ht="15.75" customHeight="1">
      <c r="B303" s="1"/>
      <c r="C303" s="1"/>
    </row>
    <row r="304" spans="2:3" ht="15.75" customHeight="1">
      <c r="B304" s="1"/>
      <c r="C304" s="1"/>
    </row>
    <row r="305" spans="2:3" ht="15.75" customHeight="1">
      <c r="B305" s="1"/>
      <c r="C305" s="1"/>
    </row>
    <row r="306" spans="2:3" ht="15.75" customHeight="1">
      <c r="B306" s="1"/>
      <c r="C306" s="1"/>
    </row>
    <row r="307" spans="2:3" ht="15.75" customHeight="1">
      <c r="B307" s="1"/>
      <c r="C307" s="1"/>
    </row>
    <row r="308" spans="2:3" ht="15.75" customHeight="1">
      <c r="B308" s="1"/>
      <c r="C308" s="1"/>
    </row>
    <row r="309" spans="2:3" ht="15.75" customHeight="1">
      <c r="B309" s="1"/>
      <c r="C309" s="1"/>
    </row>
    <row r="310" spans="2:3" ht="15.75" customHeight="1">
      <c r="B310" s="1"/>
      <c r="C310" s="1"/>
    </row>
    <row r="311" spans="2:3" ht="15.75" customHeight="1">
      <c r="B311" s="1"/>
      <c r="C311" s="1"/>
    </row>
    <row r="312" spans="2:3" ht="15.75" customHeight="1">
      <c r="B312" s="1"/>
      <c r="C312" s="1"/>
    </row>
    <row r="313" spans="2:3" ht="15.75" customHeight="1">
      <c r="B313" s="1"/>
      <c r="C313" s="1"/>
    </row>
    <row r="314" spans="2:3" ht="15.75" customHeight="1">
      <c r="B314" s="1"/>
      <c r="C314" s="1"/>
    </row>
    <row r="315" spans="2:3" ht="15.75" customHeight="1">
      <c r="B315" s="1"/>
      <c r="C315" s="1"/>
    </row>
    <row r="316" spans="2:3" ht="15.75" customHeight="1">
      <c r="B316" s="1"/>
      <c r="C316" s="1"/>
    </row>
    <row r="317" spans="2:3" ht="15.75" customHeight="1">
      <c r="B317" s="1"/>
      <c r="C317" s="1"/>
    </row>
    <row r="318" spans="2:3" ht="15.75" customHeight="1">
      <c r="B318" s="1"/>
      <c r="C318" s="1"/>
    </row>
    <row r="319" spans="2:3" ht="15.75" customHeight="1">
      <c r="B319" s="1"/>
      <c r="C319" s="1"/>
    </row>
    <row r="320" spans="2:3" ht="15.75" customHeight="1">
      <c r="B320" s="1"/>
      <c r="C320" s="1"/>
    </row>
    <row r="321" spans="2:3" ht="15.75" customHeight="1">
      <c r="B321" s="1"/>
      <c r="C321" s="1"/>
    </row>
    <row r="322" spans="2:3" ht="15.75" customHeight="1">
      <c r="B322" s="1"/>
      <c r="C322" s="1"/>
    </row>
    <row r="323" spans="2:3" ht="15.75" customHeight="1">
      <c r="B323" s="1"/>
      <c r="C323" s="1"/>
    </row>
    <row r="324" spans="2:3" ht="15.75" customHeight="1">
      <c r="B324" s="1"/>
      <c r="C324" s="1"/>
    </row>
    <row r="325" spans="2:3" ht="15.75" customHeight="1">
      <c r="B325" s="1"/>
      <c r="C325" s="1"/>
    </row>
    <row r="326" spans="2:3" ht="15.75" customHeight="1">
      <c r="B326" s="1"/>
      <c r="C326" s="1"/>
    </row>
    <row r="327" spans="2:3" ht="15.75" customHeight="1">
      <c r="B327" s="1"/>
      <c r="C327" s="1"/>
    </row>
    <row r="328" spans="2:3" ht="15.75" customHeight="1">
      <c r="B328" s="1"/>
      <c r="C328" s="1"/>
    </row>
    <row r="329" spans="2:3" ht="15.75" customHeight="1">
      <c r="B329" s="1"/>
      <c r="C329" s="1"/>
    </row>
    <row r="330" spans="2:3" ht="15.75" customHeight="1">
      <c r="B330" s="1"/>
      <c r="C330" s="1"/>
    </row>
    <row r="331" spans="2:3" ht="15.75" customHeight="1">
      <c r="B331" s="1"/>
      <c r="C331" s="1"/>
    </row>
    <row r="332" spans="2:3" ht="15.75" customHeight="1">
      <c r="B332" s="1"/>
      <c r="C332" s="1"/>
    </row>
    <row r="333" spans="2:3" ht="15.75" customHeight="1">
      <c r="B333" s="1"/>
      <c r="C333" s="1"/>
    </row>
    <row r="334" spans="2:3" ht="15.75" customHeight="1">
      <c r="B334" s="1"/>
      <c r="C334" s="1"/>
    </row>
    <row r="335" spans="2:3" ht="15.75" customHeight="1">
      <c r="B335" s="1"/>
      <c r="C335" s="1"/>
    </row>
    <row r="336" spans="2:3" ht="15.75" customHeight="1">
      <c r="B336" s="1"/>
      <c r="C336" s="1"/>
    </row>
    <row r="337" spans="2:3" ht="15.75" customHeight="1">
      <c r="B337" s="1"/>
      <c r="C337" s="1"/>
    </row>
    <row r="338" spans="2:3" ht="15.75" customHeight="1">
      <c r="B338" s="1"/>
      <c r="C338" s="1"/>
    </row>
    <row r="339" spans="2:3" ht="15.75" customHeight="1">
      <c r="B339" s="1"/>
      <c r="C339" s="1"/>
    </row>
    <row r="340" spans="2:3" ht="15.75" customHeight="1">
      <c r="B340" s="1"/>
      <c r="C340" s="1"/>
    </row>
    <row r="341" spans="2:3" ht="15.75" customHeight="1">
      <c r="B341" s="1"/>
      <c r="C341" s="1"/>
    </row>
    <row r="342" spans="2:3" ht="15.75" customHeight="1">
      <c r="B342" s="1"/>
      <c r="C342" s="1"/>
    </row>
    <row r="343" spans="2:3" ht="15.75" customHeight="1">
      <c r="B343" s="1"/>
      <c r="C343" s="1"/>
    </row>
    <row r="344" spans="2:3" ht="15.75" customHeight="1">
      <c r="B344" s="1"/>
      <c r="C344" s="1"/>
    </row>
    <row r="345" spans="2:3" ht="15.75" customHeight="1">
      <c r="B345" s="1"/>
      <c r="C345" s="1"/>
    </row>
    <row r="346" spans="2:3" ht="15.75" customHeight="1">
      <c r="B346" s="1"/>
      <c r="C346" s="1"/>
    </row>
    <row r="347" spans="2:3" ht="15.75" customHeight="1">
      <c r="B347" s="1"/>
      <c r="C347" s="1"/>
    </row>
    <row r="348" spans="2:3" ht="15.75" customHeight="1">
      <c r="B348" s="1"/>
      <c r="C348" s="1"/>
    </row>
    <row r="349" spans="2:3" ht="15.75" customHeight="1">
      <c r="B349" s="1"/>
      <c r="C349" s="1"/>
    </row>
    <row r="350" spans="2:3" ht="15.75" customHeight="1">
      <c r="B350" s="1"/>
      <c r="C350" s="1"/>
    </row>
    <row r="351" spans="2:3" ht="15.75" customHeight="1">
      <c r="B351" s="1"/>
      <c r="C351" s="1"/>
    </row>
    <row r="352" spans="2:3" ht="15.75" customHeight="1">
      <c r="B352" s="1"/>
      <c r="C352" s="1"/>
    </row>
    <row r="353" spans="2:3" ht="15.75" customHeight="1">
      <c r="B353" s="1"/>
      <c r="C353" s="1"/>
    </row>
    <row r="354" spans="2:3" ht="15.75" customHeight="1">
      <c r="B354" s="1"/>
      <c r="C354" s="1"/>
    </row>
    <row r="355" spans="2:3" ht="15.75" customHeight="1">
      <c r="B355" s="1"/>
      <c r="C355" s="1"/>
    </row>
    <row r="356" spans="2:3" ht="15.75" customHeight="1">
      <c r="B356" s="1"/>
      <c r="C356" s="1"/>
    </row>
    <row r="357" spans="2:3" ht="15.75" customHeight="1">
      <c r="B357" s="1"/>
      <c r="C357" s="1"/>
    </row>
    <row r="358" spans="2:3" ht="15.75" customHeight="1">
      <c r="B358" s="1"/>
      <c r="C358" s="1"/>
    </row>
    <row r="359" spans="2:3" ht="15.75" customHeight="1">
      <c r="B359" s="1"/>
      <c r="C359" s="1"/>
    </row>
    <row r="360" spans="2:3" ht="15.75" customHeight="1">
      <c r="B360" s="1"/>
      <c r="C360" s="1"/>
    </row>
    <row r="361" spans="2:3" ht="15.75" customHeight="1">
      <c r="B361" s="1"/>
      <c r="C361" s="1"/>
    </row>
    <row r="362" spans="2:3" ht="15.75" customHeight="1">
      <c r="B362" s="1"/>
      <c r="C362" s="1"/>
    </row>
    <row r="363" spans="2:3" ht="15.75" customHeight="1">
      <c r="B363" s="1"/>
      <c r="C363" s="1"/>
    </row>
    <row r="364" spans="2:3" ht="15.75" customHeight="1">
      <c r="B364" s="1"/>
      <c r="C364" s="1"/>
    </row>
    <row r="365" spans="2:3" ht="15.75" customHeight="1">
      <c r="B365" s="1"/>
      <c r="C365" s="1"/>
    </row>
    <row r="366" spans="2:3" ht="15.75" customHeight="1">
      <c r="B366" s="1"/>
      <c r="C366" s="1"/>
    </row>
    <row r="367" spans="2:3" ht="15.75" customHeight="1">
      <c r="B367" s="1"/>
      <c r="C367" s="1"/>
    </row>
    <row r="368" spans="2:3" ht="15.75" customHeight="1">
      <c r="B368" s="1"/>
      <c r="C368" s="1"/>
    </row>
    <row r="369" spans="2:3" ht="15.75" customHeight="1">
      <c r="B369" s="1"/>
      <c r="C369" s="1"/>
    </row>
    <row r="370" spans="2:3" ht="15.75" customHeight="1">
      <c r="B370" s="1"/>
      <c r="C370" s="1"/>
    </row>
    <row r="371" spans="2:3" ht="15.75" customHeight="1">
      <c r="B371" s="1"/>
      <c r="C371" s="1"/>
    </row>
    <row r="372" spans="2:3" ht="15.75" customHeight="1">
      <c r="B372" s="1"/>
      <c r="C372" s="1"/>
    </row>
    <row r="373" spans="2:3" ht="15.75" customHeight="1">
      <c r="B373" s="1"/>
      <c r="C373" s="1"/>
    </row>
    <row r="374" spans="2:3" ht="15.75" customHeight="1">
      <c r="B374" s="1"/>
      <c r="C374" s="1"/>
    </row>
    <row r="375" spans="2:3" ht="15.75" customHeight="1">
      <c r="B375" s="1"/>
      <c r="C375" s="1"/>
    </row>
    <row r="376" spans="2:3" ht="15.75" customHeight="1">
      <c r="B376" s="1"/>
      <c r="C376" s="1"/>
    </row>
    <row r="377" spans="2:3" ht="15.75" customHeight="1">
      <c r="B377" s="1"/>
      <c r="C377" s="1"/>
    </row>
    <row r="378" spans="2:3" ht="15.75" customHeight="1">
      <c r="B378" s="1"/>
      <c r="C378" s="1"/>
    </row>
    <row r="379" spans="2:3" ht="15.75" customHeight="1">
      <c r="B379" s="1"/>
      <c r="C379" s="1"/>
    </row>
    <row r="380" spans="2:3" ht="15.75" customHeight="1">
      <c r="B380" s="1"/>
      <c r="C380" s="1"/>
    </row>
    <row r="381" spans="2:3" ht="15.75" customHeight="1">
      <c r="B381" s="1"/>
      <c r="C381" s="1"/>
    </row>
    <row r="382" spans="2:3" ht="15.75" customHeight="1">
      <c r="B382" s="1"/>
      <c r="C382" s="1"/>
    </row>
    <row r="383" spans="2:3" ht="15.75" customHeight="1">
      <c r="B383" s="1"/>
      <c r="C383" s="1"/>
    </row>
    <row r="384" spans="2:3" ht="15.75" customHeight="1">
      <c r="B384" s="1"/>
      <c r="C384" s="1"/>
    </row>
    <row r="385" spans="2:3" ht="15.75" customHeight="1">
      <c r="B385" s="1"/>
      <c r="C385" s="1"/>
    </row>
    <row r="386" spans="2:3" ht="15.75" customHeight="1">
      <c r="B386" s="1"/>
      <c r="C386" s="1"/>
    </row>
    <row r="387" spans="2:3" ht="15.75" customHeight="1">
      <c r="B387" s="1"/>
      <c r="C387" s="1"/>
    </row>
    <row r="388" spans="2:3" ht="15.75" customHeight="1">
      <c r="B388" s="1"/>
      <c r="C388" s="1"/>
    </row>
    <row r="389" spans="2:3" ht="15.75" customHeight="1">
      <c r="B389" s="1"/>
      <c r="C389" s="1"/>
    </row>
    <row r="390" spans="2:3" ht="15.75" customHeight="1">
      <c r="B390" s="1"/>
      <c r="C390" s="1"/>
    </row>
    <row r="391" spans="2:3" ht="15.75" customHeight="1">
      <c r="B391" s="1"/>
      <c r="C391" s="1"/>
    </row>
    <row r="392" spans="2:3" ht="15.75" customHeight="1">
      <c r="B392" s="1"/>
      <c r="C392" s="1"/>
    </row>
    <row r="393" spans="2:3" ht="15.75" customHeight="1">
      <c r="B393" s="1"/>
      <c r="C393" s="1"/>
    </row>
    <row r="394" spans="2:3" ht="15.75" customHeight="1">
      <c r="B394" s="1"/>
      <c r="C394" s="1"/>
    </row>
    <row r="395" spans="2:3" ht="15.75" customHeight="1">
      <c r="B395" s="1"/>
      <c r="C395" s="1"/>
    </row>
    <row r="396" spans="2:3" ht="15.75" customHeight="1">
      <c r="B396" s="1"/>
      <c r="C396" s="1"/>
    </row>
    <row r="397" spans="2:3" ht="15.75" customHeight="1">
      <c r="B397" s="1"/>
      <c r="C397" s="1"/>
    </row>
    <row r="398" spans="2:3" ht="15.75" customHeight="1">
      <c r="B398" s="1"/>
      <c r="C398" s="1"/>
    </row>
    <row r="399" spans="2:3" ht="15.75" customHeight="1">
      <c r="B399" s="1"/>
      <c r="C399" s="1"/>
    </row>
    <row r="400" spans="2:3" ht="15.75" customHeight="1">
      <c r="B400" s="1"/>
      <c r="C400" s="1"/>
    </row>
    <row r="401" spans="2:3" ht="15.75" customHeight="1">
      <c r="B401" s="1"/>
      <c r="C401" s="1"/>
    </row>
    <row r="402" spans="2:3" ht="15.75" customHeight="1">
      <c r="B402" s="1"/>
      <c r="C402" s="1"/>
    </row>
    <row r="403" spans="2:3" ht="15.75" customHeight="1">
      <c r="B403" s="1"/>
      <c r="C403" s="1"/>
    </row>
    <row r="404" spans="2:3" ht="15.75" customHeight="1">
      <c r="B404" s="1"/>
      <c r="C404" s="1"/>
    </row>
    <row r="405" spans="2:3" ht="15.75" customHeight="1">
      <c r="B405" s="1"/>
      <c r="C405" s="1"/>
    </row>
    <row r="406" spans="2:3" ht="15.75" customHeight="1">
      <c r="B406" s="1"/>
      <c r="C406" s="1"/>
    </row>
    <row r="407" spans="2:3" ht="15.75" customHeight="1">
      <c r="B407" s="1"/>
      <c r="C407" s="1"/>
    </row>
    <row r="408" spans="2:3" ht="15.75" customHeight="1">
      <c r="B408" s="1"/>
      <c r="C408" s="1"/>
    </row>
    <row r="409" spans="2:3" ht="15.75" customHeight="1">
      <c r="B409" s="1"/>
      <c r="C409" s="1"/>
    </row>
    <row r="410" spans="2:3" ht="15.75" customHeight="1">
      <c r="B410" s="1"/>
      <c r="C410" s="1"/>
    </row>
    <row r="411" spans="2:3" ht="15.75" customHeight="1">
      <c r="B411" s="1"/>
      <c r="C411" s="1"/>
    </row>
    <row r="412" spans="2:3" ht="15.75" customHeight="1">
      <c r="B412" s="1"/>
      <c r="C412" s="1"/>
    </row>
    <row r="413" spans="2:3" ht="15.75" customHeight="1">
      <c r="B413" s="1"/>
      <c r="C413" s="1"/>
    </row>
    <row r="414" spans="2:3" ht="15.75" customHeight="1">
      <c r="B414" s="1"/>
      <c r="C414" s="1"/>
    </row>
    <row r="415" spans="2:3" ht="15.75" customHeight="1">
      <c r="B415" s="1"/>
      <c r="C415" s="1"/>
    </row>
    <row r="416" spans="2:3" ht="15.75" customHeight="1">
      <c r="B416" s="1"/>
      <c r="C416" s="1"/>
    </row>
    <row r="417" spans="2:3" ht="15.75" customHeight="1">
      <c r="B417" s="1"/>
      <c r="C417" s="1"/>
    </row>
    <row r="418" spans="2:3" ht="15.75" customHeight="1">
      <c r="B418" s="1"/>
      <c r="C418" s="1"/>
    </row>
    <row r="419" spans="2:3" ht="15.75" customHeight="1">
      <c r="B419" s="1"/>
      <c r="C419" s="1"/>
    </row>
    <row r="420" spans="2:3" ht="15.75" customHeight="1">
      <c r="B420" s="1"/>
      <c r="C420" s="1"/>
    </row>
    <row r="421" spans="2:3" ht="15.75" customHeight="1">
      <c r="B421" s="1"/>
      <c r="C421" s="1"/>
    </row>
    <row r="422" spans="2:3" ht="15.75" customHeight="1">
      <c r="B422" s="1"/>
      <c r="C422" s="1"/>
    </row>
    <row r="423" spans="2:3" ht="15.75" customHeight="1">
      <c r="B423" s="1"/>
      <c r="C423" s="1"/>
    </row>
    <row r="424" spans="2:3" ht="15.75" customHeight="1">
      <c r="B424" s="1"/>
      <c r="C424" s="1"/>
    </row>
    <row r="425" spans="2:3" ht="15.75" customHeight="1">
      <c r="B425" s="1"/>
      <c r="C425" s="1"/>
    </row>
    <row r="426" spans="2:3" ht="15.75" customHeight="1">
      <c r="B426" s="1"/>
      <c r="C426" s="1"/>
    </row>
    <row r="427" spans="2:3" ht="15.75" customHeight="1">
      <c r="B427" s="1"/>
      <c r="C427" s="1"/>
    </row>
    <row r="428" spans="2:3" ht="15.75" customHeight="1">
      <c r="B428" s="1"/>
      <c r="C428" s="1"/>
    </row>
    <row r="429" spans="2:3" ht="15.75" customHeight="1">
      <c r="B429" s="1"/>
      <c r="C429" s="1"/>
    </row>
    <row r="430" spans="2:3" ht="15.75" customHeight="1">
      <c r="B430" s="1"/>
      <c r="C430" s="1"/>
    </row>
    <row r="431" spans="2:3" ht="15.75" customHeight="1">
      <c r="B431" s="1"/>
      <c r="C431" s="1"/>
    </row>
    <row r="432" spans="2:3" ht="15.75" customHeight="1">
      <c r="B432" s="1"/>
      <c r="C432" s="1"/>
    </row>
    <row r="433" spans="2:3" ht="15.75" customHeight="1">
      <c r="B433" s="1"/>
      <c r="C433" s="1"/>
    </row>
    <row r="434" spans="2:3" ht="15.75" customHeight="1">
      <c r="B434" s="1"/>
      <c r="C434" s="1"/>
    </row>
    <row r="435" spans="2:3" ht="15.75" customHeight="1">
      <c r="B435" s="1"/>
      <c r="C435" s="1"/>
    </row>
    <row r="436" spans="2:3" ht="15.75" customHeight="1">
      <c r="B436" s="1"/>
      <c r="C436" s="1"/>
    </row>
    <row r="437" spans="2:3" ht="15.75" customHeight="1">
      <c r="B437" s="1"/>
      <c r="C437" s="1"/>
    </row>
    <row r="438" spans="2:3" ht="15.75" customHeight="1">
      <c r="B438" s="1"/>
      <c r="C438" s="1"/>
    </row>
    <row r="439" spans="2:3" ht="15.75" customHeight="1">
      <c r="B439" s="1"/>
      <c r="C439" s="1"/>
    </row>
    <row r="440" spans="2:3" ht="15.75" customHeight="1">
      <c r="B440" s="1"/>
      <c r="C440" s="1"/>
    </row>
    <row r="441" spans="2:3" ht="15.75" customHeight="1">
      <c r="B441" s="1"/>
      <c r="C441" s="1"/>
    </row>
    <row r="442" spans="2:3" ht="15.75" customHeight="1">
      <c r="B442" s="1"/>
      <c r="C442" s="1"/>
    </row>
    <row r="443" spans="2:3" ht="15.75" customHeight="1">
      <c r="B443" s="1"/>
      <c r="C443" s="1"/>
    </row>
    <row r="444" spans="2:3" ht="15.75" customHeight="1">
      <c r="B444" s="1"/>
      <c r="C444" s="1"/>
    </row>
    <row r="445" spans="2:3" ht="15.75" customHeight="1">
      <c r="B445" s="1"/>
      <c r="C445" s="1"/>
    </row>
    <row r="446" spans="2:3" ht="15.75" customHeight="1">
      <c r="B446" s="1"/>
      <c r="C446" s="1"/>
    </row>
    <row r="447" spans="2:3" ht="15.75" customHeight="1">
      <c r="B447" s="1"/>
      <c r="C447" s="1"/>
    </row>
    <row r="448" spans="2:3" ht="15.75" customHeight="1">
      <c r="B448" s="1"/>
      <c r="C448" s="1"/>
    </row>
    <row r="449" spans="2:3" ht="15.75" customHeight="1">
      <c r="B449" s="1"/>
      <c r="C449" s="1"/>
    </row>
    <row r="450" spans="2:3" ht="15.75" customHeight="1">
      <c r="B450" s="1"/>
      <c r="C450" s="1"/>
    </row>
    <row r="451" spans="2:3" ht="15.75" customHeight="1">
      <c r="B451" s="1"/>
      <c r="C451" s="1"/>
    </row>
    <row r="452" spans="2:3" ht="15.75" customHeight="1">
      <c r="B452" s="1"/>
      <c r="C452" s="1"/>
    </row>
    <row r="453" spans="2:3" ht="15.75" customHeight="1">
      <c r="B453" s="1"/>
      <c r="C453" s="1"/>
    </row>
    <row r="454" spans="2:3" ht="15.75" customHeight="1">
      <c r="B454" s="1"/>
      <c r="C454" s="1"/>
    </row>
    <row r="455" spans="2:3" ht="15.75" customHeight="1">
      <c r="B455" s="1"/>
      <c r="C455" s="1"/>
    </row>
    <row r="456" spans="2:3" ht="15.75" customHeight="1">
      <c r="B456" s="1"/>
      <c r="C456" s="1"/>
    </row>
    <row r="457" spans="2:3" ht="15.75" customHeight="1">
      <c r="B457" s="1"/>
      <c r="C457" s="1"/>
    </row>
    <row r="458" spans="2:3" ht="15.75" customHeight="1">
      <c r="B458" s="1"/>
      <c r="C458" s="1"/>
    </row>
    <row r="459" spans="2:3" ht="15.75" customHeight="1">
      <c r="B459" s="1"/>
      <c r="C459" s="1"/>
    </row>
    <row r="460" spans="2:3" ht="15.75" customHeight="1">
      <c r="B460" s="1"/>
      <c r="C460" s="1"/>
    </row>
    <row r="461" spans="2:3" ht="15.75" customHeight="1">
      <c r="B461" s="1"/>
      <c r="C461" s="1"/>
    </row>
    <row r="462" spans="2:3" ht="15.75" customHeight="1">
      <c r="B462" s="1"/>
      <c r="C462" s="1"/>
    </row>
    <row r="463" spans="2:3" ht="15.75" customHeight="1">
      <c r="B463" s="1"/>
      <c r="C463" s="1"/>
    </row>
    <row r="464" spans="2:3" ht="15.75" customHeight="1">
      <c r="B464" s="1"/>
      <c r="C464" s="1"/>
    </row>
    <row r="465" spans="2:3" ht="15.75" customHeight="1">
      <c r="B465" s="1"/>
      <c r="C465" s="1"/>
    </row>
    <row r="466" spans="2:3" ht="15.75" customHeight="1">
      <c r="B466" s="1"/>
      <c r="C466" s="1"/>
    </row>
    <row r="467" spans="2:3" ht="15.75" customHeight="1">
      <c r="B467" s="1"/>
      <c r="C467" s="1"/>
    </row>
    <row r="468" spans="2:3" ht="15.75" customHeight="1">
      <c r="B468" s="1"/>
      <c r="C468" s="1"/>
    </row>
    <row r="469" spans="2:3" ht="15.75" customHeight="1">
      <c r="B469" s="1"/>
      <c r="C469" s="1"/>
    </row>
    <row r="470" spans="2:3" ht="15.75" customHeight="1">
      <c r="B470" s="1"/>
      <c r="C470" s="1"/>
    </row>
    <row r="471" spans="2:3" ht="15.75" customHeight="1">
      <c r="B471" s="1"/>
      <c r="C471" s="1"/>
    </row>
    <row r="472" spans="2:3" ht="15.75" customHeight="1">
      <c r="B472" s="1"/>
      <c r="C472" s="1"/>
    </row>
    <row r="473" spans="2:3" ht="15.75" customHeight="1">
      <c r="B473" s="1"/>
      <c r="C473" s="1"/>
    </row>
    <row r="474" spans="2:3" ht="15.75" customHeight="1">
      <c r="B474" s="1"/>
      <c r="C474" s="1"/>
    </row>
    <row r="475" spans="2:3" ht="15.75" customHeight="1">
      <c r="B475" s="1"/>
      <c r="C475" s="1"/>
    </row>
    <row r="476" spans="2:3" ht="15.75" customHeight="1">
      <c r="B476" s="1"/>
      <c r="C476" s="1"/>
    </row>
    <row r="477" spans="2:3" ht="15.75" customHeight="1">
      <c r="B477" s="1"/>
      <c r="C477" s="1"/>
    </row>
    <row r="478" spans="2:3" ht="15.75" customHeight="1">
      <c r="B478" s="1"/>
      <c r="C478" s="1"/>
    </row>
    <row r="479" spans="2:3" ht="15.75" customHeight="1">
      <c r="B479" s="1"/>
      <c r="C479" s="1"/>
    </row>
    <row r="480" spans="2:3" ht="15.75" customHeight="1">
      <c r="B480" s="1"/>
      <c r="C480" s="1"/>
    </row>
    <row r="481" spans="2:3" ht="15.75" customHeight="1">
      <c r="B481" s="1"/>
      <c r="C481" s="1"/>
    </row>
    <row r="482" spans="2:3" ht="15.75" customHeight="1">
      <c r="B482" s="1"/>
      <c r="C482" s="1"/>
    </row>
    <row r="483" spans="2:3" ht="15.75" customHeight="1">
      <c r="B483" s="1"/>
      <c r="C483" s="1"/>
    </row>
    <row r="484" spans="2:3" ht="15.75" customHeight="1">
      <c r="B484" s="1"/>
      <c r="C484" s="1"/>
    </row>
    <row r="485" spans="2:3" ht="15.75" customHeight="1">
      <c r="B485" s="1"/>
      <c r="C485" s="1"/>
    </row>
    <row r="486" spans="2:3" ht="15.75" customHeight="1">
      <c r="B486" s="1"/>
      <c r="C486" s="1"/>
    </row>
    <row r="487" spans="2:3" ht="15.75" customHeight="1">
      <c r="B487" s="1"/>
      <c r="C487" s="1"/>
    </row>
    <row r="488" spans="2:3" ht="15.75" customHeight="1">
      <c r="B488" s="1"/>
      <c r="C488" s="1"/>
    </row>
    <row r="489" spans="2:3" ht="15.75" customHeight="1">
      <c r="B489" s="1"/>
      <c r="C489" s="1"/>
    </row>
    <row r="490" spans="2:3" ht="15.75" customHeight="1">
      <c r="B490" s="1"/>
      <c r="C490" s="1"/>
    </row>
    <row r="491" spans="2:3" ht="15.75" customHeight="1">
      <c r="B491" s="1"/>
      <c r="C491" s="1"/>
    </row>
    <row r="492" spans="2:3" ht="15.75" customHeight="1">
      <c r="B492" s="1"/>
      <c r="C492" s="1"/>
    </row>
    <row r="493" spans="2:3" ht="15.75" customHeight="1">
      <c r="B493" s="1"/>
      <c r="C493" s="1"/>
    </row>
    <row r="494" spans="2:3" ht="15.75" customHeight="1">
      <c r="B494" s="1"/>
      <c r="C494" s="1"/>
    </row>
    <row r="495" spans="2:3" ht="15.75" customHeight="1">
      <c r="B495" s="1"/>
      <c r="C495" s="1"/>
    </row>
    <row r="496" spans="2:3" ht="15.75" customHeight="1">
      <c r="B496" s="1"/>
      <c r="C496" s="1"/>
    </row>
    <row r="497" spans="2:3" ht="15.75" customHeight="1">
      <c r="B497" s="1"/>
      <c r="C497" s="1"/>
    </row>
    <row r="498" spans="2:3" ht="15.75" customHeight="1">
      <c r="B498" s="1"/>
      <c r="C498" s="1"/>
    </row>
    <row r="499" spans="2:3" ht="15.75" customHeight="1">
      <c r="B499" s="1"/>
      <c r="C499" s="1"/>
    </row>
    <row r="500" spans="2:3" ht="15.75" customHeight="1">
      <c r="B500" s="1"/>
      <c r="C500" s="1"/>
    </row>
    <row r="501" spans="2:3" ht="15.75" customHeight="1">
      <c r="B501" s="1"/>
      <c r="C501" s="1"/>
    </row>
    <row r="502" spans="2:3" ht="15.75" customHeight="1">
      <c r="B502" s="1"/>
      <c r="C502" s="1"/>
    </row>
    <row r="503" spans="2:3" ht="15.75" customHeight="1">
      <c r="B503" s="1"/>
      <c r="C503" s="1"/>
    </row>
    <row r="504" spans="2:3" ht="15.75" customHeight="1">
      <c r="B504" s="1"/>
      <c r="C504" s="1"/>
    </row>
    <row r="505" spans="2:3" ht="15.75" customHeight="1">
      <c r="B505" s="1"/>
      <c r="C505" s="1"/>
    </row>
    <row r="506" spans="2:3" ht="15.75" customHeight="1">
      <c r="B506" s="1"/>
      <c r="C506" s="1"/>
    </row>
    <row r="507" spans="2:3" ht="15.75" customHeight="1">
      <c r="B507" s="1"/>
      <c r="C507" s="1"/>
    </row>
    <row r="508" spans="2:3" ht="15.75" customHeight="1">
      <c r="B508" s="1"/>
      <c r="C508" s="1"/>
    </row>
    <row r="509" spans="2:3" ht="15.75" customHeight="1">
      <c r="B509" s="1"/>
      <c r="C509" s="1"/>
    </row>
    <row r="510" spans="2:3" ht="15.75" customHeight="1">
      <c r="B510" s="1"/>
      <c r="C510" s="1"/>
    </row>
    <row r="511" spans="2:3" ht="15.75" customHeight="1">
      <c r="B511" s="1"/>
      <c r="C511" s="1"/>
    </row>
    <row r="512" spans="2:3" ht="15.75" customHeight="1">
      <c r="B512" s="1"/>
      <c r="C512" s="1"/>
    </row>
    <row r="513" spans="2:3" ht="15.75" customHeight="1">
      <c r="B513" s="1"/>
      <c r="C513" s="1"/>
    </row>
    <row r="514" spans="2:3" ht="15.75" customHeight="1">
      <c r="B514" s="1"/>
      <c r="C514" s="1"/>
    </row>
    <row r="515" spans="2:3" ht="15.75" customHeight="1">
      <c r="B515" s="1"/>
      <c r="C515" s="1"/>
    </row>
    <row r="516" spans="2:3" ht="15.75" customHeight="1">
      <c r="B516" s="1"/>
      <c r="C516" s="1"/>
    </row>
    <row r="517" spans="2:3" ht="15.75" customHeight="1">
      <c r="B517" s="1"/>
      <c r="C517" s="1"/>
    </row>
    <row r="518" spans="2:3" ht="15.75" customHeight="1">
      <c r="B518" s="1"/>
      <c r="C518" s="1"/>
    </row>
    <row r="519" spans="2:3" ht="15.75" customHeight="1">
      <c r="B519" s="1"/>
      <c r="C519" s="1"/>
    </row>
    <row r="520" spans="2:3" ht="15.75" customHeight="1">
      <c r="B520" s="1"/>
      <c r="C520" s="1"/>
    </row>
    <row r="521" spans="2:3" ht="15.75" customHeight="1">
      <c r="B521" s="1"/>
      <c r="C521" s="1"/>
    </row>
    <row r="522" spans="2:3" ht="15.75" customHeight="1">
      <c r="B522" s="1"/>
      <c r="C522" s="1"/>
    </row>
    <row r="523" spans="2:3" ht="15.75" customHeight="1">
      <c r="B523" s="1"/>
      <c r="C523" s="1"/>
    </row>
    <row r="524" spans="2:3" ht="15.75" customHeight="1">
      <c r="B524" s="1"/>
      <c r="C524" s="1"/>
    </row>
    <row r="525" spans="2:3" ht="15.75" customHeight="1">
      <c r="B525" s="1"/>
      <c r="C525" s="1"/>
    </row>
    <row r="526" spans="2:3" ht="15.75" customHeight="1">
      <c r="B526" s="1"/>
      <c r="C526" s="1"/>
    </row>
    <row r="527" spans="2:3" ht="15.75" customHeight="1">
      <c r="B527" s="1"/>
      <c r="C527" s="1"/>
    </row>
    <row r="528" spans="2:3" ht="15.75" customHeight="1">
      <c r="B528" s="1"/>
      <c r="C528" s="1"/>
    </row>
    <row r="529" spans="2:3" ht="15.75" customHeight="1">
      <c r="B529" s="1"/>
      <c r="C529" s="1"/>
    </row>
    <row r="530" spans="2:3" ht="15.75" customHeight="1">
      <c r="B530" s="1"/>
      <c r="C530" s="1"/>
    </row>
    <row r="531" spans="2:3" ht="15.75" customHeight="1">
      <c r="B531" s="1"/>
      <c r="C531" s="1"/>
    </row>
    <row r="532" spans="2:3" ht="15.75" customHeight="1">
      <c r="B532" s="1"/>
      <c r="C532" s="1"/>
    </row>
    <row r="533" spans="2:3" ht="15.75" customHeight="1">
      <c r="B533" s="1"/>
      <c r="C533" s="1"/>
    </row>
    <row r="534" spans="2:3" ht="15.75" customHeight="1">
      <c r="B534" s="1"/>
      <c r="C534" s="1"/>
    </row>
    <row r="535" spans="2:3" ht="15.75" customHeight="1">
      <c r="B535" s="1"/>
      <c r="C535" s="1"/>
    </row>
    <row r="536" spans="2:3" ht="15.75" customHeight="1">
      <c r="B536" s="1"/>
      <c r="C536" s="1"/>
    </row>
    <row r="537" spans="2:3" ht="15.75" customHeight="1">
      <c r="B537" s="1"/>
      <c r="C537" s="1"/>
    </row>
    <row r="538" spans="2:3" ht="15.75" customHeight="1">
      <c r="B538" s="1"/>
      <c r="C538" s="1"/>
    </row>
    <row r="539" spans="2:3" ht="15.75" customHeight="1">
      <c r="B539" s="1"/>
      <c r="C539" s="1"/>
    </row>
    <row r="540" spans="2:3" ht="15.75" customHeight="1">
      <c r="B540" s="1"/>
      <c r="C540" s="1"/>
    </row>
    <row r="541" spans="2:3" ht="15.75" customHeight="1">
      <c r="B541" s="1"/>
      <c r="C541" s="1"/>
    </row>
    <row r="542" spans="2:3" ht="15.75" customHeight="1">
      <c r="B542" s="1"/>
      <c r="C542" s="1"/>
    </row>
    <row r="543" spans="2:3" ht="15.75" customHeight="1">
      <c r="B543" s="1"/>
      <c r="C543" s="1"/>
    </row>
    <row r="544" spans="2:3" ht="15.75" customHeight="1">
      <c r="B544" s="1"/>
      <c r="C544" s="1"/>
    </row>
    <row r="545" spans="2:3" ht="15.75" customHeight="1">
      <c r="B545" s="1"/>
      <c r="C545" s="1"/>
    </row>
    <row r="546" spans="2:3" ht="15.75" customHeight="1">
      <c r="B546" s="1"/>
      <c r="C546" s="1"/>
    </row>
    <row r="547" spans="2:3" ht="15.75" customHeight="1">
      <c r="B547" s="1"/>
      <c r="C547" s="1"/>
    </row>
    <row r="548" spans="2:3" ht="15.75" customHeight="1">
      <c r="B548" s="1"/>
      <c r="C548" s="1"/>
    </row>
    <row r="549" spans="2:3" ht="15.75" customHeight="1">
      <c r="B549" s="1"/>
      <c r="C549" s="1"/>
    </row>
    <row r="550" spans="2:3" ht="15.75" customHeight="1">
      <c r="B550" s="1"/>
      <c r="C550" s="1"/>
    </row>
    <row r="551" spans="2:3" ht="15.75" customHeight="1">
      <c r="B551" s="1"/>
      <c r="C551" s="1"/>
    </row>
    <row r="552" spans="2:3" ht="15.75" customHeight="1">
      <c r="B552" s="1"/>
      <c r="C552" s="1"/>
    </row>
    <row r="553" spans="2:3" ht="15.75" customHeight="1">
      <c r="B553" s="1"/>
      <c r="C553" s="1"/>
    </row>
    <row r="554" spans="2:3" ht="15.75" customHeight="1">
      <c r="B554" s="1"/>
      <c r="C554" s="1"/>
    </row>
    <row r="555" spans="2:3" ht="15.75" customHeight="1">
      <c r="B555" s="1"/>
      <c r="C555" s="1"/>
    </row>
    <row r="556" spans="2:3" ht="15.75" customHeight="1">
      <c r="B556" s="1"/>
      <c r="C556" s="1"/>
    </row>
    <row r="557" spans="2:3" ht="15.75" customHeight="1">
      <c r="B557" s="1"/>
      <c r="C557" s="1"/>
    </row>
    <row r="558" spans="2:3" ht="15.75" customHeight="1">
      <c r="B558" s="1"/>
      <c r="C558" s="1"/>
    </row>
    <row r="559" spans="2:3" ht="15.75" customHeight="1">
      <c r="B559" s="1"/>
      <c r="C559" s="1"/>
    </row>
    <row r="560" spans="2:3" ht="15.75" customHeight="1">
      <c r="B560" s="1"/>
      <c r="C560" s="1"/>
    </row>
    <row r="561" spans="2:3" ht="15.75" customHeight="1">
      <c r="B561" s="1"/>
      <c r="C561" s="1"/>
    </row>
    <row r="562" spans="2:3" ht="15.75" customHeight="1">
      <c r="B562" s="1"/>
      <c r="C562" s="1"/>
    </row>
    <row r="563" spans="2:3" ht="15.75" customHeight="1">
      <c r="B563" s="1"/>
      <c r="C563" s="1"/>
    </row>
    <row r="564" spans="2:3" ht="15.75" customHeight="1">
      <c r="B564" s="1"/>
      <c r="C564" s="1"/>
    </row>
    <row r="565" spans="2:3" ht="15.75" customHeight="1">
      <c r="B565" s="1"/>
      <c r="C565" s="1"/>
    </row>
    <row r="566" spans="2:3" ht="15.75" customHeight="1">
      <c r="B566" s="1"/>
      <c r="C566" s="1"/>
    </row>
    <row r="567" spans="2:3" ht="15.75" customHeight="1">
      <c r="B567" s="1"/>
      <c r="C567" s="1"/>
    </row>
    <row r="568" spans="2:3" ht="15.75" customHeight="1">
      <c r="B568" s="1"/>
      <c r="C568" s="1"/>
    </row>
    <row r="569" spans="2:3" ht="15.75" customHeight="1">
      <c r="B569" s="1"/>
      <c r="C569" s="1"/>
    </row>
    <row r="570" spans="2:3" ht="15.75" customHeight="1">
      <c r="B570" s="1"/>
      <c r="C570" s="1"/>
    </row>
    <row r="571" spans="2:3" ht="15.75" customHeight="1">
      <c r="B571" s="1"/>
      <c r="C571" s="1"/>
    </row>
    <row r="572" spans="2:3" ht="15.75" customHeight="1">
      <c r="B572" s="1"/>
      <c r="C572" s="1"/>
    </row>
    <row r="573" spans="2:3" ht="15.75" customHeight="1">
      <c r="B573" s="1"/>
      <c r="C573" s="1"/>
    </row>
    <row r="574" spans="2:3" ht="15.75" customHeight="1">
      <c r="B574" s="1"/>
      <c r="C574" s="1"/>
    </row>
    <row r="575" spans="2:3" ht="15.75" customHeight="1">
      <c r="B575" s="1"/>
      <c r="C575" s="1"/>
    </row>
    <row r="576" spans="2:3" ht="15.75" customHeight="1">
      <c r="B576" s="1"/>
      <c r="C576" s="1"/>
    </row>
    <row r="577" spans="2:3" ht="15.75" customHeight="1">
      <c r="B577" s="1"/>
      <c r="C577" s="1"/>
    </row>
    <row r="578" spans="2:3" ht="15.75" customHeight="1">
      <c r="B578" s="1"/>
      <c r="C578" s="1"/>
    </row>
    <row r="579" spans="2:3" ht="15.75" customHeight="1">
      <c r="B579" s="1"/>
      <c r="C579" s="1"/>
    </row>
    <row r="580" spans="2:3" ht="15.75" customHeight="1">
      <c r="B580" s="1"/>
      <c r="C580" s="1"/>
    </row>
    <row r="581" spans="2:3" ht="15.75" customHeight="1">
      <c r="B581" s="1"/>
      <c r="C581" s="1"/>
    </row>
    <row r="582" spans="2:3" ht="15.75" customHeight="1">
      <c r="B582" s="1"/>
      <c r="C582" s="1"/>
    </row>
    <row r="583" spans="2:3" ht="15.75" customHeight="1">
      <c r="B583" s="1"/>
      <c r="C583" s="1"/>
    </row>
    <row r="584" spans="2:3" ht="15.75" customHeight="1">
      <c r="B584" s="1"/>
      <c r="C584" s="1"/>
    </row>
    <row r="585" spans="2:3" ht="15.75" customHeight="1">
      <c r="B585" s="1"/>
      <c r="C585" s="1"/>
    </row>
    <row r="586" spans="2:3" ht="15.75" customHeight="1">
      <c r="B586" s="1"/>
      <c r="C586" s="1"/>
    </row>
    <row r="587" spans="2:3" ht="15.75" customHeight="1">
      <c r="B587" s="1"/>
      <c r="C587" s="1"/>
    </row>
    <row r="588" spans="2:3" ht="15.75" customHeight="1">
      <c r="B588" s="1"/>
      <c r="C588" s="1"/>
    </row>
    <row r="589" spans="2:3" ht="15.75" customHeight="1">
      <c r="B589" s="1"/>
      <c r="C589" s="1"/>
    </row>
    <row r="590" spans="2:3" ht="15.75" customHeight="1">
      <c r="B590" s="1"/>
      <c r="C590" s="1"/>
    </row>
    <row r="591" spans="2:3" ht="15.75" customHeight="1">
      <c r="B591" s="1"/>
      <c r="C591" s="1"/>
    </row>
    <row r="592" spans="2:3" ht="15.75" customHeight="1">
      <c r="B592" s="1"/>
      <c r="C592" s="1"/>
    </row>
    <row r="593" spans="2:3" ht="15.75" customHeight="1">
      <c r="B593" s="1"/>
      <c r="C593" s="1"/>
    </row>
    <row r="594" spans="2:3" ht="15.75" customHeight="1">
      <c r="B594" s="1"/>
      <c r="C594" s="1"/>
    </row>
    <row r="595" spans="2:3" ht="15.75" customHeight="1">
      <c r="B595" s="1"/>
      <c r="C595" s="1"/>
    </row>
    <row r="596" spans="2:3" ht="15.75" customHeight="1">
      <c r="B596" s="1"/>
      <c r="C596" s="1"/>
    </row>
    <row r="597" spans="2:3" ht="15.75" customHeight="1">
      <c r="B597" s="1"/>
      <c r="C597" s="1"/>
    </row>
    <row r="598" spans="2:3" ht="15.75" customHeight="1">
      <c r="B598" s="1"/>
      <c r="C598" s="1"/>
    </row>
    <row r="599" spans="2:3" ht="15.75" customHeight="1">
      <c r="B599" s="1"/>
      <c r="C599" s="1"/>
    </row>
    <row r="600" spans="2:3" ht="15.75" customHeight="1">
      <c r="B600" s="1"/>
      <c r="C600" s="1"/>
    </row>
    <row r="601" spans="2:3" ht="15.75" customHeight="1">
      <c r="B601" s="1"/>
      <c r="C601" s="1"/>
    </row>
    <row r="602" spans="2:3" ht="15.75" customHeight="1">
      <c r="B602" s="1"/>
      <c r="C602" s="1"/>
    </row>
    <row r="603" spans="2:3" ht="15.75" customHeight="1">
      <c r="B603" s="1"/>
      <c r="C603" s="1"/>
    </row>
    <row r="604" spans="2:3" ht="15.75" customHeight="1">
      <c r="B604" s="1"/>
      <c r="C604" s="1"/>
    </row>
    <row r="605" spans="2:3" ht="15.75" customHeight="1">
      <c r="B605" s="1"/>
      <c r="C605" s="1"/>
    </row>
    <row r="606" spans="2:3" ht="15.75" customHeight="1">
      <c r="B606" s="1"/>
      <c r="C606" s="1"/>
    </row>
    <row r="607" spans="2:3" ht="15.75" customHeight="1">
      <c r="B607" s="1"/>
      <c r="C607" s="1"/>
    </row>
    <row r="608" spans="2:3" ht="15.75" customHeight="1">
      <c r="B608" s="1"/>
      <c r="C608" s="1"/>
    </row>
    <row r="609" spans="2:3" ht="15.75" customHeight="1">
      <c r="B609" s="1"/>
      <c r="C609" s="1"/>
    </row>
    <row r="610" spans="2:3" ht="15.75" customHeight="1">
      <c r="B610" s="1"/>
      <c r="C610" s="1"/>
    </row>
    <row r="611" spans="2:3" ht="15.75" customHeight="1">
      <c r="B611" s="1"/>
      <c r="C611" s="1"/>
    </row>
    <row r="612" spans="2:3" ht="15.75" customHeight="1">
      <c r="B612" s="1"/>
      <c r="C612" s="1"/>
    </row>
    <row r="613" spans="2:3" ht="15.75" customHeight="1">
      <c r="B613" s="1"/>
      <c r="C613" s="1"/>
    </row>
    <row r="614" spans="2:3" ht="15.75" customHeight="1">
      <c r="B614" s="1"/>
      <c r="C614" s="1"/>
    </row>
    <row r="615" spans="2:3" ht="15.75" customHeight="1">
      <c r="B615" s="1"/>
      <c r="C615" s="1"/>
    </row>
    <row r="616" spans="2:3" ht="15.75" customHeight="1">
      <c r="B616" s="1"/>
      <c r="C616" s="1"/>
    </row>
    <row r="617" spans="2:3" ht="15.75" customHeight="1">
      <c r="B617" s="1"/>
      <c r="C617" s="1"/>
    </row>
    <row r="618" spans="2:3" ht="15.75" customHeight="1">
      <c r="B618" s="1"/>
      <c r="C618" s="1"/>
    </row>
    <row r="619" spans="2:3" ht="15.75" customHeight="1">
      <c r="B619" s="1"/>
      <c r="C619" s="1"/>
    </row>
    <row r="620" spans="2:3" ht="15.75" customHeight="1">
      <c r="B620" s="1"/>
      <c r="C620" s="1"/>
    </row>
    <row r="621" spans="2:3" ht="15.75" customHeight="1">
      <c r="B621" s="1"/>
      <c r="C621" s="1"/>
    </row>
    <row r="622" spans="2:3" ht="15.75" customHeight="1">
      <c r="B622" s="1"/>
      <c r="C622" s="1"/>
    </row>
    <row r="623" spans="2:3" ht="15.75" customHeight="1">
      <c r="B623" s="1"/>
      <c r="C623" s="1"/>
    </row>
    <row r="624" spans="2:3" ht="15.75" customHeight="1">
      <c r="B624" s="1"/>
      <c r="C624" s="1"/>
    </row>
    <row r="625" spans="2:3" ht="15.75" customHeight="1">
      <c r="B625" s="1"/>
      <c r="C625" s="1"/>
    </row>
    <row r="626" spans="2:3" ht="15.75" customHeight="1">
      <c r="B626" s="1"/>
      <c r="C626" s="1"/>
    </row>
    <row r="627" spans="2:3" ht="15.75" customHeight="1">
      <c r="B627" s="1"/>
      <c r="C627" s="1"/>
    </row>
    <row r="628" spans="2:3" ht="15.75" customHeight="1">
      <c r="B628" s="1"/>
      <c r="C628" s="1"/>
    </row>
    <row r="629" spans="2:3" ht="15.75" customHeight="1">
      <c r="B629" s="1"/>
      <c r="C629" s="1"/>
    </row>
    <row r="630" spans="2:3" ht="15.75" customHeight="1">
      <c r="B630" s="1"/>
      <c r="C630" s="1"/>
    </row>
    <row r="631" spans="2:3" ht="15.75" customHeight="1">
      <c r="B631" s="1"/>
      <c r="C631" s="1"/>
    </row>
    <row r="632" spans="2:3" ht="15.75" customHeight="1">
      <c r="B632" s="1"/>
      <c r="C632" s="1"/>
    </row>
    <row r="633" spans="2:3" ht="15.75" customHeight="1">
      <c r="B633" s="1"/>
      <c r="C633" s="1"/>
    </row>
    <row r="634" spans="2:3" ht="15.75" customHeight="1">
      <c r="B634" s="1"/>
      <c r="C634" s="1"/>
    </row>
    <row r="635" spans="2:3" ht="15.75" customHeight="1">
      <c r="B635" s="1"/>
      <c r="C635" s="1"/>
    </row>
    <row r="636" spans="2:3" ht="15.75" customHeight="1">
      <c r="B636" s="1"/>
      <c r="C636" s="1"/>
    </row>
    <row r="637" spans="2:3" ht="15.75" customHeight="1">
      <c r="B637" s="1"/>
      <c r="C637" s="1"/>
    </row>
    <row r="638" spans="2:3" ht="15.75" customHeight="1">
      <c r="B638" s="1"/>
      <c r="C638" s="1"/>
    </row>
    <row r="639" spans="2:3" ht="15.75" customHeight="1">
      <c r="B639" s="1"/>
      <c r="C639" s="1"/>
    </row>
    <row r="640" spans="2:3" ht="15.75" customHeight="1">
      <c r="B640" s="1"/>
      <c r="C640" s="1"/>
    </row>
    <row r="641" spans="2:3" ht="15.75" customHeight="1">
      <c r="B641" s="1"/>
      <c r="C641" s="1"/>
    </row>
    <row r="642" spans="2:3" ht="15.75" customHeight="1">
      <c r="B642" s="1"/>
      <c r="C642" s="1"/>
    </row>
    <row r="643" spans="2:3" ht="15.75" customHeight="1">
      <c r="B643" s="1"/>
      <c r="C643" s="1"/>
    </row>
    <row r="644" spans="2:3" ht="15.75" customHeight="1">
      <c r="B644" s="1"/>
      <c r="C644" s="1"/>
    </row>
    <row r="645" spans="2:3" ht="15.75" customHeight="1">
      <c r="B645" s="1"/>
      <c r="C645" s="1"/>
    </row>
    <row r="646" spans="2:3" ht="15.75" customHeight="1">
      <c r="B646" s="1"/>
      <c r="C646" s="1"/>
    </row>
    <row r="647" spans="2:3" ht="15.75" customHeight="1">
      <c r="B647" s="1"/>
      <c r="C647" s="1"/>
    </row>
    <row r="648" spans="2:3" ht="15.75" customHeight="1">
      <c r="B648" s="1"/>
      <c r="C648" s="1"/>
    </row>
    <row r="649" spans="2:3" ht="15.75" customHeight="1">
      <c r="B649" s="1"/>
      <c r="C649" s="1"/>
    </row>
    <row r="650" spans="2:3" ht="15.75" customHeight="1">
      <c r="B650" s="1"/>
      <c r="C650" s="1"/>
    </row>
    <row r="651" spans="2:3" ht="15.75" customHeight="1">
      <c r="B651" s="1"/>
      <c r="C651" s="1"/>
    </row>
    <row r="652" spans="2:3" ht="15.75" customHeight="1">
      <c r="B652" s="1"/>
      <c r="C652" s="1"/>
    </row>
    <row r="653" spans="2:3" ht="15.75" customHeight="1">
      <c r="B653" s="1"/>
      <c r="C653" s="1"/>
    </row>
    <row r="654" spans="2:3" ht="15.75" customHeight="1">
      <c r="B654" s="1"/>
      <c r="C654" s="1"/>
    </row>
    <row r="655" spans="2:3" ht="15.75" customHeight="1">
      <c r="B655" s="1"/>
      <c r="C655" s="1"/>
    </row>
    <row r="656" spans="2:3" ht="15.75" customHeight="1">
      <c r="B656" s="1"/>
      <c r="C656" s="1"/>
    </row>
    <row r="657" spans="2:3" ht="15.75" customHeight="1">
      <c r="B657" s="1"/>
      <c r="C657" s="1"/>
    </row>
    <row r="658" spans="2:3" ht="15.75" customHeight="1">
      <c r="B658" s="1"/>
      <c r="C658" s="1"/>
    </row>
    <row r="659" spans="2:3" ht="15.75" customHeight="1">
      <c r="B659" s="1"/>
      <c r="C659" s="1"/>
    </row>
    <row r="660" spans="2:3" ht="15.75" customHeight="1">
      <c r="B660" s="1"/>
      <c r="C660" s="1"/>
    </row>
    <row r="661" spans="2:3" ht="15.75" customHeight="1">
      <c r="B661" s="1"/>
      <c r="C661" s="1"/>
    </row>
    <row r="662" spans="2:3" ht="15.75" customHeight="1">
      <c r="B662" s="1"/>
      <c r="C662" s="1"/>
    </row>
    <row r="663" spans="2:3" ht="15.75" customHeight="1">
      <c r="B663" s="1"/>
      <c r="C663" s="1"/>
    </row>
    <row r="664" spans="2:3" ht="15.75" customHeight="1">
      <c r="B664" s="1"/>
      <c r="C664" s="1"/>
    </row>
    <row r="665" spans="2:3" ht="15.75" customHeight="1">
      <c r="B665" s="1"/>
      <c r="C665" s="1"/>
    </row>
    <row r="666" spans="2:3" ht="15.75" customHeight="1">
      <c r="B666" s="1"/>
      <c r="C666" s="1"/>
    </row>
    <row r="667" spans="2:3" ht="15.75" customHeight="1">
      <c r="B667" s="1"/>
      <c r="C667" s="1"/>
    </row>
    <row r="668" spans="2:3" ht="15.75" customHeight="1">
      <c r="B668" s="1"/>
      <c r="C668" s="1"/>
    </row>
    <row r="669" spans="2:3" ht="15.75" customHeight="1">
      <c r="B669" s="1"/>
      <c r="C669" s="1"/>
    </row>
    <row r="670" spans="2:3" ht="15.75" customHeight="1">
      <c r="B670" s="1"/>
      <c r="C670" s="1"/>
    </row>
    <row r="671" spans="2:3" ht="15.75" customHeight="1">
      <c r="B671" s="1"/>
      <c r="C671" s="1"/>
    </row>
    <row r="672" spans="2:3" ht="15.75" customHeight="1">
      <c r="B672" s="1"/>
      <c r="C672" s="1"/>
    </row>
    <row r="673" spans="2:3" ht="15.75" customHeight="1">
      <c r="B673" s="1"/>
      <c r="C673" s="1"/>
    </row>
    <row r="674" spans="2:3" ht="15.75" customHeight="1">
      <c r="B674" s="1"/>
      <c r="C674" s="1"/>
    </row>
    <row r="675" spans="2:3" ht="15.75" customHeight="1">
      <c r="B675" s="1"/>
      <c r="C675" s="1"/>
    </row>
    <row r="676" spans="2:3" ht="15.75" customHeight="1">
      <c r="B676" s="1"/>
      <c r="C676" s="1"/>
    </row>
    <row r="677" spans="2:3" ht="15.75" customHeight="1">
      <c r="B677" s="1"/>
      <c r="C677" s="1"/>
    </row>
    <row r="678" spans="2:3" ht="15.75" customHeight="1">
      <c r="B678" s="1"/>
      <c r="C678" s="1"/>
    </row>
    <row r="679" spans="2:3" ht="15.75" customHeight="1">
      <c r="B679" s="1"/>
      <c r="C679" s="1"/>
    </row>
    <row r="680" spans="2:3" ht="15.75" customHeight="1">
      <c r="B680" s="1"/>
      <c r="C680" s="1"/>
    </row>
    <row r="681" spans="2:3" ht="15.75" customHeight="1">
      <c r="B681" s="1"/>
      <c r="C681" s="1"/>
    </row>
    <row r="682" spans="2:3" ht="15.75" customHeight="1">
      <c r="B682" s="1"/>
      <c r="C682" s="1"/>
    </row>
    <row r="683" spans="2:3" ht="15.75" customHeight="1">
      <c r="B683" s="1"/>
      <c r="C683" s="1"/>
    </row>
    <row r="684" spans="2:3" ht="15.75" customHeight="1">
      <c r="B684" s="1"/>
      <c r="C684" s="1"/>
    </row>
    <row r="685" spans="2:3" ht="15.75" customHeight="1">
      <c r="B685" s="1"/>
      <c r="C685" s="1"/>
    </row>
    <row r="686" spans="2:3" ht="15.75" customHeight="1">
      <c r="B686" s="1"/>
      <c r="C686" s="1"/>
    </row>
    <row r="687" spans="2:3" ht="15.75" customHeight="1">
      <c r="B687" s="1"/>
      <c r="C687" s="1"/>
    </row>
    <row r="688" spans="2:3" ht="15.75" customHeight="1">
      <c r="B688" s="1"/>
      <c r="C688" s="1"/>
    </row>
    <row r="689" spans="2:3" ht="15.75" customHeight="1">
      <c r="B689" s="1"/>
      <c r="C689" s="1"/>
    </row>
    <row r="690" spans="2:3" ht="15.75" customHeight="1">
      <c r="B690" s="1"/>
      <c r="C690" s="1"/>
    </row>
    <row r="691" spans="2:3" ht="15.75" customHeight="1">
      <c r="B691" s="1"/>
      <c r="C691" s="1"/>
    </row>
    <row r="692" spans="2:3" ht="15.75" customHeight="1">
      <c r="B692" s="1"/>
      <c r="C692" s="1"/>
    </row>
    <row r="693" spans="2:3" ht="15.75" customHeight="1">
      <c r="B693" s="1"/>
      <c r="C693" s="1"/>
    </row>
    <row r="694" spans="2:3" ht="15.75" customHeight="1">
      <c r="B694" s="1"/>
      <c r="C694" s="1"/>
    </row>
    <row r="695" spans="2:3" ht="15.75" customHeight="1">
      <c r="B695" s="1"/>
      <c r="C695" s="1"/>
    </row>
    <row r="696" spans="2:3" ht="15.75" customHeight="1">
      <c r="B696" s="1"/>
      <c r="C696" s="1"/>
    </row>
    <row r="697" spans="2:3" ht="15.75" customHeight="1">
      <c r="B697" s="1"/>
      <c r="C697" s="1"/>
    </row>
    <row r="698" spans="2:3" ht="15.75" customHeight="1">
      <c r="B698" s="1"/>
      <c r="C698" s="1"/>
    </row>
    <row r="699" spans="2:3" ht="15.75" customHeight="1">
      <c r="B699" s="1"/>
      <c r="C699" s="1"/>
    </row>
    <row r="700" spans="2:3" ht="15.75" customHeight="1">
      <c r="B700" s="1"/>
      <c r="C700" s="1"/>
    </row>
    <row r="701" spans="2:3" ht="15.75" customHeight="1">
      <c r="B701" s="1"/>
      <c r="C701" s="1"/>
    </row>
    <row r="702" spans="2:3" ht="15.75" customHeight="1">
      <c r="B702" s="1"/>
      <c r="C702" s="1"/>
    </row>
    <row r="703" spans="2:3" ht="15.75" customHeight="1">
      <c r="B703" s="1"/>
      <c r="C703" s="1"/>
    </row>
    <row r="704" spans="2:3" ht="15.75" customHeight="1">
      <c r="B704" s="1"/>
      <c r="C704" s="1"/>
    </row>
    <row r="705" spans="2:3" ht="15.75" customHeight="1">
      <c r="B705" s="1"/>
      <c r="C705" s="1"/>
    </row>
    <row r="706" spans="2:3" ht="15.75" customHeight="1">
      <c r="B706" s="1"/>
      <c r="C706" s="1"/>
    </row>
    <row r="707" spans="2:3" ht="15.75" customHeight="1">
      <c r="B707" s="1"/>
      <c r="C707" s="1"/>
    </row>
    <row r="708" spans="2:3" ht="15.75" customHeight="1">
      <c r="B708" s="1"/>
      <c r="C708" s="1"/>
    </row>
    <row r="709" spans="2:3" ht="15.75" customHeight="1">
      <c r="B709" s="1"/>
      <c r="C709" s="1"/>
    </row>
    <row r="710" spans="2:3" ht="15.75" customHeight="1">
      <c r="B710" s="1"/>
      <c r="C710" s="1"/>
    </row>
    <row r="711" spans="2:3" ht="15.75" customHeight="1">
      <c r="B711" s="1"/>
      <c r="C711" s="1"/>
    </row>
    <row r="712" spans="2:3" ht="15.75" customHeight="1">
      <c r="B712" s="1"/>
      <c r="C712" s="1"/>
    </row>
    <row r="713" spans="2:3" ht="15.75" customHeight="1">
      <c r="B713" s="1"/>
      <c r="C713" s="1"/>
    </row>
    <row r="714" spans="2:3" ht="15.75" customHeight="1">
      <c r="B714" s="1"/>
      <c r="C714" s="1"/>
    </row>
    <row r="715" spans="2:3" ht="15.75" customHeight="1">
      <c r="B715" s="1"/>
      <c r="C715" s="1"/>
    </row>
    <row r="716" spans="2:3" ht="15.75" customHeight="1">
      <c r="B716" s="1"/>
      <c r="C716" s="1"/>
    </row>
    <row r="717" spans="2:3" ht="15.75" customHeight="1">
      <c r="B717" s="1"/>
      <c r="C717" s="1"/>
    </row>
    <row r="718" spans="2:3" ht="15.75" customHeight="1">
      <c r="B718" s="1"/>
      <c r="C718" s="1"/>
    </row>
    <row r="719" spans="2:3" ht="15.75" customHeight="1">
      <c r="B719" s="1"/>
      <c r="C719" s="1"/>
    </row>
    <row r="720" spans="2:3" ht="15.75" customHeight="1">
      <c r="B720" s="1"/>
      <c r="C720" s="1"/>
    </row>
    <row r="721" spans="2:3" ht="15.75" customHeight="1">
      <c r="B721" s="1"/>
      <c r="C721" s="1"/>
    </row>
    <row r="722" spans="2:3" ht="15.75" customHeight="1">
      <c r="B722" s="1"/>
      <c r="C722" s="1"/>
    </row>
    <row r="723" spans="2:3" ht="15.75" customHeight="1">
      <c r="B723" s="1"/>
      <c r="C723" s="1"/>
    </row>
    <row r="724" spans="2:3" ht="15.75" customHeight="1">
      <c r="B724" s="1"/>
      <c r="C724" s="1"/>
    </row>
    <row r="725" spans="2:3" ht="15.75" customHeight="1">
      <c r="B725" s="1"/>
      <c r="C725" s="1"/>
    </row>
    <row r="726" spans="2:3" ht="15.75" customHeight="1">
      <c r="B726" s="1"/>
      <c r="C726" s="1"/>
    </row>
    <row r="727" spans="2:3" ht="15.75" customHeight="1">
      <c r="B727" s="1"/>
      <c r="C727" s="1"/>
    </row>
    <row r="728" spans="2:3" ht="15.75" customHeight="1">
      <c r="B728" s="1"/>
      <c r="C728" s="1"/>
    </row>
    <row r="729" spans="2:3" ht="15.75" customHeight="1">
      <c r="B729" s="1"/>
      <c r="C729" s="1"/>
    </row>
    <row r="730" spans="2:3" ht="15.75" customHeight="1">
      <c r="B730" s="1"/>
      <c r="C730" s="1"/>
    </row>
    <row r="731" spans="2:3" ht="15.75" customHeight="1">
      <c r="B731" s="1"/>
      <c r="C731" s="1"/>
    </row>
    <row r="732" spans="2:3" ht="15.75" customHeight="1">
      <c r="B732" s="1"/>
      <c r="C732" s="1"/>
    </row>
    <row r="733" spans="2:3" ht="15.75" customHeight="1">
      <c r="B733" s="1"/>
      <c r="C733" s="1"/>
    </row>
    <row r="734" spans="2:3" ht="15.75" customHeight="1">
      <c r="B734" s="1"/>
      <c r="C734" s="1"/>
    </row>
    <row r="735" spans="2:3" ht="15.75" customHeight="1">
      <c r="B735" s="1"/>
      <c r="C735" s="1"/>
    </row>
    <row r="736" spans="2:3" ht="15.75" customHeight="1">
      <c r="B736" s="1"/>
      <c r="C736" s="1"/>
    </row>
    <row r="737" spans="2:3" ht="15.75" customHeight="1">
      <c r="B737" s="1"/>
      <c r="C737" s="1"/>
    </row>
    <row r="738" spans="2:3" ht="15.75" customHeight="1">
      <c r="B738" s="1"/>
      <c r="C738" s="1"/>
    </row>
    <row r="739" spans="2:3" ht="15.75" customHeight="1">
      <c r="B739" s="1"/>
      <c r="C739" s="1"/>
    </row>
    <row r="740" spans="2:3" ht="15.75" customHeight="1">
      <c r="B740" s="1"/>
      <c r="C740" s="1"/>
    </row>
    <row r="741" spans="2:3" ht="15.75" customHeight="1">
      <c r="B741" s="1"/>
      <c r="C741" s="1"/>
    </row>
    <row r="742" spans="2:3" ht="15.75" customHeight="1">
      <c r="B742" s="1"/>
      <c r="C742" s="1"/>
    </row>
    <row r="743" spans="2:3" ht="15.75" customHeight="1">
      <c r="B743" s="1"/>
      <c r="C743" s="1"/>
    </row>
    <row r="744" spans="2:3" ht="15.75" customHeight="1">
      <c r="B744" s="1"/>
      <c r="C744" s="1"/>
    </row>
    <row r="745" spans="2:3" ht="15.75" customHeight="1">
      <c r="B745" s="1"/>
      <c r="C745" s="1"/>
    </row>
    <row r="746" spans="2:3" ht="15.75" customHeight="1">
      <c r="B746" s="1"/>
      <c r="C746" s="1"/>
    </row>
    <row r="747" spans="2:3" ht="15.75" customHeight="1">
      <c r="B747" s="1"/>
      <c r="C747" s="1"/>
    </row>
    <row r="748" spans="2:3" ht="15.75" customHeight="1">
      <c r="B748" s="1"/>
      <c r="C748" s="1"/>
    </row>
    <row r="749" spans="2:3" ht="15.75" customHeight="1">
      <c r="B749" s="1"/>
      <c r="C749" s="1"/>
    </row>
    <row r="750" spans="2:3" ht="15.75" customHeight="1">
      <c r="B750" s="1"/>
      <c r="C750" s="1"/>
    </row>
    <row r="751" spans="2:3" ht="15.75" customHeight="1">
      <c r="B751" s="1"/>
      <c r="C751" s="1"/>
    </row>
    <row r="752" spans="2:3" ht="15.75" customHeight="1">
      <c r="B752" s="1"/>
      <c r="C752" s="1"/>
    </row>
    <row r="753" spans="2:3" ht="15.75" customHeight="1">
      <c r="B753" s="1"/>
      <c r="C753" s="1"/>
    </row>
    <row r="754" spans="2:3" ht="15.75" customHeight="1">
      <c r="B754" s="1"/>
      <c r="C754" s="1"/>
    </row>
    <row r="755" spans="2:3" ht="15.75" customHeight="1">
      <c r="B755" s="1"/>
      <c r="C755" s="1"/>
    </row>
    <row r="756" spans="2:3" ht="15.75" customHeight="1">
      <c r="B756" s="1"/>
      <c r="C756" s="1"/>
    </row>
    <row r="757" spans="2:3" ht="15.75" customHeight="1">
      <c r="B757" s="1"/>
      <c r="C757" s="1"/>
    </row>
    <row r="758" spans="2:3" ht="15.75" customHeight="1">
      <c r="B758" s="1"/>
      <c r="C758" s="1"/>
    </row>
    <row r="759" spans="2:3" ht="15.75" customHeight="1">
      <c r="B759" s="1"/>
      <c r="C759" s="1"/>
    </row>
    <row r="760" spans="2:3" ht="15.75" customHeight="1">
      <c r="B760" s="1"/>
      <c r="C760" s="1"/>
    </row>
    <row r="761" spans="2:3" ht="15.75" customHeight="1">
      <c r="B761" s="1"/>
      <c r="C761" s="1"/>
    </row>
    <row r="762" spans="2:3" ht="15.75" customHeight="1">
      <c r="B762" s="1"/>
      <c r="C762" s="1"/>
    </row>
    <row r="763" spans="2:3" ht="15.75" customHeight="1">
      <c r="B763" s="1"/>
      <c r="C763" s="1"/>
    </row>
    <row r="764" spans="2:3" ht="15.75" customHeight="1">
      <c r="B764" s="1"/>
      <c r="C764" s="1"/>
    </row>
    <row r="765" spans="2:3" ht="15.75" customHeight="1">
      <c r="B765" s="1"/>
      <c r="C765" s="1"/>
    </row>
    <row r="766" spans="2:3" ht="15.75" customHeight="1">
      <c r="B766" s="1"/>
      <c r="C766" s="1"/>
    </row>
    <row r="767" spans="2:3" ht="15.75" customHeight="1">
      <c r="B767" s="1"/>
      <c r="C767" s="1"/>
    </row>
    <row r="768" spans="2:3" ht="15.75" customHeight="1">
      <c r="B768" s="1"/>
      <c r="C768" s="1"/>
    </row>
    <row r="769" spans="2:3" ht="15.75" customHeight="1">
      <c r="B769" s="1"/>
      <c r="C769" s="1"/>
    </row>
    <row r="770" spans="2:3" ht="15.75" customHeight="1">
      <c r="B770" s="1"/>
      <c r="C770" s="1"/>
    </row>
    <row r="771" spans="2:3" ht="15.75" customHeight="1">
      <c r="B771" s="1"/>
      <c r="C771" s="1"/>
    </row>
    <row r="772" spans="2:3" ht="15.75" customHeight="1">
      <c r="B772" s="1"/>
      <c r="C772" s="1"/>
    </row>
    <row r="773" spans="2:3" ht="15.75" customHeight="1">
      <c r="B773" s="1"/>
      <c r="C773" s="1"/>
    </row>
    <row r="774" spans="2:3" ht="15.75" customHeight="1">
      <c r="B774" s="1"/>
      <c r="C774" s="1"/>
    </row>
    <row r="775" spans="2:3" ht="15.75" customHeight="1">
      <c r="B775" s="1"/>
      <c r="C775" s="1"/>
    </row>
    <row r="776" spans="2:3" ht="15.75" customHeight="1">
      <c r="B776" s="1"/>
      <c r="C776" s="1"/>
    </row>
    <row r="777" spans="2:3" ht="15.75" customHeight="1">
      <c r="B777" s="1"/>
      <c r="C777" s="1"/>
    </row>
    <row r="778" spans="2:3" ht="15.75" customHeight="1">
      <c r="B778" s="1"/>
      <c r="C778" s="1"/>
    </row>
    <row r="779" spans="2:3" ht="15.75" customHeight="1">
      <c r="B779" s="1"/>
      <c r="C779" s="1"/>
    </row>
    <row r="780" spans="2:3" ht="15.75" customHeight="1">
      <c r="B780" s="1"/>
      <c r="C780" s="1"/>
    </row>
    <row r="781" spans="2:3" ht="15.75" customHeight="1">
      <c r="B781" s="1"/>
      <c r="C781" s="1"/>
    </row>
    <row r="782" spans="2:3" ht="15.75" customHeight="1">
      <c r="B782" s="1"/>
      <c r="C782" s="1"/>
    </row>
    <row r="783" spans="2:3" ht="15.75" customHeight="1">
      <c r="B783" s="1"/>
      <c r="C783" s="1"/>
    </row>
    <row r="784" spans="2:3" ht="15.75" customHeight="1">
      <c r="B784" s="1"/>
      <c r="C784" s="1"/>
    </row>
    <row r="785" spans="2:3" ht="15.75" customHeight="1">
      <c r="B785" s="1"/>
      <c r="C785" s="1"/>
    </row>
    <row r="786" spans="2:3" ht="15.75" customHeight="1">
      <c r="B786" s="1"/>
      <c r="C786" s="1"/>
    </row>
    <row r="787" spans="2:3" ht="15.75" customHeight="1">
      <c r="B787" s="1"/>
      <c r="C787" s="1"/>
    </row>
    <row r="788" spans="2:3" ht="15.75" customHeight="1">
      <c r="B788" s="1"/>
      <c r="C788" s="1"/>
    </row>
    <row r="789" spans="2:3" ht="15.75" customHeight="1">
      <c r="B789" s="1"/>
      <c r="C789" s="1"/>
    </row>
    <row r="790" spans="2:3" ht="15.75" customHeight="1">
      <c r="B790" s="1"/>
      <c r="C790" s="1"/>
    </row>
    <row r="791" spans="2:3" ht="15.75" customHeight="1">
      <c r="B791" s="1"/>
      <c r="C791" s="1"/>
    </row>
    <row r="792" spans="2:3" ht="15.75" customHeight="1">
      <c r="B792" s="1"/>
      <c r="C792" s="1"/>
    </row>
    <row r="793" spans="2:3" ht="15.75" customHeight="1">
      <c r="B793" s="1"/>
      <c r="C793" s="1"/>
    </row>
    <row r="794" spans="2:3" ht="15.75" customHeight="1">
      <c r="B794" s="1"/>
      <c r="C794" s="1"/>
    </row>
    <row r="795" spans="2:3" ht="15.75" customHeight="1">
      <c r="B795" s="1"/>
      <c r="C795" s="1"/>
    </row>
    <row r="796" spans="2:3" ht="15.75" customHeight="1">
      <c r="B796" s="1"/>
      <c r="C796" s="1"/>
    </row>
    <row r="797" spans="2:3" ht="15.75" customHeight="1">
      <c r="B797" s="1"/>
      <c r="C797" s="1"/>
    </row>
    <row r="798" spans="2:3" ht="15.75" customHeight="1">
      <c r="B798" s="1"/>
      <c r="C798" s="1"/>
    </row>
    <row r="799" spans="2:3" ht="15.75" customHeight="1">
      <c r="B799" s="1"/>
      <c r="C799" s="1"/>
    </row>
    <row r="800" spans="2:3" ht="15.75" customHeight="1">
      <c r="B800" s="1"/>
      <c r="C800" s="1"/>
    </row>
    <row r="801" spans="2:3" ht="15.75" customHeight="1">
      <c r="B801" s="1"/>
      <c r="C801" s="1"/>
    </row>
    <row r="802" spans="2:3" ht="15.75" customHeight="1">
      <c r="B802" s="1"/>
      <c r="C802" s="1"/>
    </row>
    <row r="803" spans="2:3" ht="15.75" customHeight="1">
      <c r="B803" s="1"/>
      <c r="C803" s="1"/>
    </row>
    <row r="804" spans="2:3" ht="15.75" customHeight="1">
      <c r="B804" s="1"/>
      <c r="C804" s="1"/>
    </row>
    <row r="805" spans="2:3" ht="15.75" customHeight="1">
      <c r="B805" s="1"/>
      <c r="C805" s="1"/>
    </row>
    <row r="806" spans="2:3" ht="15.75" customHeight="1">
      <c r="B806" s="1"/>
      <c r="C806" s="1"/>
    </row>
    <row r="807" spans="2:3" ht="15.75" customHeight="1">
      <c r="B807" s="1"/>
      <c r="C807" s="1"/>
    </row>
    <row r="808" spans="2:3" ht="15.75" customHeight="1">
      <c r="B808" s="1"/>
      <c r="C808" s="1"/>
    </row>
    <row r="809" spans="2:3" ht="15.75" customHeight="1">
      <c r="B809" s="1"/>
      <c r="C809" s="1"/>
    </row>
    <row r="810" spans="2:3" ht="15.75" customHeight="1">
      <c r="B810" s="1"/>
      <c r="C810" s="1"/>
    </row>
    <row r="811" spans="2:3" ht="15.75" customHeight="1">
      <c r="B811" s="1"/>
      <c r="C811" s="1"/>
    </row>
    <row r="812" spans="2:3" ht="15.75" customHeight="1">
      <c r="B812" s="1"/>
      <c r="C812" s="1"/>
    </row>
    <row r="813" spans="2:3" ht="15.75" customHeight="1">
      <c r="B813" s="1"/>
      <c r="C813" s="1"/>
    </row>
    <row r="814" spans="2:3" ht="15.75" customHeight="1">
      <c r="B814" s="1"/>
      <c r="C814" s="1"/>
    </row>
    <row r="815" spans="2:3" ht="15.75" customHeight="1">
      <c r="B815" s="1"/>
      <c r="C815" s="1"/>
    </row>
    <row r="816" spans="2:3" ht="15.75" customHeight="1">
      <c r="B816" s="1"/>
      <c r="C816" s="1"/>
    </row>
    <row r="817" spans="2:3" ht="15.75" customHeight="1">
      <c r="B817" s="1"/>
      <c r="C817" s="1"/>
    </row>
    <row r="818" spans="2:3" ht="15.75" customHeight="1">
      <c r="B818" s="1"/>
      <c r="C818" s="1"/>
    </row>
    <row r="819" spans="2:3" ht="15.75" customHeight="1">
      <c r="B819" s="1"/>
      <c r="C819" s="1"/>
    </row>
    <row r="820" spans="2:3" ht="15.75" customHeight="1">
      <c r="B820" s="1"/>
      <c r="C820" s="1"/>
    </row>
    <row r="821" spans="2:3" ht="15.75" customHeight="1">
      <c r="B821" s="1"/>
      <c r="C821" s="1"/>
    </row>
    <row r="822" spans="2:3" ht="15.75" customHeight="1">
      <c r="B822" s="1"/>
      <c r="C822" s="1"/>
    </row>
    <row r="823" spans="2:3" ht="15.75" customHeight="1">
      <c r="B823" s="1"/>
      <c r="C823" s="1"/>
    </row>
    <row r="824" spans="2:3" ht="15.75" customHeight="1">
      <c r="B824" s="1"/>
      <c r="C824" s="1"/>
    </row>
    <row r="825" spans="2:3" ht="15.75" customHeight="1">
      <c r="B825" s="1"/>
      <c r="C825" s="1"/>
    </row>
    <row r="826" spans="2:3" ht="15.75" customHeight="1">
      <c r="B826" s="1"/>
      <c r="C826" s="1"/>
    </row>
    <row r="827" spans="2:3" ht="15.75" customHeight="1">
      <c r="B827" s="1"/>
      <c r="C827" s="1"/>
    </row>
    <row r="828" spans="2:3" ht="15.75" customHeight="1">
      <c r="B828" s="1"/>
      <c r="C828" s="1"/>
    </row>
    <row r="829" spans="2:3" ht="15.75" customHeight="1">
      <c r="B829" s="1"/>
      <c r="C829" s="1"/>
    </row>
    <row r="830" spans="2:3" ht="15.75" customHeight="1">
      <c r="B830" s="1"/>
      <c r="C830" s="1"/>
    </row>
    <row r="831" spans="2:3" ht="15.75" customHeight="1">
      <c r="B831" s="1"/>
      <c r="C831" s="1"/>
    </row>
    <row r="832" spans="2:3" ht="15.75" customHeight="1">
      <c r="B832" s="1"/>
      <c r="C832" s="1"/>
    </row>
    <row r="833" spans="2:3" ht="15.75" customHeight="1">
      <c r="B833" s="1"/>
      <c r="C833" s="1"/>
    </row>
    <row r="834" spans="2:3" ht="15.75" customHeight="1">
      <c r="B834" s="1"/>
      <c r="C834" s="1"/>
    </row>
    <row r="835" spans="2:3" ht="15.75" customHeight="1">
      <c r="B835" s="1"/>
      <c r="C835" s="1"/>
    </row>
    <row r="836" spans="2:3" ht="15.75" customHeight="1">
      <c r="B836" s="1"/>
      <c r="C836" s="1"/>
    </row>
    <row r="837" spans="2:3" ht="15.75" customHeight="1">
      <c r="B837" s="1"/>
      <c r="C837" s="1"/>
    </row>
    <row r="838" spans="2:3" ht="15.75" customHeight="1">
      <c r="B838" s="1"/>
      <c r="C838" s="1"/>
    </row>
    <row r="839" spans="2:3" ht="15.75" customHeight="1">
      <c r="B839" s="1"/>
      <c r="C839" s="1"/>
    </row>
    <row r="840" spans="2:3" ht="15.75" customHeight="1">
      <c r="B840" s="1"/>
      <c r="C840" s="1"/>
    </row>
    <row r="841" spans="2:3" ht="15.75" customHeight="1">
      <c r="B841" s="1"/>
      <c r="C841" s="1"/>
    </row>
    <row r="842" spans="2:3" ht="15.75" customHeight="1">
      <c r="B842" s="1"/>
      <c r="C842" s="1"/>
    </row>
    <row r="843" spans="2:3" ht="15.75" customHeight="1">
      <c r="B843" s="1"/>
      <c r="C843" s="1"/>
    </row>
    <row r="844" spans="2:3" ht="15.75" customHeight="1">
      <c r="B844" s="1"/>
      <c r="C844" s="1"/>
    </row>
    <row r="845" spans="2:3" ht="15.75" customHeight="1">
      <c r="B845" s="1"/>
      <c r="C845" s="1"/>
    </row>
    <row r="846" spans="2:3" ht="15.75" customHeight="1">
      <c r="B846" s="1"/>
      <c r="C846" s="1"/>
    </row>
    <row r="847" spans="2:3" ht="15.75" customHeight="1">
      <c r="B847" s="1"/>
      <c r="C847" s="1"/>
    </row>
    <row r="848" spans="2:3" ht="15.75" customHeight="1">
      <c r="B848" s="1"/>
      <c r="C848" s="1"/>
    </row>
    <row r="849" spans="2:3" ht="15.75" customHeight="1">
      <c r="B849" s="1"/>
      <c r="C849" s="1"/>
    </row>
    <row r="850" spans="2:3" ht="15.75" customHeight="1">
      <c r="B850" s="1"/>
      <c r="C850" s="1"/>
    </row>
    <row r="851" spans="2:3" ht="15.75" customHeight="1">
      <c r="B851" s="1"/>
      <c r="C851" s="1"/>
    </row>
    <row r="852" spans="2:3" ht="15.75" customHeight="1">
      <c r="B852" s="1"/>
      <c r="C852" s="1"/>
    </row>
    <row r="853" spans="2:3" ht="15.75" customHeight="1">
      <c r="B853" s="1"/>
      <c r="C853" s="1"/>
    </row>
    <row r="854" spans="2:3" ht="15.75" customHeight="1">
      <c r="B854" s="1"/>
      <c r="C854" s="1"/>
    </row>
    <row r="855" spans="2:3" ht="15.75" customHeight="1">
      <c r="B855" s="1"/>
      <c r="C855" s="1"/>
    </row>
    <row r="856" spans="2:3" ht="15.75" customHeight="1">
      <c r="B856" s="1"/>
      <c r="C856" s="1"/>
    </row>
    <row r="857" spans="2:3" ht="15.75" customHeight="1">
      <c r="B857" s="1"/>
      <c r="C857" s="1"/>
    </row>
    <row r="858" spans="2:3" ht="15.75" customHeight="1">
      <c r="B858" s="1"/>
      <c r="C858" s="1"/>
    </row>
    <row r="859" spans="2:3" ht="15.75" customHeight="1">
      <c r="B859" s="1"/>
      <c r="C859" s="1"/>
    </row>
    <row r="860" spans="2:3" ht="15.75" customHeight="1">
      <c r="B860" s="1"/>
      <c r="C860" s="1"/>
    </row>
    <row r="861" spans="2:3" ht="15.75" customHeight="1">
      <c r="B861" s="1"/>
      <c r="C861" s="1"/>
    </row>
    <row r="862" spans="2:3" ht="15.75" customHeight="1">
      <c r="B862" s="1"/>
      <c r="C862" s="1"/>
    </row>
    <row r="863" spans="2:3" ht="15.75" customHeight="1">
      <c r="B863" s="1"/>
      <c r="C863" s="1"/>
    </row>
    <row r="864" spans="2:3" ht="15.75" customHeight="1">
      <c r="B864" s="1"/>
      <c r="C864" s="1"/>
    </row>
    <row r="865" spans="2:3" ht="15.75" customHeight="1">
      <c r="B865" s="1"/>
      <c r="C865" s="1"/>
    </row>
    <row r="866" spans="2:3" ht="15.75" customHeight="1">
      <c r="B866" s="1"/>
      <c r="C866" s="1"/>
    </row>
    <row r="867" spans="2:3" ht="15.75" customHeight="1">
      <c r="B867" s="1"/>
      <c r="C867" s="1"/>
    </row>
    <row r="868" spans="2:3" ht="15.75" customHeight="1">
      <c r="B868" s="1"/>
      <c r="C868" s="1"/>
    </row>
    <row r="869" spans="2:3" ht="15.75" customHeight="1">
      <c r="B869" s="1"/>
      <c r="C869" s="1"/>
    </row>
    <row r="870" spans="2:3" ht="15.75" customHeight="1">
      <c r="B870" s="1"/>
      <c r="C870" s="1"/>
    </row>
    <row r="871" spans="2:3" ht="15.75" customHeight="1">
      <c r="B871" s="1"/>
      <c r="C871" s="1"/>
    </row>
    <row r="872" spans="2:3" ht="15.75" customHeight="1">
      <c r="B872" s="1"/>
      <c r="C872" s="1"/>
    </row>
    <row r="873" spans="2:3" ht="15.75" customHeight="1">
      <c r="B873" s="1"/>
      <c r="C873" s="1"/>
    </row>
    <row r="874" spans="2:3" ht="15.75" customHeight="1">
      <c r="B874" s="1"/>
      <c r="C874" s="1"/>
    </row>
    <row r="875" spans="2:3" ht="15.75" customHeight="1">
      <c r="B875" s="1"/>
      <c r="C875" s="1"/>
    </row>
    <row r="876" spans="2:3" ht="15.75" customHeight="1">
      <c r="B876" s="1"/>
      <c r="C876" s="1"/>
    </row>
    <row r="877" spans="2:3" ht="15.75" customHeight="1">
      <c r="B877" s="1"/>
      <c r="C877" s="1"/>
    </row>
    <row r="878" spans="2:3" ht="15.75" customHeight="1">
      <c r="B878" s="1"/>
      <c r="C878" s="1"/>
    </row>
    <row r="879" spans="2:3" ht="15.75" customHeight="1">
      <c r="B879" s="1"/>
      <c r="C879" s="1"/>
    </row>
    <row r="880" spans="2:3" ht="15.75" customHeight="1">
      <c r="B880" s="1"/>
      <c r="C880" s="1"/>
    </row>
    <row r="881" spans="2:3" ht="15.75" customHeight="1">
      <c r="B881" s="1"/>
      <c r="C881" s="1"/>
    </row>
    <row r="882" spans="2:3" ht="15.75" customHeight="1">
      <c r="B882" s="1"/>
      <c r="C882" s="1"/>
    </row>
    <row r="883" spans="2:3" ht="15.75" customHeight="1">
      <c r="B883" s="1"/>
      <c r="C883" s="1"/>
    </row>
    <row r="884" spans="2:3" ht="15.75" customHeight="1">
      <c r="B884" s="1"/>
      <c r="C884" s="1"/>
    </row>
    <row r="885" spans="2:3" ht="15.75" customHeight="1">
      <c r="B885" s="1"/>
      <c r="C885" s="1"/>
    </row>
    <row r="886" spans="2:3" ht="15.75" customHeight="1">
      <c r="B886" s="1"/>
      <c r="C886" s="1"/>
    </row>
    <row r="887" spans="2:3" ht="15.75" customHeight="1">
      <c r="B887" s="1"/>
      <c r="C887" s="1"/>
    </row>
    <row r="888" spans="2:3" ht="15.75" customHeight="1">
      <c r="B888" s="1"/>
      <c r="C888" s="1"/>
    </row>
    <row r="889" spans="2:3" ht="15.75" customHeight="1">
      <c r="B889" s="1"/>
      <c r="C889" s="1"/>
    </row>
    <row r="890" spans="2:3" ht="15.75" customHeight="1">
      <c r="B890" s="1"/>
      <c r="C890" s="1"/>
    </row>
    <row r="891" spans="2:3" ht="15.75" customHeight="1">
      <c r="B891" s="1"/>
      <c r="C891" s="1"/>
    </row>
    <row r="892" spans="2:3" ht="15.75" customHeight="1">
      <c r="B892" s="1"/>
      <c r="C892" s="1"/>
    </row>
    <row r="893" spans="2:3" ht="15.75" customHeight="1">
      <c r="B893" s="1"/>
      <c r="C893" s="1"/>
    </row>
    <row r="894" spans="2:3" ht="15.75" customHeight="1">
      <c r="B894" s="1"/>
      <c r="C894" s="1"/>
    </row>
    <row r="895" spans="2:3" ht="15.75" customHeight="1">
      <c r="B895" s="1"/>
      <c r="C895" s="1"/>
    </row>
    <row r="896" spans="2:3" ht="15.75" customHeight="1">
      <c r="B896" s="1"/>
      <c r="C896" s="1"/>
    </row>
    <row r="897" spans="2:3" ht="15.75" customHeight="1">
      <c r="B897" s="1"/>
      <c r="C897" s="1"/>
    </row>
    <row r="898" spans="2:3" ht="15.75" customHeight="1">
      <c r="B898" s="1"/>
      <c r="C898" s="1"/>
    </row>
    <row r="899" spans="2:3" ht="15.75" customHeight="1">
      <c r="B899" s="1"/>
      <c r="C899" s="1"/>
    </row>
    <row r="900" spans="2:3" ht="15.75" customHeight="1">
      <c r="B900" s="1"/>
      <c r="C900" s="1"/>
    </row>
    <row r="901" spans="2:3" ht="15.75" customHeight="1">
      <c r="B901" s="1"/>
      <c r="C901" s="1"/>
    </row>
    <row r="902" spans="2:3" ht="15.75" customHeight="1">
      <c r="B902" s="1"/>
      <c r="C902" s="1"/>
    </row>
    <row r="903" spans="2:3" ht="15.75" customHeight="1">
      <c r="B903" s="1"/>
      <c r="C903" s="1"/>
    </row>
    <row r="904" spans="2:3" ht="15.75" customHeight="1">
      <c r="B904" s="1"/>
      <c r="C904" s="1"/>
    </row>
    <row r="905" spans="2:3" ht="15.75" customHeight="1">
      <c r="B905" s="1"/>
      <c r="C905" s="1"/>
    </row>
    <row r="906" spans="2:3" ht="15.75" customHeight="1">
      <c r="B906" s="1"/>
      <c r="C906" s="1"/>
    </row>
    <row r="907" spans="2:3" ht="15.75" customHeight="1">
      <c r="B907" s="1"/>
      <c r="C907" s="1"/>
    </row>
    <row r="908" spans="2:3" ht="15.75" customHeight="1">
      <c r="B908" s="1"/>
      <c r="C908" s="1"/>
    </row>
    <row r="909" spans="2:3" ht="15.75" customHeight="1">
      <c r="B909" s="1"/>
      <c r="C909" s="1"/>
    </row>
    <row r="910" spans="2:3" ht="15.75" customHeight="1">
      <c r="B910" s="1"/>
      <c r="C910" s="1"/>
    </row>
    <row r="911" spans="2:3" ht="15.75" customHeight="1">
      <c r="B911" s="1"/>
      <c r="C911" s="1"/>
    </row>
    <row r="912" spans="2:3" ht="15.75" customHeight="1">
      <c r="B912" s="1"/>
      <c r="C912" s="1"/>
    </row>
    <row r="913" spans="2:3" ht="15.75" customHeight="1">
      <c r="B913" s="1"/>
      <c r="C913" s="1"/>
    </row>
    <row r="914" spans="2:3" ht="15.75" customHeight="1">
      <c r="B914" s="1"/>
      <c r="C914" s="1"/>
    </row>
    <row r="915" spans="2:3" ht="15.75" customHeight="1">
      <c r="B915" s="1"/>
      <c r="C915" s="1"/>
    </row>
    <row r="916" spans="2:3" ht="15.75" customHeight="1">
      <c r="B916" s="1"/>
      <c r="C916" s="1"/>
    </row>
    <row r="917" spans="2:3" ht="15.75" customHeight="1">
      <c r="B917" s="1"/>
      <c r="C917" s="1"/>
    </row>
    <row r="918" spans="2:3" ht="15.75" customHeight="1">
      <c r="B918" s="1"/>
      <c r="C918" s="1"/>
    </row>
    <row r="919" spans="2:3" ht="15.75" customHeight="1">
      <c r="B919" s="1"/>
      <c r="C919" s="1"/>
    </row>
    <row r="920" spans="2:3" ht="15.75" customHeight="1">
      <c r="B920" s="1"/>
      <c r="C920" s="1"/>
    </row>
    <row r="921" spans="2:3" ht="15.75" customHeight="1">
      <c r="B921" s="1"/>
      <c r="C921" s="1"/>
    </row>
    <row r="922" spans="2:3" ht="15.75" customHeight="1">
      <c r="B922" s="1"/>
      <c r="C922" s="1"/>
    </row>
    <row r="923" spans="2:3" ht="15.75" customHeight="1">
      <c r="B923" s="1"/>
      <c r="C923" s="1"/>
    </row>
    <row r="924" spans="2:3" ht="15.75" customHeight="1">
      <c r="B924" s="1"/>
      <c r="C924" s="1"/>
    </row>
    <row r="925" spans="2:3" ht="15.75" customHeight="1">
      <c r="B925" s="1"/>
      <c r="C925" s="1"/>
    </row>
    <row r="926" spans="2:3" ht="15.75" customHeight="1">
      <c r="B926" s="1"/>
      <c r="C926" s="1"/>
    </row>
    <row r="927" spans="2:3" ht="15.75" customHeight="1">
      <c r="B927" s="1"/>
      <c r="C927" s="1"/>
    </row>
    <row r="928" spans="2:3" ht="15.75" customHeight="1">
      <c r="B928" s="1"/>
      <c r="C928" s="1"/>
    </row>
    <row r="929" spans="2:3" ht="15.75" customHeight="1">
      <c r="B929" s="1"/>
      <c r="C929" s="1"/>
    </row>
    <row r="930" spans="2:3" ht="15.75" customHeight="1">
      <c r="B930" s="1"/>
      <c r="C930" s="1"/>
    </row>
    <row r="931" spans="2:3" ht="15.75" customHeight="1">
      <c r="B931" s="1"/>
      <c r="C931" s="1"/>
    </row>
    <row r="932" spans="2:3" ht="15.75" customHeight="1">
      <c r="B932" s="1"/>
      <c r="C932" s="1"/>
    </row>
    <row r="933" spans="2:3" ht="15.75" customHeight="1">
      <c r="B933" s="1"/>
      <c r="C933" s="1"/>
    </row>
    <row r="934" spans="2:3" ht="15.75" customHeight="1">
      <c r="B934" s="1"/>
      <c r="C934" s="1"/>
    </row>
    <row r="935" spans="2:3" ht="15.75" customHeight="1">
      <c r="B935" s="1"/>
      <c r="C935" s="1"/>
    </row>
    <row r="936" spans="2:3" ht="15.75" customHeight="1">
      <c r="B936" s="1"/>
      <c r="C936" s="1"/>
    </row>
    <row r="937" spans="2:3" ht="15.75" customHeight="1">
      <c r="B937" s="1"/>
      <c r="C937" s="1"/>
    </row>
    <row r="938" spans="2:3" ht="15.75" customHeight="1">
      <c r="B938" s="1"/>
      <c r="C938" s="1"/>
    </row>
    <row r="939" spans="2:3" ht="15.75" customHeight="1">
      <c r="B939" s="1"/>
      <c r="C939" s="1"/>
    </row>
    <row r="940" spans="2:3" ht="15.75" customHeight="1">
      <c r="B940" s="1"/>
      <c r="C940" s="1"/>
    </row>
    <row r="941" spans="2:3" ht="15.75" customHeight="1">
      <c r="B941" s="1"/>
      <c r="C941" s="1"/>
    </row>
    <row r="942" spans="2:3" ht="15.75" customHeight="1">
      <c r="B942" s="1"/>
      <c r="C942" s="1"/>
    </row>
    <row r="943" spans="2:3" ht="15.75" customHeight="1">
      <c r="B943" s="1"/>
      <c r="C943" s="1"/>
    </row>
    <row r="944" spans="2:3" ht="15.75" customHeight="1">
      <c r="B944" s="1"/>
      <c r="C944" s="1"/>
    </row>
    <row r="945" spans="2:3" ht="15.75" customHeight="1">
      <c r="B945" s="1"/>
      <c r="C945" s="1"/>
    </row>
    <row r="946" spans="2:3" ht="15.75" customHeight="1">
      <c r="B946" s="1"/>
      <c r="C946" s="1"/>
    </row>
    <row r="947" spans="2:3" ht="15.75" customHeight="1">
      <c r="B947" s="1"/>
      <c r="C947" s="1"/>
    </row>
    <row r="948" spans="2:3" ht="15.75" customHeight="1">
      <c r="B948" s="1"/>
      <c r="C948" s="1"/>
    </row>
    <row r="949" spans="2:3" ht="15.75" customHeight="1">
      <c r="B949" s="1"/>
      <c r="C949" s="1"/>
    </row>
    <row r="950" spans="2:3" ht="15.75" customHeight="1">
      <c r="B950" s="1"/>
      <c r="C950" s="1"/>
    </row>
    <row r="951" spans="2:3" ht="15.75" customHeight="1">
      <c r="B951" s="1"/>
      <c r="C951" s="1"/>
    </row>
    <row r="952" spans="2:3" ht="15.75" customHeight="1">
      <c r="B952" s="1"/>
      <c r="C952" s="1"/>
    </row>
    <row r="953" spans="2:3" ht="15.75" customHeight="1">
      <c r="B953" s="1"/>
      <c r="C953" s="1"/>
    </row>
    <row r="954" spans="2:3" ht="15.75" customHeight="1">
      <c r="B954" s="1"/>
      <c r="C954" s="1"/>
    </row>
    <row r="955" spans="2:3" ht="15.75" customHeight="1">
      <c r="B955" s="1"/>
      <c r="C955" s="1"/>
    </row>
    <row r="956" spans="2:3" ht="15.75" customHeight="1">
      <c r="B956" s="1"/>
      <c r="C956" s="1"/>
    </row>
    <row r="957" spans="2:3" ht="15.75" customHeight="1">
      <c r="B957" s="1"/>
      <c r="C957" s="1"/>
    </row>
    <row r="958" spans="2:3" ht="15.75" customHeight="1">
      <c r="B958" s="1"/>
      <c r="C958" s="1"/>
    </row>
    <row r="959" spans="2:3" ht="15.75" customHeight="1">
      <c r="B959" s="1"/>
      <c r="C959" s="1"/>
    </row>
    <row r="960" spans="2:3" ht="15.75" customHeight="1">
      <c r="B960" s="1"/>
      <c r="C960" s="1"/>
    </row>
    <row r="961" spans="2:3" ht="15.75" customHeight="1">
      <c r="B961" s="1"/>
      <c r="C961" s="1"/>
    </row>
    <row r="962" spans="2:3" ht="15.75" customHeight="1">
      <c r="B962" s="1"/>
      <c r="C962" s="1"/>
    </row>
    <row r="963" spans="2:3" ht="15.75" customHeight="1">
      <c r="B963" s="1"/>
      <c r="C963" s="1"/>
    </row>
    <row r="964" spans="2:3" ht="15.75" customHeight="1">
      <c r="B964" s="1"/>
      <c r="C964" s="1"/>
    </row>
    <row r="965" spans="2:3" ht="15.75" customHeight="1">
      <c r="B965" s="1"/>
      <c r="C965" s="1"/>
    </row>
    <row r="966" spans="2:3" ht="15.75" customHeight="1">
      <c r="B966" s="1"/>
      <c r="C966" s="1"/>
    </row>
    <row r="967" spans="2:3" ht="15.75" customHeight="1">
      <c r="B967" s="1"/>
      <c r="C967" s="1"/>
    </row>
    <row r="968" spans="2:3" ht="15.75" customHeight="1">
      <c r="B968" s="1"/>
      <c r="C968" s="1"/>
    </row>
    <row r="969" spans="2:3" ht="15.75" customHeight="1">
      <c r="B969" s="1"/>
      <c r="C969" s="1"/>
    </row>
    <row r="970" spans="2:3" ht="15.75" customHeight="1">
      <c r="B970" s="1"/>
      <c r="C970" s="1"/>
    </row>
    <row r="971" spans="2:3" ht="15.75" customHeight="1">
      <c r="B971" s="1"/>
      <c r="C971" s="1"/>
    </row>
    <row r="972" spans="2:3" ht="15.75" customHeight="1">
      <c r="B972" s="1"/>
      <c r="C972" s="1"/>
    </row>
    <row r="973" spans="2:3" ht="15.75" customHeight="1">
      <c r="B973" s="1"/>
      <c r="C973" s="1"/>
    </row>
    <row r="974" spans="2:3" ht="15.75" customHeight="1">
      <c r="B974" s="1"/>
      <c r="C974" s="1"/>
    </row>
    <row r="975" spans="2:3" ht="15.75" customHeight="1">
      <c r="B975" s="1"/>
      <c r="C975" s="1"/>
    </row>
    <row r="976" spans="2:3" ht="15.75" customHeight="1">
      <c r="B976" s="1"/>
      <c r="C976" s="1"/>
    </row>
    <row r="977" spans="2:3" ht="15.75" customHeight="1">
      <c r="B977" s="1"/>
      <c r="C977" s="1"/>
    </row>
    <row r="978" spans="2:3" ht="15.75" customHeight="1">
      <c r="B978" s="1"/>
      <c r="C978" s="1"/>
    </row>
    <row r="979" spans="2:3" ht="15.75" customHeight="1">
      <c r="B979" s="1"/>
      <c r="C979" s="1"/>
    </row>
    <row r="980" spans="2:3" ht="15.75" customHeight="1">
      <c r="B980" s="1"/>
      <c r="C980" s="1"/>
    </row>
    <row r="981" spans="2:3" ht="15.75" customHeight="1">
      <c r="B981" s="1"/>
      <c r="C981" s="1"/>
    </row>
    <row r="982" spans="2:3" ht="15.75" customHeight="1">
      <c r="B982" s="1"/>
      <c r="C982" s="1"/>
    </row>
    <row r="983" spans="2:3" ht="15.75" customHeight="1">
      <c r="B983" s="1"/>
      <c r="C983" s="1"/>
    </row>
    <row r="984" spans="2:3" ht="15.75" customHeight="1">
      <c r="B984" s="1"/>
      <c r="C984" s="1"/>
    </row>
    <row r="985" spans="2:3" ht="15.75" customHeight="1">
      <c r="B985" s="1"/>
      <c r="C985" s="1"/>
    </row>
    <row r="986" spans="2:3" ht="15.75" customHeight="1">
      <c r="B986" s="1"/>
      <c r="C986" s="1"/>
    </row>
    <row r="987" spans="2:3" ht="15.75" customHeight="1">
      <c r="B987" s="1"/>
      <c r="C987" s="1"/>
    </row>
    <row r="988" spans="2:3" ht="15.75" customHeight="1">
      <c r="B988" s="1"/>
      <c r="C988" s="1"/>
    </row>
    <row r="989" spans="2:3" ht="15.75" customHeight="1">
      <c r="B989" s="1"/>
      <c r="C989" s="1"/>
    </row>
    <row r="990" spans="2:3" ht="15.75" customHeight="1">
      <c r="B990" s="1"/>
      <c r="C990" s="1"/>
    </row>
    <row r="991" spans="2:3" ht="15.75" customHeight="1">
      <c r="B991" s="1"/>
      <c r="C991" s="1"/>
    </row>
    <row r="992" spans="2:3" ht="15.75" customHeight="1">
      <c r="B992" s="1"/>
      <c r="C992" s="1"/>
    </row>
    <row r="993" spans="2:3" ht="15.75" customHeight="1">
      <c r="B993" s="1"/>
      <c r="C993" s="1"/>
    </row>
    <row r="994" spans="2:3" ht="15.75" customHeight="1">
      <c r="B994" s="1"/>
      <c r="C994" s="1"/>
    </row>
    <row r="995" spans="2:3" ht="15.75" customHeight="1">
      <c r="B995" s="1"/>
      <c r="C995" s="1"/>
    </row>
    <row r="996" spans="2:3" ht="15.75" customHeight="1">
      <c r="B996" s="1"/>
      <c r="C996" s="1"/>
    </row>
    <row r="997" spans="2:3" ht="15.75" customHeight="1">
      <c r="B997" s="1"/>
      <c r="C997" s="1"/>
    </row>
    <row r="998" spans="2:3" ht="15.75" customHeight="1">
      <c r="B998" s="1"/>
      <c r="C998" s="1"/>
    </row>
    <row r="999" spans="2:3" ht="15.75" customHeight="1">
      <c r="B999" s="1"/>
      <c r="C999" s="1"/>
    </row>
    <row r="1000" spans="2:3" ht="15.75" customHeight="1">
      <c r="B1000" s="1"/>
      <c r="C1000" s="1"/>
    </row>
    <row r="1001" spans="2:3" ht="15.75" customHeight="1">
      <c r="B1001" s="1"/>
      <c r="C1001" s="1"/>
    </row>
    <row r="1002" spans="2:3" ht="15.75" customHeight="1">
      <c r="B1002" s="1"/>
      <c r="C1002" s="1"/>
    </row>
    <row r="1003" spans="2:3" ht="15.75" customHeight="1">
      <c r="B1003" s="1"/>
      <c r="C1003" s="1"/>
    </row>
  </sheetData>
  <mergeCells count="38">
    <mergeCell ref="CM2:CO2"/>
    <mergeCell ref="CB3:CG3"/>
    <mergeCell ref="BV5:CA5"/>
    <mergeCell ref="BD4:BI4"/>
    <mergeCell ref="BJ4:BO4"/>
    <mergeCell ref="BP4:BU4"/>
    <mergeCell ref="BV4:CA4"/>
    <mergeCell ref="BD5:BI5"/>
    <mergeCell ref="BJ5:BO5"/>
    <mergeCell ref="BP5:BU5"/>
    <mergeCell ref="BJ3:BO3"/>
    <mergeCell ref="BP3:BU3"/>
    <mergeCell ref="C2:C5"/>
    <mergeCell ref="D2:D5"/>
    <mergeCell ref="E2:F2"/>
    <mergeCell ref="N2:CA2"/>
    <mergeCell ref="CJ2:CL2"/>
    <mergeCell ref="N5:S5"/>
    <mergeCell ref="T5:Y5"/>
    <mergeCell ref="Z5:AE5"/>
    <mergeCell ref="AF5:AK5"/>
    <mergeCell ref="AL5:AQ5"/>
    <mergeCell ref="AR5:AW5"/>
    <mergeCell ref="AX5:BC5"/>
    <mergeCell ref="BV3:CA3"/>
    <mergeCell ref="N3:S3"/>
    <mergeCell ref="N4:S4"/>
    <mergeCell ref="T4:Y4"/>
    <mergeCell ref="Z4:AE4"/>
    <mergeCell ref="AF4:AK4"/>
    <mergeCell ref="AL4:AQ4"/>
    <mergeCell ref="AR4:AW4"/>
    <mergeCell ref="AX4:BC4"/>
    <mergeCell ref="T3:AE3"/>
    <mergeCell ref="AK3:AQ3"/>
    <mergeCell ref="AR3:AW3"/>
    <mergeCell ref="AX3:BC3"/>
    <mergeCell ref="BD3:BI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baseColWidth="10" defaultColWidth="14.42578125" defaultRowHeight="15" customHeight="1"/>
  <cols>
    <col min="1" max="1" width="41.5703125" customWidth="1"/>
    <col min="2" max="2" width="7.42578125" customWidth="1"/>
    <col min="3" max="3" width="47.42578125" customWidth="1"/>
    <col min="4" max="4" width="21.140625" customWidth="1"/>
    <col min="5" max="5" width="44.5703125" customWidth="1"/>
    <col min="6" max="6" width="54" customWidth="1"/>
    <col min="7" max="7" width="64.42578125" customWidth="1"/>
    <col min="8" max="9" width="21.140625" customWidth="1"/>
    <col min="10" max="10" width="31.85546875" customWidth="1"/>
    <col min="11" max="11" width="53.7109375" customWidth="1"/>
    <col min="12" max="12" width="16.140625" customWidth="1"/>
    <col min="13" max="13" width="8.85546875" customWidth="1"/>
    <col min="14" max="14" width="22.140625" customWidth="1"/>
    <col min="15" max="15" width="21" customWidth="1"/>
    <col min="16" max="18" width="13.85546875" customWidth="1"/>
    <col min="19" max="19" width="26.28515625" customWidth="1"/>
    <col min="20" max="20" width="17.7109375" customWidth="1"/>
    <col min="21" max="21" width="13.42578125" customWidth="1"/>
    <col min="22" max="22" width="8.85546875" customWidth="1"/>
    <col min="23" max="23" width="14.28515625" customWidth="1"/>
    <col min="24" max="24" width="13" customWidth="1"/>
    <col min="25" max="25" width="46.28515625" customWidth="1"/>
    <col min="26" max="26" width="15.7109375" customWidth="1"/>
    <col min="27" max="27" width="30.42578125" customWidth="1"/>
    <col min="28" max="28" width="8.85546875" customWidth="1"/>
    <col min="29" max="31" width="18.42578125" customWidth="1"/>
    <col min="32" max="33" width="19.140625" customWidth="1"/>
    <col min="34" max="34" width="8.85546875" customWidth="1"/>
    <col min="35" max="35" width="10.7109375" customWidth="1"/>
  </cols>
  <sheetData>
    <row r="1" spans="1:35">
      <c r="B1" s="1"/>
      <c r="C1" s="2"/>
    </row>
    <row r="2" spans="1:35" ht="45">
      <c r="A2" s="3"/>
      <c r="B2" s="4" t="s">
        <v>0</v>
      </c>
      <c r="C2" s="67" t="s">
        <v>1</v>
      </c>
      <c r="D2" s="4" t="s">
        <v>2</v>
      </c>
      <c r="E2" s="154" t="s">
        <v>3</v>
      </c>
      <c r="F2" s="140"/>
      <c r="G2" s="5" t="s">
        <v>4</v>
      </c>
      <c r="H2" s="4" t="s">
        <v>5</v>
      </c>
      <c r="I2" s="6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155" t="s">
        <v>358</v>
      </c>
      <c r="O2" s="140"/>
      <c r="P2" s="140"/>
      <c r="Q2" s="140"/>
      <c r="R2" s="140"/>
      <c r="S2" s="140"/>
      <c r="T2" s="141"/>
      <c r="U2" s="68"/>
      <c r="V2" s="68"/>
      <c r="W2" s="68"/>
      <c r="X2" s="68"/>
      <c r="Y2" s="68"/>
      <c r="Z2" s="7" t="s">
        <v>359</v>
      </c>
      <c r="AA2" s="7" t="s">
        <v>360</v>
      </c>
      <c r="AB2" s="5" t="s">
        <v>25</v>
      </c>
      <c r="AC2" s="154" t="s">
        <v>12</v>
      </c>
      <c r="AD2" s="140"/>
      <c r="AE2" s="141"/>
      <c r="AF2" s="154" t="s">
        <v>13</v>
      </c>
      <c r="AG2" s="140"/>
      <c r="AH2" s="141"/>
      <c r="AI2" s="69"/>
    </row>
    <row r="3" spans="1:35" ht="46.5" customHeight="1">
      <c r="A3" s="70" t="s">
        <v>36</v>
      </c>
      <c r="B3" s="25"/>
      <c r="C3" s="2"/>
      <c r="D3" s="21"/>
      <c r="E3" s="22" t="s">
        <v>37</v>
      </c>
      <c r="F3" s="19" t="s">
        <v>38</v>
      </c>
      <c r="G3" s="12"/>
      <c r="H3" s="21"/>
      <c r="I3" s="21"/>
      <c r="J3" s="21"/>
      <c r="K3" s="21"/>
      <c r="L3" s="21"/>
      <c r="M3" s="21"/>
      <c r="N3" s="18" t="s">
        <v>14</v>
      </c>
      <c r="O3" s="159" t="s">
        <v>361</v>
      </c>
      <c r="P3" s="138"/>
      <c r="Q3" s="159" t="s">
        <v>16</v>
      </c>
      <c r="R3" s="138"/>
      <c r="S3" s="71" t="s">
        <v>362</v>
      </c>
      <c r="T3" s="71" t="s">
        <v>18</v>
      </c>
      <c r="U3" s="12" t="s">
        <v>19</v>
      </c>
      <c r="V3" s="17" t="s">
        <v>20</v>
      </c>
      <c r="W3" s="17" t="s">
        <v>21</v>
      </c>
      <c r="X3" s="17" t="s">
        <v>363</v>
      </c>
      <c r="Y3" s="17" t="s">
        <v>364</v>
      </c>
      <c r="Z3" s="21"/>
      <c r="AA3" s="21"/>
      <c r="AB3" s="21"/>
      <c r="AC3" s="12" t="s">
        <v>26</v>
      </c>
      <c r="AD3" s="12" t="s">
        <v>27</v>
      </c>
      <c r="AE3" s="12" t="s">
        <v>28</v>
      </c>
      <c r="AF3" s="12" t="s">
        <v>29</v>
      </c>
      <c r="AG3" s="19" t="s">
        <v>30</v>
      </c>
      <c r="AH3" s="19" t="s">
        <v>31</v>
      </c>
      <c r="AI3" s="66" t="s">
        <v>365</v>
      </c>
    </row>
    <row r="4" spans="1:35">
      <c r="A4" s="66"/>
      <c r="B4" s="25"/>
      <c r="C4" s="2"/>
      <c r="D4" s="21"/>
      <c r="E4" s="26"/>
      <c r="F4" s="13"/>
      <c r="G4" s="21"/>
      <c r="H4" s="21"/>
      <c r="I4" s="21"/>
      <c r="J4" s="21"/>
      <c r="K4" s="17"/>
      <c r="L4" s="21"/>
      <c r="M4" s="27"/>
      <c r="N4" s="72"/>
      <c r="O4" s="17" t="s">
        <v>366</v>
      </c>
      <c r="P4" s="17" t="s">
        <v>33</v>
      </c>
      <c r="Q4" s="17" t="s">
        <v>34</v>
      </c>
      <c r="R4" s="17" t="s">
        <v>35</v>
      </c>
      <c r="S4" s="73"/>
      <c r="T4" s="73"/>
      <c r="U4" s="72"/>
      <c r="V4" s="72"/>
      <c r="W4" s="17"/>
      <c r="X4" s="17"/>
      <c r="Y4" s="17"/>
      <c r="Z4" s="17"/>
      <c r="AA4" s="17"/>
      <c r="AB4" s="21"/>
      <c r="AC4" s="21"/>
      <c r="AD4" s="21"/>
      <c r="AE4" s="21"/>
      <c r="AF4" s="21"/>
      <c r="AG4" s="13"/>
      <c r="AH4" s="13"/>
      <c r="AI4" s="66" t="s">
        <v>367</v>
      </c>
    </row>
    <row r="5" spans="1:35">
      <c r="A5" s="66" t="s">
        <v>368</v>
      </c>
      <c r="B5" s="30">
        <v>1</v>
      </c>
      <c r="C5" s="28" t="s">
        <v>369</v>
      </c>
      <c r="D5" s="28" t="s">
        <v>370</v>
      </c>
      <c r="E5" s="28" t="s">
        <v>371</v>
      </c>
      <c r="F5" s="13"/>
      <c r="G5" s="28" t="s">
        <v>372</v>
      </c>
      <c r="H5" s="28">
        <v>12</v>
      </c>
      <c r="I5" s="28" t="s">
        <v>373</v>
      </c>
      <c r="J5" s="28" t="s">
        <v>374</v>
      </c>
      <c r="K5" s="28" t="s">
        <v>375</v>
      </c>
      <c r="L5" s="28" t="s">
        <v>376</v>
      </c>
      <c r="M5" s="28" t="s">
        <v>377</v>
      </c>
      <c r="N5" s="33">
        <v>0.71599999999999997</v>
      </c>
      <c r="O5" s="33">
        <v>1.2500000000000001E-2</v>
      </c>
      <c r="P5" s="35">
        <v>0.254</v>
      </c>
      <c r="Q5" s="33">
        <v>1.7999999999999999E-2</v>
      </c>
      <c r="R5" s="33">
        <v>0</v>
      </c>
      <c r="S5" s="24">
        <v>26.6</v>
      </c>
      <c r="T5" s="36">
        <v>0.84</v>
      </c>
      <c r="U5" s="33">
        <v>0.36599999999999999</v>
      </c>
      <c r="V5" s="33">
        <v>6.7000000000000004E-2</v>
      </c>
      <c r="W5" s="28">
        <v>7</v>
      </c>
      <c r="X5" s="28" t="s">
        <v>378</v>
      </c>
      <c r="Y5" s="28" t="s">
        <v>379</v>
      </c>
      <c r="Z5" s="28"/>
      <c r="AA5" s="28"/>
      <c r="AB5" s="13"/>
      <c r="AC5" s="13"/>
      <c r="AD5" s="13"/>
      <c r="AE5" s="13"/>
      <c r="AF5" s="13"/>
      <c r="AG5" s="13"/>
      <c r="AH5" s="13"/>
    </row>
    <row r="6" spans="1:35">
      <c r="A6" s="66" t="s">
        <v>380</v>
      </c>
      <c r="B6" s="30">
        <v>2</v>
      </c>
      <c r="C6" s="60" t="s">
        <v>381</v>
      </c>
      <c r="D6" s="60" t="s">
        <v>382</v>
      </c>
      <c r="E6" s="28" t="s">
        <v>383</v>
      </c>
      <c r="F6" s="13"/>
      <c r="G6" s="28">
        <v>92970015</v>
      </c>
      <c r="H6" s="28">
        <v>17</v>
      </c>
      <c r="I6" s="28" t="s">
        <v>384</v>
      </c>
      <c r="J6" s="28" t="s">
        <v>385</v>
      </c>
      <c r="K6" s="28" t="s">
        <v>386</v>
      </c>
      <c r="L6" s="28" t="s">
        <v>387</v>
      </c>
      <c r="M6" s="33">
        <v>7.4999999999999997E-2</v>
      </c>
      <c r="N6" s="33"/>
      <c r="O6" s="33"/>
      <c r="P6" s="33"/>
      <c r="Q6" s="33"/>
      <c r="R6" s="33"/>
      <c r="S6" s="24"/>
      <c r="T6" s="36"/>
      <c r="U6" s="33"/>
      <c r="V6" s="33"/>
      <c r="W6" s="28"/>
      <c r="X6" s="28"/>
      <c r="Y6" s="28"/>
      <c r="Z6" s="28"/>
      <c r="AA6" s="28"/>
      <c r="AB6" s="13"/>
      <c r="AC6" s="13"/>
      <c r="AD6" s="13"/>
      <c r="AE6" s="13"/>
      <c r="AF6" s="13"/>
      <c r="AG6" s="13"/>
      <c r="AH6" s="13"/>
    </row>
    <row r="7" spans="1:35">
      <c r="A7" s="66" t="s">
        <v>388</v>
      </c>
      <c r="B7" s="30">
        <v>3</v>
      </c>
      <c r="C7" s="28" t="s">
        <v>389</v>
      </c>
      <c r="D7" s="60" t="s">
        <v>390</v>
      </c>
      <c r="E7" s="13"/>
      <c r="F7" s="28" t="s">
        <v>391</v>
      </c>
      <c r="G7" s="28">
        <v>98137379</v>
      </c>
      <c r="H7" s="28">
        <v>12</v>
      </c>
      <c r="I7" s="28" t="s">
        <v>373</v>
      </c>
      <c r="J7" s="66" t="s">
        <v>392</v>
      </c>
      <c r="K7" s="28" t="s">
        <v>393</v>
      </c>
      <c r="L7" s="28" t="s">
        <v>394</v>
      </c>
      <c r="M7" s="28" t="s">
        <v>395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5">
      <c r="A8" s="66" t="s">
        <v>396</v>
      </c>
      <c r="B8" s="30">
        <v>4</v>
      </c>
      <c r="C8" s="28" t="s">
        <v>397</v>
      </c>
      <c r="D8" s="28" t="s">
        <v>398</v>
      </c>
      <c r="E8" s="28" t="s">
        <v>399</v>
      </c>
      <c r="F8" s="13"/>
      <c r="G8" s="28">
        <v>89920615</v>
      </c>
      <c r="H8" s="28">
        <v>8</v>
      </c>
      <c r="I8" s="28" t="s">
        <v>384</v>
      </c>
      <c r="J8" s="28" t="s">
        <v>400</v>
      </c>
      <c r="K8" s="28" t="s">
        <v>401</v>
      </c>
      <c r="L8" s="28" t="s">
        <v>402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5">
      <c r="A9" s="66" t="s">
        <v>403</v>
      </c>
      <c r="B9" s="30">
        <v>5</v>
      </c>
      <c r="C9" s="28" t="s">
        <v>404</v>
      </c>
      <c r="D9" s="28" t="s">
        <v>405</v>
      </c>
      <c r="E9" s="28" t="s">
        <v>406</v>
      </c>
      <c r="F9" s="13"/>
      <c r="G9" s="28">
        <v>96059578</v>
      </c>
      <c r="H9" s="28">
        <v>15</v>
      </c>
      <c r="I9" s="28" t="s">
        <v>373</v>
      </c>
      <c r="J9" s="28" t="s">
        <v>407</v>
      </c>
      <c r="K9" s="28" t="s">
        <v>408</v>
      </c>
      <c r="L9" s="28" t="s">
        <v>387</v>
      </c>
      <c r="M9" s="33">
        <v>0.14299999999999999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5">
      <c r="A10" s="66" t="s">
        <v>409</v>
      </c>
      <c r="B10" s="30">
        <v>6</v>
      </c>
      <c r="C10" s="28" t="s">
        <v>410</v>
      </c>
      <c r="D10" s="28" t="s">
        <v>411</v>
      </c>
      <c r="E10" s="28" t="s">
        <v>412</v>
      </c>
      <c r="F10" s="13"/>
      <c r="G10" s="28">
        <v>94793660</v>
      </c>
      <c r="H10" s="28">
        <v>11</v>
      </c>
      <c r="I10" s="28" t="s">
        <v>384</v>
      </c>
      <c r="J10" s="28" t="s">
        <v>413</v>
      </c>
      <c r="K10" s="28" t="s">
        <v>414</v>
      </c>
      <c r="L10" s="28" t="s">
        <v>387</v>
      </c>
      <c r="M10" s="33">
        <v>9.9000000000000005E-2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5">
      <c r="A11" s="66" t="s">
        <v>415</v>
      </c>
      <c r="B11" s="30">
        <v>7</v>
      </c>
      <c r="C11" s="60" t="s">
        <v>416</v>
      </c>
      <c r="D11" s="60" t="s">
        <v>417</v>
      </c>
      <c r="E11" s="13"/>
      <c r="F11" s="28" t="s">
        <v>418</v>
      </c>
      <c r="G11" s="28">
        <v>87549870</v>
      </c>
      <c r="H11" s="28">
        <v>16</v>
      </c>
      <c r="I11" s="28" t="s">
        <v>384</v>
      </c>
      <c r="J11" s="28" t="s">
        <v>419</v>
      </c>
      <c r="K11" s="28" t="s">
        <v>420</v>
      </c>
      <c r="L11" s="51">
        <v>46114</v>
      </c>
      <c r="M11" s="28" t="s">
        <v>421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5">
      <c r="A12" s="74"/>
      <c r="B12" s="30">
        <v>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3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5">
      <c r="A13" s="75"/>
      <c r="B13" s="30">
        <v>9</v>
      </c>
      <c r="C13" s="38"/>
      <c r="D13" s="38"/>
      <c r="E13" s="13"/>
      <c r="F13" s="13"/>
      <c r="G13" s="13"/>
      <c r="H13" s="13"/>
      <c r="I13" s="13"/>
      <c r="J13" s="13"/>
      <c r="K13" s="13"/>
      <c r="L13" s="13"/>
      <c r="M13" s="3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5">
      <c r="A14" s="76"/>
      <c r="B14" s="30">
        <v>10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3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35">
      <c r="A15" s="76"/>
      <c r="B15" s="30">
        <v>11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3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35">
      <c r="A16" s="76"/>
      <c r="B16" s="30">
        <v>12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3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>
      <c r="A17" s="76"/>
      <c r="B17" s="30">
        <v>13</v>
      </c>
      <c r="C17" s="13"/>
      <c r="D17" s="38"/>
      <c r="E17" s="13"/>
      <c r="F17" s="13"/>
      <c r="G17" s="13"/>
      <c r="H17" s="13"/>
      <c r="I17" s="13"/>
      <c r="J17" s="13"/>
      <c r="K17" s="28"/>
      <c r="L17" s="13"/>
      <c r="M17" s="3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1:34">
      <c r="A18" s="75"/>
      <c r="B18" s="30">
        <v>14</v>
      </c>
      <c r="C18" s="28"/>
      <c r="D18" s="28"/>
      <c r="E18" s="13"/>
      <c r="F18" s="28"/>
      <c r="G18" s="28"/>
      <c r="H18" s="28"/>
      <c r="I18" s="13"/>
      <c r="J18" s="28"/>
      <c r="K18" s="28"/>
      <c r="L18" s="51"/>
      <c r="M18" s="3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1:34">
      <c r="A19" s="77"/>
      <c r="B19" s="30">
        <v>15</v>
      </c>
      <c r="C19" s="28"/>
      <c r="D19" s="28"/>
      <c r="E19" s="28"/>
      <c r="F19" s="13"/>
      <c r="G19" s="28"/>
      <c r="H19" s="28"/>
      <c r="I19" s="13"/>
      <c r="J19" s="28"/>
      <c r="K19" s="28"/>
      <c r="L19" s="28"/>
      <c r="M19" s="3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1:34">
      <c r="A20" s="75"/>
      <c r="B20" s="53">
        <v>16</v>
      </c>
      <c r="C20" s="28"/>
      <c r="D20" s="24"/>
      <c r="E20" s="24"/>
      <c r="F20" s="8"/>
      <c r="G20" s="8"/>
      <c r="H20" s="24"/>
      <c r="I20" s="24"/>
      <c r="J20" s="24"/>
      <c r="K20" s="24"/>
      <c r="L20" s="24"/>
      <c r="M20" s="36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1:34">
      <c r="A21" s="77"/>
      <c r="B21" s="28">
        <v>17</v>
      </c>
      <c r="C21" s="28"/>
      <c r="D21" s="24"/>
      <c r="E21" s="8"/>
      <c r="F21" s="24"/>
      <c r="G21" s="24"/>
      <c r="H21" s="24"/>
      <c r="I21" s="24"/>
      <c r="J21" s="24"/>
      <c r="K21" s="24"/>
      <c r="L21" s="24"/>
      <c r="M21" s="36"/>
      <c r="N21" s="8"/>
      <c r="O21" s="8"/>
      <c r="P21" s="8"/>
      <c r="Q21" s="8"/>
      <c r="R21" s="8"/>
    </row>
    <row r="22" spans="1:34" ht="15.75" customHeight="1">
      <c r="A22" s="75"/>
      <c r="B22" s="28">
        <v>18</v>
      </c>
      <c r="C22" s="28"/>
      <c r="D22" s="24"/>
      <c r="E22" s="24"/>
      <c r="F22" s="8"/>
      <c r="G22" s="24"/>
      <c r="H22" s="66"/>
      <c r="I22" s="66"/>
      <c r="J22" s="24"/>
      <c r="K22" s="24"/>
      <c r="L22" s="24"/>
      <c r="M22" s="36"/>
    </row>
    <row r="23" spans="1:34" ht="15.75" customHeight="1">
      <c r="A23" s="75"/>
      <c r="B23" s="64">
        <v>19</v>
      </c>
      <c r="C23" s="64"/>
      <c r="D23" s="66"/>
      <c r="F23" s="66"/>
      <c r="G23" s="66"/>
      <c r="H23" s="66"/>
      <c r="I23" s="66"/>
      <c r="J23" s="24"/>
      <c r="K23" s="66"/>
      <c r="L23" s="66"/>
      <c r="M23" s="78"/>
    </row>
    <row r="24" spans="1:34" ht="15.75" customHeight="1">
      <c r="A24" s="75"/>
      <c r="B24" s="64">
        <v>20</v>
      </c>
      <c r="C24" s="64"/>
      <c r="D24" s="66"/>
      <c r="F24" s="66"/>
      <c r="G24" s="66"/>
      <c r="H24" s="66"/>
      <c r="I24" s="24"/>
      <c r="J24" s="66"/>
      <c r="K24" s="66"/>
      <c r="L24" s="66"/>
      <c r="M24" s="78"/>
    </row>
    <row r="25" spans="1:34" ht="18" customHeight="1">
      <c r="A25" s="75"/>
      <c r="B25" s="64">
        <v>21</v>
      </c>
      <c r="C25" s="64"/>
      <c r="D25" s="79"/>
      <c r="F25" s="66"/>
      <c r="G25" s="66"/>
      <c r="H25" s="66"/>
      <c r="I25" s="66"/>
      <c r="J25" s="66"/>
      <c r="K25" s="66"/>
      <c r="L25" s="66"/>
      <c r="M25" s="78"/>
    </row>
    <row r="26" spans="1:34" ht="17.25" customHeight="1">
      <c r="A26" s="75"/>
      <c r="B26" s="64"/>
      <c r="C26" s="64"/>
      <c r="M26" s="78"/>
    </row>
    <row r="27" spans="1:34" ht="15.75" customHeight="1">
      <c r="A27" s="75"/>
      <c r="B27" s="64">
        <v>23</v>
      </c>
      <c r="C27" s="64"/>
      <c r="D27" s="66"/>
      <c r="F27" s="66"/>
      <c r="G27" s="66"/>
      <c r="H27" s="66"/>
      <c r="I27" s="66"/>
      <c r="J27" s="66"/>
      <c r="K27" s="66"/>
      <c r="L27" s="66"/>
      <c r="M27" s="78"/>
    </row>
    <row r="28" spans="1:34" ht="16.5" customHeight="1">
      <c r="A28" s="75"/>
      <c r="B28" s="64">
        <v>24</v>
      </c>
      <c r="C28" s="64"/>
      <c r="D28" s="66"/>
      <c r="F28" s="66"/>
      <c r="G28" s="66"/>
      <c r="H28" s="66"/>
      <c r="I28" s="66"/>
      <c r="J28" s="66"/>
      <c r="K28" s="66"/>
      <c r="L28" s="80"/>
      <c r="M28" s="78"/>
    </row>
    <row r="29" spans="1:34" ht="15.75" customHeight="1">
      <c r="B29" s="1"/>
      <c r="C29" s="1"/>
    </row>
    <row r="30" spans="1:34" ht="15.75" customHeight="1">
      <c r="B30" s="1"/>
      <c r="C30" s="1"/>
    </row>
    <row r="31" spans="1:34" ht="15.75" customHeight="1">
      <c r="B31" s="1"/>
      <c r="C31" s="1"/>
    </row>
    <row r="32" spans="1:34" ht="15.75" customHeight="1">
      <c r="B32" s="1"/>
      <c r="C32" s="1"/>
    </row>
    <row r="33" spans="2:3" ht="15.75" customHeight="1">
      <c r="B33" s="1"/>
      <c r="C33" s="1"/>
    </row>
    <row r="34" spans="2:3" ht="15.75" customHeight="1">
      <c r="B34" s="1"/>
      <c r="C34" s="1"/>
    </row>
    <row r="35" spans="2:3" ht="15.75" customHeight="1">
      <c r="B35" s="1"/>
      <c r="C35" s="1"/>
    </row>
    <row r="36" spans="2:3" ht="15.75" customHeight="1">
      <c r="B36" s="1"/>
      <c r="C36" s="1"/>
    </row>
    <row r="37" spans="2:3" ht="15.75" customHeight="1">
      <c r="B37" s="1"/>
      <c r="C37" s="1"/>
    </row>
    <row r="38" spans="2:3" ht="15.75" customHeight="1">
      <c r="B38" s="1"/>
      <c r="C38" s="1"/>
    </row>
    <row r="39" spans="2:3" ht="15.75" customHeight="1">
      <c r="B39" s="1"/>
      <c r="C39" s="1"/>
    </row>
    <row r="40" spans="2:3" ht="15.75" customHeight="1">
      <c r="B40" s="1"/>
      <c r="C40" s="1"/>
    </row>
    <row r="41" spans="2:3" ht="15.75" customHeight="1">
      <c r="B41" s="1"/>
      <c r="C41" s="1"/>
    </row>
    <row r="42" spans="2:3" ht="15.75" customHeight="1">
      <c r="B42" s="1"/>
      <c r="C42" s="1"/>
    </row>
    <row r="43" spans="2:3" ht="15.75" customHeight="1">
      <c r="B43" s="1"/>
      <c r="C43" s="1"/>
    </row>
    <row r="44" spans="2:3" ht="15.75" customHeight="1">
      <c r="B44" s="1"/>
      <c r="C44" s="1"/>
    </row>
    <row r="45" spans="2:3" ht="15.75" customHeight="1">
      <c r="B45" s="1"/>
      <c r="C45" s="1"/>
    </row>
    <row r="46" spans="2:3" ht="15.75" customHeight="1">
      <c r="B46" s="1"/>
      <c r="C46" s="1"/>
    </row>
    <row r="47" spans="2:3" ht="15.75" customHeight="1">
      <c r="B47" s="1"/>
      <c r="C47" s="1"/>
    </row>
    <row r="48" spans="2:3" ht="15.75" customHeight="1">
      <c r="B48" s="1"/>
      <c r="C48" s="1"/>
    </row>
    <row r="49" spans="2:3" ht="15.75" customHeight="1">
      <c r="B49" s="1"/>
      <c r="C49" s="1"/>
    </row>
    <row r="50" spans="2:3" ht="15.75" customHeight="1">
      <c r="B50" s="1"/>
      <c r="C50" s="1"/>
    </row>
    <row r="51" spans="2:3" ht="15.75" customHeight="1">
      <c r="B51" s="1"/>
      <c r="C51" s="1"/>
    </row>
    <row r="52" spans="2:3" ht="15.75" customHeight="1">
      <c r="B52" s="1"/>
      <c r="C52" s="1"/>
    </row>
    <row r="53" spans="2:3" ht="15.75" customHeight="1">
      <c r="B53" s="1"/>
      <c r="C53" s="1"/>
    </row>
    <row r="54" spans="2:3" ht="15.75" customHeight="1">
      <c r="B54" s="1"/>
      <c r="C54" s="1"/>
    </row>
    <row r="55" spans="2:3" ht="15.75" customHeight="1">
      <c r="B55" s="1"/>
      <c r="C55" s="1"/>
    </row>
    <row r="56" spans="2:3" ht="15.75" customHeight="1">
      <c r="B56" s="1"/>
      <c r="C56" s="1"/>
    </row>
    <row r="57" spans="2:3" ht="15.75" customHeight="1">
      <c r="B57" s="1"/>
      <c r="C57" s="1"/>
    </row>
    <row r="58" spans="2:3" ht="15.75" customHeight="1">
      <c r="B58" s="1"/>
      <c r="C58" s="1"/>
    </row>
    <row r="59" spans="2:3" ht="15.75" customHeight="1">
      <c r="B59" s="1"/>
      <c r="C59" s="1"/>
    </row>
    <row r="60" spans="2:3" ht="15.75" customHeight="1">
      <c r="B60" s="1"/>
      <c r="C60" s="1"/>
    </row>
    <row r="61" spans="2:3" ht="15.75" customHeight="1">
      <c r="B61" s="1"/>
      <c r="C61" s="1"/>
    </row>
    <row r="62" spans="2:3" ht="15.75" customHeight="1">
      <c r="B62" s="1"/>
      <c r="C62" s="1"/>
    </row>
    <row r="63" spans="2:3" ht="15.75" customHeight="1">
      <c r="B63" s="1"/>
      <c r="C63" s="1"/>
    </row>
    <row r="64" spans="2:3" ht="15.75" customHeight="1">
      <c r="B64" s="1"/>
      <c r="C64" s="1"/>
    </row>
    <row r="65" spans="2:3" ht="15.75" customHeight="1">
      <c r="B65" s="1"/>
      <c r="C65" s="1"/>
    </row>
    <row r="66" spans="2:3" ht="15.75" customHeight="1">
      <c r="B66" s="1"/>
      <c r="C66" s="1"/>
    </row>
    <row r="67" spans="2:3" ht="15.75" customHeight="1">
      <c r="B67" s="1"/>
      <c r="C67" s="1"/>
    </row>
    <row r="68" spans="2:3" ht="15.75" customHeight="1">
      <c r="B68" s="1"/>
      <c r="C68" s="1"/>
    </row>
    <row r="69" spans="2:3" ht="15.75" customHeight="1">
      <c r="B69" s="1"/>
      <c r="C69" s="1"/>
    </row>
    <row r="70" spans="2:3" ht="15.75" customHeight="1">
      <c r="B70" s="1"/>
      <c r="C70" s="1"/>
    </row>
    <row r="71" spans="2:3" ht="15.75" customHeight="1">
      <c r="B71" s="1"/>
      <c r="C71" s="1"/>
    </row>
    <row r="72" spans="2:3" ht="15.75" customHeight="1">
      <c r="B72" s="1"/>
      <c r="C72" s="1"/>
    </row>
    <row r="73" spans="2:3" ht="15.75" customHeight="1">
      <c r="B73" s="1"/>
      <c r="C73" s="1"/>
    </row>
    <row r="74" spans="2:3" ht="15.75" customHeight="1">
      <c r="B74" s="1"/>
      <c r="C74" s="1"/>
    </row>
    <row r="75" spans="2:3" ht="15.75" customHeight="1">
      <c r="B75" s="1"/>
      <c r="C75" s="1"/>
    </row>
    <row r="76" spans="2:3" ht="15.75" customHeight="1">
      <c r="B76" s="1"/>
      <c r="C76" s="1"/>
    </row>
    <row r="77" spans="2:3" ht="15.75" customHeight="1">
      <c r="B77" s="1"/>
      <c r="C77" s="1"/>
    </row>
    <row r="78" spans="2:3" ht="15.75" customHeight="1">
      <c r="B78" s="1"/>
      <c r="C78" s="1"/>
    </row>
    <row r="79" spans="2:3" ht="15.75" customHeight="1">
      <c r="B79" s="1"/>
      <c r="C79" s="1"/>
    </row>
    <row r="80" spans="2:3" ht="15.75" customHeight="1">
      <c r="B80" s="1"/>
      <c r="C80" s="1"/>
    </row>
    <row r="81" spans="2:3" ht="15.75" customHeight="1">
      <c r="B81" s="1"/>
      <c r="C81" s="1"/>
    </row>
    <row r="82" spans="2:3" ht="15.75" customHeight="1">
      <c r="B82" s="1"/>
      <c r="C82" s="1"/>
    </row>
    <row r="83" spans="2:3" ht="15.75" customHeight="1">
      <c r="B83" s="1"/>
      <c r="C83" s="1"/>
    </row>
    <row r="84" spans="2:3" ht="15.75" customHeight="1">
      <c r="B84" s="1"/>
      <c r="C84" s="1"/>
    </row>
    <row r="85" spans="2:3" ht="15.75" customHeight="1">
      <c r="B85" s="1"/>
      <c r="C85" s="1"/>
    </row>
    <row r="86" spans="2:3" ht="15.75" customHeight="1">
      <c r="B86" s="1"/>
      <c r="C86" s="1"/>
    </row>
    <row r="87" spans="2:3" ht="15.75" customHeight="1">
      <c r="B87" s="1"/>
      <c r="C87" s="1"/>
    </row>
    <row r="88" spans="2:3" ht="15.75" customHeight="1">
      <c r="B88" s="1"/>
      <c r="C88" s="1"/>
    </row>
    <row r="89" spans="2:3" ht="15.75" customHeight="1">
      <c r="B89" s="1"/>
      <c r="C89" s="1"/>
    </row>
    <row r="90" spans="2:3" ht="15.75" customHeight="1">
      <c r="B90" s="1"/>
      <c r="C90" s="1"/>
    </row>
    <row r="91" spans="2:3" ht="15.75" customHeight="1">
      <c r="B91" s="1"/>
      <c r="C91" s="1"/>
    </row>
    <row r="92" spans="2:3" ht="15.75" customHeight="1">
      <c r="B92" s="1"/>
      <c r="C92" s="1"/>
    </row>
    <row r="93" spans="2:3" ht="15.75" customHeight="1">
      <c r="B93" s="1"/>
      <c r="C93" s="1"/>
    </row>
    <row r="94" spans="2:3" ht="15.75" customHeight="1">
      <c r="B94" s="1"/>
      <c r="C94" s="1"/>
    </row>
    <row r="95" spans="2:3" ht="15.75" customHeight="1">
      <c r="B95" s="1"/>
      <c r="C95" s="1"/>
    </row>
    <row r="96" spans="2:3" ht="15.75" customHeight="1">
      <c r="B96" s="1"/>
      <c r="C96" s="1"/>
    </row>
    <row r="97" spans="2:3" ht="15.75" customHeight="1">
      <c r="B97" s="1"/>
      <c r="C97" s="1"/>
    </row>
    <row r="98" spans="2:3" ht="15.75" customHeight="1">
      <c r="B98" s="1"/>
      <c r="C98" s="1"/>
    </row>
    <row r="99" spans="2:3" ht="15.75" customHeight="1">
      <c r="B99" s="1"/>
      <c r="C99" s="1"/>
    </row>
    <row r="100" spans="2:3" ht="15.75" customHeight="1">
      <c r="B100" s="1"/>
      <c r="C100" s="1"/>
    </row>
    <row r="101" spans="2:3" ht="15.75" customHeight="1">
      <c r="B101" s="1"/>
      <c r="C101" s="1"/>
    </row>
    <row r="102" spans="2:3" ht="15.75" customHeight="1">
      <c r="B102" s="1"/>
      <c r="C102" s="1"/>
    </row>
    <row r="103" spans="2:3" ht="15.75" customHeight="1">
      <c r="B103" s="1"/>
      <c r="C103" s="1"/>
    </row>
    <row r="104" spans="2:3" ht="15.75" customHeight="1">
      <c r="B104" s="1"/>
      <c r="C104" s="1"/>
    </row>
    <row r="105" spans="2:3" ht="15.75" customHeight="1">
      <c r="B105" s="1"/>
      <c r="C105" s="1"/>
    </row>
    <row r="106" spans="2:3" ht="15.75" customHeight="1">
      <c r="B106" s="1"/>
      <c r="C106" s="1"/>
    </row>
    <row r="107" spans="2:3" ht="15.75" customHeight="1">
      <c r="B107" s="1"/>
      <c r="C107" s="1"/>
    </row>
    <row r="108" spans="2:3" ht="15.75" customHeight="1">
      <c r="B108" s="1"/>
      <c r="C108" s="1"/>
    </row>
    <row r="109" spans="2:3" ht="15.75" customHeight="1">
      <c r="B109" s="1"/>
      <c r="C109" s="1"/>
    </row>
    <row r="110" spans="2:3" ht="15.75" customHeight="1">
      <c r="B110" s="1"/>
      <c r="C110" s="1"/>
    </row>
    <row r="111" spans="2:3" ht="15.75" customHeight="1">
      <c r="B111" s="1"/>
      <c r="C111" s="1"/>
    </row>
    <row r="112" spans="2:3" ht="15.75" customHeight="1">
      <c r="B112" s="1"/>
      <c r="C112" s="1"/>
    </row>
    <row r="113" spans="2:3" ht="15.75" customHeight="1">
      <c r="B113" s="1"/>
      <c r="C113" s="1"/>
    </row>
    <row r="114" spans="2:3" ht="15.75" customHeight="1">
      <c r="B114" s="1"/>
      <c r="C114" s="1"/>
    </row>
    <row r="115" spans="2:3" ht="15.75" customHeight="1">
      <c r="B115" s="1"/>
      <c r="C115" s="1"/>
    </row>
    <row r="116" spans="2:3" ht="15.75" customHeight="1">
      <c r="B116" s="1"/>
      <c r="C116" s="1"/>
    </row>
    <row r="117" spans="2:3" ht="15.75" customHeight="1">
      <c r="B117" s="1"/>
      <c r="C117" s="1"/>
    </row>
    <row r="118" spans="2:3" ht="15.75" customHeight="1">
      <c r="B118" s="1"/>
      <c r="C118" s="1"/>
    </row>
    <row r="119" spans="2:3" ht="15.75" customHeight="1">
      <c r="B119" s="1"/>
      <c r="C119" s="1"/>
    </row>
    <row r="120" spans="2:3" ht="15.75" customHeight="1">
      <c r="B120" s="1"/>
      <c r="C120" s="1"/>
    </row>
    <row r="121" spans="2:3" ht="15.75" customHeight="1">
      <c r="B121" s="1"/>
      <c r="C121" s="1"/>
    </row>
    <row r="122" spans="2:3" ht="15.75" customHeight="1">
      <c r="B122" s="1"/>
      <c r="C122" s="1"/>
    </row>
    <row r="123" spans="2:3" ht="15.75" customHeight="1">
      <c r="B123" s="1"/>
      <c r="C123" s="1"/>
    </row>
    <row r="124" spans="2:3" ht="15.75" customHeight="1">
      <c r="B124" s="1"/>
      <c r="C124" s="1"/>
    </row>
    <row r="125" spans="2:3" ht="15.75" customHeight="1">
      <c r="B125" s="1"/>
      <c r="C125" s="1"/>
    </row>
    <row r="126" spans="2:3" ht="15.75" customHeight="1">
      <c r="B126" s="1"/>
      <c r="C126" s="1"/>
    </row>
    <row r="127" spans="2:3" ht="15.75" customHeight="1">
      <c r="B127" s="1"/>
      <c r="C127" s="1"/>
    </row>
    <row r="128" spans="2:3" ht="15.75" customHeight="1">
      <c r="B128" s="1"/>
      <c r="C128" s="1"/>
    </row>
    <row r="129" spans="2:3" ht="15.75" customHeight="1">
      <c r="B129" s="1"/>
      <c r="C129" s="1"/>
    </row>
    <row r="130" spans="2:3" ht="15.75" customHeight="1">
      <c r="B130" s="1"/>
      <c r="C130" s="1"/>
    </row>
    <row r="131" spans="2:3" ht="15.75" customHeight="1">
      <c r="B131" s="1"/>
      <c r="C131" s="1"/>
    </row>
    <row r="132" spans="2:3" ht="15.75" customHeight="1">
      <c r="B132" s="1"/>
      <c r="C132" s="1"/>
    </row>
    <row r="133" spans="2:3" ht="15.75" customHeight="1">
      <c r="B133" s="1"/>
      <c r="C133" s="1"/>
    </row>
    <row r="134" spans="2:3" ht="15.75" customHeight="1">
      <c r="B134" s="1"/>
      <c r="C134" s="1"/>
    </row>
    <row r="135" spans="2:3" ht="15.75" customHeight="1">
      <c r="B135" s="1"/>
      <c r="C135" s="1"/>
    </row>
    <row r="136" spans="2:3" ht="15.75" customHeight="1">
      <c r="B136" s="1"/>
      <c r="C136" s="1"/>
    </row>
    <row r="137" spans="2:3" ht="15.75" customHeight="1">
      <c r="B137" s="1"/>
      <c r="C137" s="1"/>
    </row>
    <row r="138" spans="2:3" ht="15.75" customHeight="1">
      <c r="B138" s="1"/>
      <c r="C138" s="1"/>
    </row>
    <row r="139" spans="2:3" ht="15.75" customHeight="1">
      <c r="B139" s="1"/>
      <c r="C139" s="1"/>
    </row>
    <row r="140" spans="2:3" ht="15.75" customHeight="1">
      <c r="B140" s="1"/>
      <c r="C140" s="1"/>
    </row>
    <row r="141" spans="2:3" ht="15.75" customHeight="1">
      <c r="B141" s="1"/>
      <c r="C141" s="1"/>
    </row>
    <row r="142" spans="2:3" ht="15.75" customHeight="1">
      <c r="B142" s="1"/>
      <c r="C142" s="1"/>
    </row>
    <row r="143" spans="2:3" ht="15.75" customHeight="1">
      <c r="B143" s="1"/>
      <c r="C143" s="1"/>
    </row>
    <row r="144" spans="2:3" ht="15.75" customHeight="1">
      <c r="B144" s="1"/>
      <c r="C144" s="1"/>
    </row>
    <row r="145" spans="2:3" ht="15.75" customHeight="1">
      <c r="B145" s="1"/>
      <c r="C145" s="1"/>
    </row>
    <row r="146" spans="2:3" ht="15.75" customHeight="1">
      <c r="B146" s="1"/>
      <c r="C146" s="1"/>
    </row>
    <row r="147" spans="2:3" ht="15.75" customHeight="1">
      <c r="B147" s="1"/>
      <c r="C147" s="1"/>
    </row>
    <row r="148" spans="2:3" ht="15.75" customHeight="1">
      <c r="B148" s="1"/>
      <c r="C148" s="1"/>
    </row>
    <row r="149" spans="2:3" ht="15.75" customHeight="1">
      <c r="B149" s="1"/>
      <c r="C149" s="1"/>
    </row>
    <row r="150" spans="2:3" ht="15.75" customHeight="1">
      <c r="B150" s="1"/>
      <c r="C150" s="1"/>
    </row>
    <row r="151" spans="2:3" ht="15.75" customHeight="1">
      <c r="B151" s="1"/>
      <c r="C151" s="1"/>
    </row>
    <row r="152" spans="2:3" ht="15.75" customHeight="1">
      <c r="B152" s="1"/>
      <c r="C152" s="1"/>
    </row>
    <row r="153" spans="2:3" ht="15.75" customHeight="1">
      <c r="B153" s="1"/>
      <c r="C153" s="1"/>
    </row>
    <row r="154" spans="2:3" ht="15.75" customHeight="1">
      <c r="B154" s="1"/>
      <c r="C154" s="1"/>
    </row>
    <row r="155" spans="2:3" ht="15.75" customHeight="1">
      <c r="B155" s="1"/>
      <c r="C155" s="1"/>
    </row>
    <row r="156" spans="2:3" ht="15.75" customHeight="1">
      <c r="B156" s="1"/>
      <c r="C156" s="1"/>
    </row>
    <row r="157" spans="2:3" ht="15.75" customHeight="1">
      <c r="B157" s="1"/>
      <c r="C157" s="1"/>
    </row>
    <row r="158" spans="2:3" ht="15.75" customHeight="1">
      <c r="B158" s="1"/>
      <c r="C158" s="1"/>
    </row>
    <row r="159" spans="2:3" ht="15.75" customHeight="1">
      <c r="B159" s="1"/>
      <c r="C159" s="1"/>
    </row>
    <row r="160" spans="2:3" ht="15.75" customHeight="1">
      <c r="B160" s="1"/>
      <c r="C160" s="1"/>
    </row>
    <row r="161" spans="2:3" ht="15.75" customHeight="1">
      <c r="B161" s="1"/>
      <c r="C161" s="1"/>
    </row>
    <row r="162" spans="2:3" ht="15.75" customHeight="1">
      <c r="B162" s="1"/>
      <c r="C162" s="1"/>
    </row>
    <row r="163" spans="2:3" ht="15.75" customHeight="1">
      <c r="B163" s="1"/>
      <c r="C163" s="1"/>
    </row>
    <row r="164" spans="2:3" ht="15.75" customHeight="1">
      <c r="B164" s="1"/>
      <c r="C164" s="1"/>
    </row>
    <row r="165" spans="2:3" ht="15.75" customHeight="1">
      <c r="B165" s="1"/>
      <c r="C165" s="1"/>
    </row>
    <row r="166" spans="2:3" ht="15.75" customHeight="1">
      <c r="B166" s="1"/>
      <c r="C166" s="1"/>
    </row>
    <row r="167" spans="2:3" ht="15.75" customHeight="1">
      <c r="B167" s="1"/>
      <c r="C167" s="1"/>
    </row>
    <row r="168" spans="2:3" ht="15.75" customHeight="1">
      <c r="B168" s="1"/>
      <c r="C168" s="1"/>
    </row>
    <row r="169" spans="2:3" ht="15.75" customHeight="1">
      <c r="B169" s="1"/>
      <c r="C169" s="1"/>
    </row>
    <row r="170" spans="2:3" ht="15.75" customHeight="1">
      <c r="B170" s="1"/>
      <c r="C170" s="1"/>
    </row>
    <row r="171" spans="2:3" ht="15.75" customHeight="1">
      <c r="B171" s="1"/>
      <c r="C171" s="1"/>
    </row>
    <row r="172" spans="2:3" ht="15.75" customHeight="1">
      <c r="B172" s="1"/>
      <c r="C172" s="1"/>
    </row>
    <row r="173" spans="2:3" ht="15.75" customHeight="1">
      <c r="B173" s="1"/>
      <c r="C173" s="1"/>
    </row>
    <row r="174" spans="2:3" ht="15.75" customHeight="1">
      <c r="B174" s="1"/>
      <c r="C174" s="1"/>
    </row>
    <row r="175" spans="2:3" ht="15.75" customHeight="1">
      <c r="B175" s="1"/>
      <c r="C175" s="1"/>
    </row>
    <row r="176" spans="2:3" ht="15.75" customHeight="1">
      <c r="B176" s="1"/>
      <c r="C176" s="1"/>
    </row>
    <row r="177" spans="2:3" ht="15.75" customHeight="1">
      <c r="B177" s="1"/>
      <c r="C177" s="1"/>
    </row>
    <row r="178" spans="2:3" ht="15.75" customHeight="1">
      <c r="B178" s="1"/>
      <c r="C178" s="1"/>
    </row>
    <row r="179" spans="2:3" ht="15.75" customHeight="1">
      <c r="B179" s="1"/>
      <c r="C179" s="1"/>
    </row>
    <row r="180" spans="2:3" ht="15.75" customHeight="1">
      <c r="B180" s="1"/>
      <c r="C180" s="1"/>
    </row>
    <row r="181" spans="2:3" ht="15.75" customHeight="1">
      <c r="B181" s="1"/>
      <c r="C181" s="1"/>
    </row>
    <row r="182" spans="2:3" ht="15.75" customHeight="1">
      <c r="B182" s="1"/>
      <c r="C182" s="1"/>
    </row>
    <row r="183" spans="2:3" ht="15.75" customHeight="1">
      <c r="B183" s="1"/>
      <c r="C183" s="1"/>
    </row>
    <row r="184" spans="2:3" ht="15.75" customHeight="1">
      <c r="B184" s="1"/>
      <c r="C184" s="1"/>
    </row>
    <row r="185" spans="2:3" ht="15.75" customHeight="1">
      <c r="B185" s="1"/>
      <c r="C185" s="1"/>
    </row>
    <row r="186" spans="2:3" ht="15.75" customHeight="1">
      <c r="B186" s="1"/>
      <c r="C186" s="1"/>
    </row>
    <row r="187" spans="2:3" ht="15.75" customHeight="1">
      <c r="B187" s="1"/>
      <c r="C187" s="1"/>
    </row>
    <row r="188" spans="2:3" ht="15.75" customHeight="1">
      <c r="B188" s="1"/>
      <c r="C188" s="1"/>
    </row>
    <row r="189" spans="2:3" ht="15.75" customHeight="1">
      <c r="B189" s="1"/>
      <c r="C189" s="1"/>
    </row>
    <row r="190" spans="2:3" ht="15.75" customHeight="1">
      <c r="B190" s="1"/>
      <c r="C190" s="1"/>
    </row>
    <row r="191" spans="2:3" ht="15.75" customHeight="1">
      <c r="B191" s="1"/>
      <c r="C191" s="1"/>
    </row>
    <row r="192" spans="2:3" ht="15.75" customHeight="1">
      <c r="B192" s="1"/>
      <c r="C192" s="1"/>
    </row>
    <row r="193" spans="2:3" ht="15.75" customHeight="1">
      <c r="B193" s="1"/>
      <c r="C193" s="1"/>
    </row>
    <row r="194" spans="2:3" ht="15.75" customHeight="1">
      <c r="B194" s="1"/>
      <c r="C194" s="1"/>
    </row>
    <row r="195" spans="2:3" ht="15.75" customHeight="1">
      <c r="B195" s="1"/>
      <c r="C195" s="1"/>
    </row>
    <row r="196" spans="2:3" ht="15.75" customHeight="1">
      <c r="B196" s="1"/>
      <c r="C196" s="1"/>
    </row>
    <row r="197" spans="2:3" ht="15.75" customHeight="1">
      <c r="B197" s="1"/>
      <c r="C197" s="1"/>
    </row>
    <row r="198" spans="2:3" ht="15.75" customHeight="1">
      <c r="B198" s="1"/>
      <c r="C198" s="1"/>
    </row>
    <row r="199" spans="2:3" ht="15.75" customHeight="1">
      <c r="B199" s="1"/>
      <c r="C199" s="1"/>
    </row>
    <row r="200" spans="2:3" ht="15.75" customHeight="1">
      <c r="B200" s="1"/>
      <c r="C200" s="1"/>
    </row>
    <row r="201" spans="2:3" ht="15.75" customHeight="1">
      <c r="B201" s="1"/>
      <c r="C201" s="1"/>
    </row>
    <row r="202" spans="2:3" ht="15.75" customHeight="1">
      <c r="B202" s="1"/>
      <c r="C202" s="1"/>
    </row>
    <row r="203" spans="2:3" ht="15.75" customHeight="1">
      <c r="B203" s="1"/>
      <c r="C203" s="1"/>
    </row>
    <row r="204" spans="2:3" ht="15.75" customHeight="1">
      <c r="B204" s="1"/>
      <c r="C204" s="1"/>
    </row>
    <row r="205" spans="2:3" ht="15.75" customHeight="1">
      <c r="B205" s="1"/>
      <c r="C205" s="1"/>
    </row>
    <row r="206" spans="2:3" ht="15.75" customHeight="1">
      <c r="B206" s="1"/>
      <c r="C206" s="1"/>
    </row>
    <row r="207" spans="2:3" ht="15.75" customHeight="1">
      <c r="B207" s="1"/>
      <c r="C207" s="1"/>
    </row>
    <row r="208" spans="2:3" ht="15.75" customHeight="1">
      <c r="B208" s="1"/>
      <c r="C208" s="1"/>
    </row>
    <row r="209" spans="2:3" ht="15.75" customHeight="1">
      <c r="B209" s="1"/>
      <c r="C209" s="1"/>
    </row>
    <row r="210" spans="2:3" ht="15.75" customHeight="1">
      <c r="B210" s="1"/>
      <c r="C210" s="1"/>
    </row>
    <row r="211" spans="2:3" ht="15.75" customHeight="1">
      <c r="B211" s="1"/>
      <c r="C211" s="1"/>
    </row>
    <row r="212" spans="2:3" ht="15.75" customHeight="1">
      <c r="B212" s="1"/>
      <c r="C212" s="1"/>
    </row>
    <row r="213" spans="2:3" ht="15.75" customHeight="1">
      <c r="B213" s="1"/>
      <c r="C213" s="1"/>
    </row>
    <row r="214" spans="2:3" ht="15.75" customHeight="1">
      <c r="B214" s="1"/>
      <c r="C214" s="1"/>
    </row>
    <row r="215" spans="2:3" ht="15.75" customHeight="1">
      <c r="B215" s="1"/>
      <c r="C215" s="1"/>
    </row>
    <row r="216" spans="2:3" ht="15.75" customHeight="1">
      <c r="B216" s="1"/>
      <c r="C216" s="1"/>
    </row>
    <row r="217" spans="2:3" ht="15.75" customHeight="1">
      <c r="B217" s="1"/>
      <c r="C217" s="1"/>
    </row>
    <row r="218" spans="2:3" ht="15.75" customHeight="1">
      <c r="B218" s="1"/>
      <c r="C218" s="1"/>
    </row>
    <row r="219" spans="2:3" ht="15.75" customHeight="1">
      <c r="B219" s="1"/>
      <c r="C219" s="1"/>
    </row>
    <row r="220" spans="2:3" ht="15.75" customHeight="1">
      <c r="B220" s="1"/>
      <c r="C220" s="1"/>
    </row>
    <row r="221" spans="2:3" ht="15.75" customHeight="1">
      <c r="B221" s="1"/>
      <c r="C221" s="1"/>
    </row>
    <row r="222" spans="2:3" ht="15.75" customHeight="1">
      <c r="B222" s="1"/>
      <c r="C222" s="1"/>
    </row>
    <row r="223" spans="2:3" ht="15.75" customHeight="1">
      <c r="B223" s="1"/>
      <c r="C223" s="1"/>
    </row>
    <row r="224" spans="2:3" ht="15.75" customHeight="1">
      <c r="B224" s="1"/>
      <c r="C224" s="1"/>
    </row>
    <row r="225" spans="2:3" ht="15.75" customHeight="1">
      <c r="B225" s="1"/>
      <c r="C225" s="1"/>
    </row>
    <row r="226" spans="2:3" ht="15.75" customHeight="1">
      <c r="B226" s="1"/>
      <c r="C226" s="1"/>
    </row>
    <row r="227" spans="2:3" ht="15.75" customHeight="1">
      <c r="B227" s="1"/>
      <c r="C227" s="1"/>
    </row>
    <row r="228" spans="2:3" ht="15.75" customHeight="1">
      <c r="B228" s="1"/>
      <c r="C228" s="1"/>
    </row>
    <row r="229" spans="2:3" ht="15.75" customHeight="1">
      <c r="B229" s="1"/>
      <c r="C229" s="1"/>
    </row>
    <row r="230" spans="2:3" ht="15.75" customHeight="1">
      <c r="B230" s="1"/>
      <c r="C230" s="1"/>
    </row>
    <row r="231" spans="2:3" ht="15.75" customHeight="1">
      <c r="B231" s="1"/>
      <c r="C231" s="1"/>
    </row>
    <row r="232" spans="2:3" ht="15.75" customHeight="1">
      <c r="B232" s="1"/>
      <c r="C232" s="1"/>
    </row>
    <row r="233" spans="2:3" ht="15.75" customHeight="1">
      <c r="B233" s="1"/>
      <c r="C233" s="1"/>
    </row>
    <row r="234" spans="2:3" ht="15.75" customHeight="1">
      <c r="B234" s="1"/>
      <c r="C234" s="1"/>
    </row>
    <row r="235" spans="2:3" ht="15.75" customHeight="1">
      <c r="B235" s="1"/>
      <c r="C235" s="1"/>
    </row>
    <row r="236" spans="2:3" ht="15.75" customHeight="1">
      <c r="B236" s="1"/>
      <c r="C236" s="1"/>
    </row>
    <row r="237" spans="2:3" ht="15.75" customHeight="1">
      <c r="B237" s="1"/>
      <c r="C237" s="1"/>
    </row>
    <row r="238" spans="2:3" ht="15.75" customHeight="1">
      <c r="B238" s="1"/>
      <c r="C238" s="1"/>
    </row>
    <row r="239" spans="2:3" ht="15.75" customHeight="1">
      <c r="B239" s="1"/>
      <c r="C239" s="1"/>
    </row>
    <row r="240" spans="2:3" ht="15.75" customHeight="1">
      <c r="B240" s="1"/>
      <c r="C240" s="1"/>
    </row>
    <row r="241" spans="2:3" ht="15.75" customHeight="1">
      <c r="B241" s="1"/>
      <c r="C241" s="1"/>
    </row>
    <row r="242" spans="2:3" ht="15.75" customHeight="1">
      <c r="B242" s="1"/>
      <c r="C242" s="1"/>
    </row>
    <row r="243" spans="2:3" ht="15.75" customHeight="1">
      <c r="B243" s="1"/>
      <c r="C243" s="1"/>
    </row>
    <row r="244" spans="2:3" ht="15.75" customHeight="1">
      <c r="B244" s="1"/>
      <c r="C244" s="1"/>
    </row>
    <row r="245" spans="2:3" ht="15.75" customHeight="1">
      <c r="B245" s="1"/>
      <c r="C245" s="1"/>
    </row>
    <row r="246" spans="2:3" ht="15.75" customHeight="1">
      <c r="B246" s="1"/>
      <c r="C246" s="1"/>
    </row>
    <row r="247" spans="2:3" ht="15.75" customHeight="1">
      <c r="B247" s="1"/>
      <c r="C247" s="1"/>
    </row>
    <row r="248" spans="2:3" ht="15.75" customHeight="1">
      <c r="B248" s="1"/>
      <c r="C248" s="1"/>
    </row>
    <row r="249" spans="2:3" ht="15.75" customHeight="1">
      <c r="B249" s="1"/>
      <c r="C249" s="1"/>
    </row>
    <row r="250" spans="2:3" ht="15.75" customHeight="1">
      <c r="B250" s="1"/>
      <c r="C250" s="1"/>
    </row>
    <row r="251" spans="2:3" ht="15.75" customHeight="1">
      <c r="B251" s="1"/>
      <c r="C251" s="1"/>
    </row>
    <row r="252" spans="2:3" ht="15.75" customHeight="1">
      <c r="B252" s="1"/>
      <c r="C252" s="1"/>
    </row>
    <row r="253" spans="2:3" ht="15.75" customHeight="1">
      <c r="B253" s="1"/>
      <c r="C253" s="1"/>
    </row>
    <row r="254" spans="2:3" ht="15.75" customHeight="1">
      <c r="B254" s="1"/>
      <c r="C254" s="1"/>
    </row>
    <row r="255" spans="2:3" ht="15.75" customHeight="1">
      <c r="B255" s="1"/>
      <c r="C255" s="1"/>
    </row>
    <row r="256" spans="2:3" ht="15.75" customHeight="1">
      <c r="B256" s="1"/>
      <c r="C256" s="1"/>
    </row>
    <row r="257" spans="2:3" ht="15.75" customHeight="1">
      <c r="B257" s="1"/>
      <c r="C257" s="1"/>
    </row>
    <row r="258" spans="2:3" ht="15.75" customHeight="1">
      <c r="B258" s="1"/>
      <c r="C258" s="1"/>
    </row>
    <row r="259" spans="2:3" ht="15.75" customHeight="1">
      <c r="B259" s="1"/>
      <c r="C259" s="1"/>
    </row>
    <row r="260" spans="2:3" ht="15.75" customHeight="1">
      <c r="B260" s="1"/>
      <c r="C260" s="1"/>
    </row>
    <row r="261" spans="2:3" ht="15.75" customHeight="1">
      <c r="B261" s="1"/>
      <c r="C261" s="1"/>
    </row>
    <row r="262" spans="2:3" ht="15.75" customHeight="1">
      <c r="B262" s="1"/>
      <c r="C262" s="1"/>
    </row>
    <row r="263" spans="2:3" ht="15.75" customHeight="1">
      <c r="B263" s="1"/>
      <c r="C263" s="1"/>
    </row>
    <row r="264" spans="2:3" ht="15.75" customHeight="1">
      <c r="B264" s="1"/>
      <c r="C264" s="1"/>
    </row>
    <row r="265" spans="2:3" ht="15.75" customHeight="1">
      <c r="B265" s="1"/>
      <c r="C265" s="1"/>
    </row>
    <row r="266" spans="2:3" ht="15.75" customHeight="1">
      <c r="B266" s="1"/>
      <c r="C266" s="1"/>
    </row>
    <row r="267" spans="2:3" ht="15.75" customHeight="1">
      <c r="B267" s="1"/>
      <c r="C267" s="1"/>
    </row>
    <row r="268" spans="2:3" ht="15.75" customHeight="1">
      <c r="B268" s="1"/>
      <c r="C268" s="1"/>
    </row>
    <row r="269" spans="2:3" ht="15.75" customHeight="1">
      <c r="B269" s="1"/>
      <c r="C269" s="1"/>
    </row>
    <row r="270" spans="2:3" ht="15.75" customHeight="1">
      <c r="B270" s="1"/>
      <c r="C270" s="1"/>
    </row>
    <row r="271" spans="2:3" ht="15.75" customHeight="1">
      <c r="B271" s="1"/>
      <c r="C271" s="1"/>
    </row>
    <row r="272" spans="2:3" ht="15.75" customHeight="1">
      <c r="B272" s="1"/>
      <c r="C272" s="1"/>
    </row>
    <row r="273" spans="2:3" ht="15.75" customHeight="1">
      <c r="B273" s="1"/>
      <c r="C273" s="1"/>
    </row>
    <row r="274" spans="2:3" ht="15.75" customHeight="1">
      <c r="B274" s="1"/>
      <c r="C274" s="1"/>
    </row>
    <row r="275" spans="2:3" ht="15.75" customHeight="1">
      <c r="B275" s="1"/>
      <c r="C275" s="1"/>
    </row>
    <row r="276" spans="2:3" ht="15.75" customHeight="1">
      <c r="B276" s="1"/>
      <c r="C276" s="1"/>
    </row>
    <row r="277" spans="2:3" ht="15.75" customHeight="1">
      <c r="B277" s="1"/>
      <c r="C277" s="1"/>
    </row>
    <row r="278" spans="2:3" ht="15.75" customHeight="1">
      <c r="B278" s="1"/>
      <c r="C278" s="1"/>
    </row>
    <row r="279" spans="2:3" ht="15.75" customHeight="1">
      <c r="B279" s="1"/>
      <c r="C279" s="1"/>
    </row>
    <row r="280" spans="2:3" ht="15.75" customHeight="1">
      <c r="B280" s="1"/>
      <c r="C280" s="1"/>
    </row>
    <row r="281" spans="2:3" ht="15.75" customHeight="1">
      <c r="B281" s="1"/>
      <c r="C281" s="1"/>
    </row>
    <row r="282" spans="2:3" ht="15.75" customHeight="1">
      <c r="B282" s="1"/>
      <c r="C282" s="1"/>
    </row>
    <row r="283" spans="2:3" ht="15.75" customHeight="1">
      <c r="B283" s="1"/>
      <c r="C283" s="1"/>
    </row>
    <row r="284" spans="2:3" ht="15.75" customHeight="1">
      <c r="B284" s="1"/>
      <c r="C284" s="1"/>
    </row>
    <row r="285" spans="2:3" ht="15.75" customHeight="1">
      <c r="B285" s="1"/>
      <c r="C285" s="1"/>
    </row>
    <row r="286" spans="2:3" ht="15.75" customHeight="1">
      <c r="B286" s="1"/>
      <c r="C286" s="1"/>
    </row>
    <row r="287" spans="2:3" ht="15.75" customHeight="1">
      <c r="B287" s="1"/>
      <c r="C287" s="1"/>
    </row>
    <row r="288" spans="2:3" ht="15.75" customHeight="1">
      <c r="B288" s="1"/>
      <c r="C288" s="1"/>
    </row>
    <row r="289" spans="2:3" ht="15.75" customHeight="1">
      <c r="B289" s="1"/>
      <c r="C289" s="1"/>
    </row>
    <row r="290" spans="2:3" ht="15.75" customHeight="1">
      <c r="B290" s="1"/>
      <c r="C290" s="1"/>
    </row>
    <row r="291" spans="2:3" ht="15.75" customHeight="1">
      <c r="B291" s="1"/>
      <c r="C291" s="1"/>
    </row>
    <row r="292" spans="2:3" ht="15.75" customHeight="1">
      <c r="B292" s="1"/>
      <c r="C292" s="1"/>
    </row>
    <row r="293" spans="2:3" ht="15.75" customHeight="1">
      <c r="B293" s="1"/>
      <c r="C293" s="1"/>
    </row>
    <row r="294" spans="2:3" ht="15.75" customHeight="1">
      <c r="B294" s="1"/>
      <c r="C294" s="1"/>
    </row>
    <row r="295" spans="2:3" ht="15.75" customHeight="1">
      <c r="B295" s="1"/>
      <c r="C295" s="1"/>
    </row>
    <row r="296" spans="2:3" ht="15.75" customHeight="1">
      <c r="B296" s="1"/>
      <c r="C296" s="1"/>
    </row>
    <row r="297" spans="2:3" ht="15.75" customHeight="1">
      <c r="B297" s="1"/>
      <c r="C297" s="1"/>
    </row>
    <row r="298" spans="2:3" ht="15.75" customHeight="1">
      <c r="B298" s="1"/>
      <c r="C298" s="1"/>
    </row>
    <row r="299" spans="2:3" ht="15.75" customHeight="1">
      <c r="B299" s="1"/>
      <c r="C299" s="1"/>
    </row>
    <row r="300" spans="2:3" ht="15.75" customHeight="1">
      <c r="B300" s="1"/>
      <c r="C300" s="1"/>
    </row>
    <row r="301" spans="2:3" ht="15.75" customHeight="1">
      <c r="B301" s="1"/>
      <c r="C301" s="1"/>
    </row>
    <row r="302" spans="2:3" ht="15.75" customHeight="1">
      <c r="B302" s="1"/>
      <c r="C302" s="1"/>
    </row>
    <row r="303" spans="2:3" ht="15.75" customHeight="1">
      <c r="B303" s="1"/>
      <c r="C303" s="1"/>
    </row>
    <row r="304" spans="2:3" ht="15.75" customHeight="1">
      <c r="B304" s="1"/>
      <c r="C304" s="1"/>
    </row>
    <row r="305" spans="2:3" ht="15.75" customHeight="1">
      <c r="B305" s="1"/>
      <c r="C305" s="1"/>
    </row>
    <row r="306" spans="2:3" ht="15.75" customHeight="1">
      <c r="B306" s="1"/>
      <c r="C306" s="1"/>
    </row>
    <row r="307" spans="2:3" ht="15.75" customHeight="1">
      <c r="B307" s="1"/>
      <c r="C307" s="1"/>
    </row>
    <row r="308" spans="2:3" ht="15.75" customHeight="1">
      <c r="B308" s="1"/>
      <c r="C308" s="1"/>
    </row>
    <row r="309" spans="2:3" ht="15.75" customHeight="1">
      <c r="B309" s="1"/>
      <c r="C309" s="1"/>
    </row>
    <row r="310" spans="2:3" ht="15.75" customHeight="1">
      <c r="B310" s="1"/>
      <c r="C310" s="1"/>
    </row>
    <row r="311" spans="2:3" ht="15.75" customHeight="1">
      <c r="B311" s="1"/>
      <c r="C311" s="1"/>
    </row>
    <row r="312" spans="2:3" ht="15.75" customHeight="1">
      <c r="B312" s="1"/>
      <c r="C312" s="1"/>
    </row>
    <row r="313" spans="2:3" ht="15.75" customHeight="1">
      <c r="B313" s="1"/>
      <c r="C313" s="1"/>
    </row>
    <row r="314" spans="2:3" ht="15.75" customHeight="1">
      <c r="B314" s="1"/>
      <c r="C314" s="1"/>
    </row>
    <row r="315" spans="2:3" ht="15.75" customHeight="1">
      <c r="B315" s="1"/>
      <c r="C315" s="1"/>
    </row>
    <row r="316" spans="2:3" ht="15.75" customHeight="1">
      <c r="B316" s="1"/>
      <c r="C316" s="1"/>
    </row>
    <row r="317" spans="2:3" ht="15.75" customHeight="1">
      <c r="B317" s="1"/>
      <c r="C317" s="1"/>
    </row>
    <row r="318" spans="2:3" ht="15.75" customHeight="1">
      <c r="B318" s="1"/>
      <c r="C318" s="1"/>
    </row>
    <row r="319" spans="2:3" ht="15.75" customHeight="1">
      <c r="B319" s="1"/>
      <c r="C319" s="1"/>
    </row>
    <row r="320" spans="2:3" ht="15.75" customHeight="1">
      <c r="B320" s="1"/>
      <c r="C320" s="1"/>
    </row>
    <row r="321" spans="2:3" ht="15.75" customHeight="1">
      <c r="B321" s="1"/>
      <c r="C321" s="1"/>
    </row>
    <row r="322" spans="2:3" ht="15.75" customHeight="1">
      <c r="B322" s="1"/>
      <c r="C322" s="1"/>
    </row>
    <row r="323" spans="2:3" ht="15.75" customHeight="1">
      <c r="B323" s="1"/>
      <c r="C323" s="1"/>
    </row>
    <row r="324" spans="2:3" ht="15.75" customHeight="1">
      <c r="B324" s="1"/>
      <c r="C324" s="1"/>
    </row>
    <row r="325" spans="2:3" ht="15.75" customHeight="1">
      <c r="B325" s="1"/>
      <c r="C325" s="1"/>
    </row>
    <row r="326" spans="2:3" ht="15.75" customHeight="1">
      <c r="B326" s="1"/>
      <c r="C326" s="1"/>
    </row>
    <row r="327" spans="2:3" ht="15.75" customHeight="1">
      <c r="B327" s="1"/>
      <c r="C327" s="1"/>
    </row>
    <row r="328" spans="2:3" ht="15.75" customHeight="1">
      <c r="B328" s="1"/>
      <c r="C328" s="1"/>
    </row>
    <row r="329" spans="2:3" ht="15.75" customHeight="1">
      <c r="B329" s="1"/>
      <c r="C329" s="1"/>
    </row>
    <row r="330" spans="2:3" ht="15.75" customHeight="1">
      <c r="B330" s="1"/>
      <c r="C330" s="1"/>
    </row>
    <row r="331" spans="2:3" ht="15.75" customHeight="1">
      <c r="B331" s="1"/>
      <c r="C331" s="1"/>
    </row>
    <row r="332" spans="2:3" ht="15.75" customHeight="1">
      <c r="B332" s="1"/>
      <c r="C332" s="1"/>
    </row>
    <row r="333" spans="2:3" ht="15.75" customHeight="1">
      <c r="B333" s="1"/>
      <c r="C333" s="1"/>
    </row>
    <row r="334" spans="2:3" ht="15.75" customHeight="1">
      <c r="B334" s="1"/>
      <c r="C334" s="1"/>
    </row>
    <row r="335" spans="2:3" ht="15.75" customHeight="1">
      <c r="B335" s="1"/>
      <c r="C335" s="1"/>
    </row>
    <row r="336" spans="2:3" ht="15.75" customHeight="1">
      <c r="B336" s="1"/>
      <c r="C336" s="1"/>
    </row>
    <row r="337" spans="2:3" ht="15.75" customHeight="1">
      <c r="B337" s="1"/>
      <c r="C337" s="1"/>
    </row>
    <row r="338" spans="2:3" ht="15.75" customHeight="1">
      <c r="B338" s="1"/>
      <c r="C338" s="1"/>
    </row>
    <row r="339" spans="2:3" ht="15.75" customHeight="1">
      <c r="B339" s="1"/>
      <c r="C339" s="1"/>
    </row>
    <row r="340" spans="2:3" ht="15.75" customHeight="1">
      <c r="B340" s="1"/>
      <c r="C340" s="1"/>
    </row>
    <row r="341" spans="2:3" ht="15.75" customHeight="1">
      <c r="B341" s="1"/>
      <c r="C341" s="1"/>
    </row>
    <row r="342" spans="2:3" ht="15.75" customHeight="1">
      <c r="B342" s="1"/>
      <c r="C342" s="1"/>
    </row>
    <row r="343" spans="2:3" ht="15.75" customHeight="1">
      <c r="B343" s="1"/>
      <c r="C343" s="1"/>
    </row>
    <row r="344" spans="2:3" ht="15.75" customHeight="1">
      <c r="B344" s="1"/>
      <c r="C344" s="1"/>
    </row>
    <row r="345" spans="2:3" ht="15.75" customHeight="1">
      <c r="B345" s="1"/>
      <c r="C345" s="1"/>
    </row>
    <row r="346" spans="2:3" ht="15.75" customHeight="1">
      <c r="B346" s="1"/>
      <c r="C346" s="1"/>
    </row>
    <row r="347" spans="2:3" ht="15.75" customHeight="1">
      <c r="B347" s="1"/>
      <c r="C347" s="1"/>
    </row>
    <row r="348" spans="2:3" ht="15.75" customHeight="1">
      <c r="B348" s="1"/>
      <c r="C348" s="1"/>
    </row>
    <row r="349" spans="2:3" ht="15.75" customHeight="1">
      <c r="B349" s="1"/>
      <c r="C349" s="1"/>
    </row>
    <row r="350" spans="2:3" ht="15.75" customHeight="1">
      <c r="B350" s="1"/>
      <c r="C350" s="1"/>
    </row>
    <row r="351" spans="2:3" ht="15.75" customHeight="1">
      <c r="B351" s="1"/>
      <c r="C351" s="1"/>
    </row>
    <row r="352" spans="2:3" ht="15.75" customHeight="1">
      <c r="B352" s="1"/>
      <c r="C352" s="1"/>
    </row>
    <row r="353" spans="2:3" ht="15.75" customHeight="1">
      <c r="B353" s="1"/>
      <c r="C353" s="1"/>
    </row>
    <row r="354" spans="2:3" ht="15.75" customHeight="1">
      <c r="B354" s="1"/>
      <c r="C354" s="1"/>
    </row>
    <row r="355" spans="2:3" ht="15.75" customHeight="1">
      <c r="B355" s="1"/>
      <c r="C355" s="1"/>
    </row>
    <row r="356" spans="2:3" ht="15.75" customHeight="1">
      <c r="B356" s="1"/>
      <c r="C356" s="1"/>
    </row>
    <row r="357" spans="2:3" ht="15.75" customHeight="1">
      <c r="B357" s="1"/>
      <c r="C357" s="1"/>
    </row>
    <row r="358" spans="2:3" ht="15.75" customHeight="1">
      <c r="B358" s="1"/>
      <c r="C358" s="1"/>
    </row>
    <row r="359" spans="2:3" ht="15.75" customHeight="1">
      <c r="B359" s="1"/>
      <c r="C359" s="1"/>
    </row>
    <row r="360" spans="2:3" ht="15.75" customHeight="1">
      <c r="B360" s="1"/>
      <c r="C360" s="1"/>
    </row>
    <row r="361" spans="2:3" ht="15.75" customHeight="1">
      <c r="B361" s="1"/>
      <c r="C361" s="1"/>
    </row>
    <row r="362" spans="2:3" ht="15.75" customHeight="1">
      <c r="B362" s="1"/>
      <c r="C362" s="1"/>
    </row>
    <row r="363" spans="2:3" ht="15.75" customHeight="1">
      <c r="B363" s="1"/>
      <c r="C363" s="1"/>
    </row>
    <row r="364" spans="2:3" ht="15.75" customHeight="1">
      <c r="B364" s="1"/>
      <c r="C364" s="1"/>
    </row>
    <row r="365" spans="2:3" ht="15.75" customHeight="1">
      <c r="B365" s="1"/>
      <c r="C365" s="1"/>
    </row>
    <row r="366" spans="2:3" ht="15.75" customHeight="1">
      <c r="B366" s="1"/>
      <c r="C366" s="1"/>
    </row>
    <row r="367" spans="2:3" ht="15.75" customHeight="1">
      <c r="B367" s="1"/>
      <c r="C367" s="1"/>
    </row>
    <row r="368" spans="2:3" ht="15.75" customHeight="1">
      <c r="B368" s="1"/>
      <c r="C368" s="1"/>
    </row>
    <row r="369" spans="2:3" ht="15.75" customHeight="1">
      <c r="B369" s="1"/>
      <c r="C369" s="1"/>
    </row>
    <row r="370" spans="2:3" ht="15.75" customHeight="1">
      <c r="B370" s="1"/>
      <c r="C370" s="1"/>
    </row>
    <row r="371" spans="2:3" ht="15.75" customHeight="1">
      <c r="B371" s="1"/>
      <c r="C371" s="1"/>
    </row>
    <row r="372" spans="2:3" ht="15.75" customHeight="1">
      <c r="B372" s="1"/>
      <c r="C372" s="1"/>
    </row>
    <row r="373" spans="2:3" ht="15.75" customHeight="1">
      <c r="B373" s="1"/>
      <c r="C373" s="1"/>
    </row>
    <row r="374" spans="2:3" ht="15.75" customHeight="1">
      <c r="B374" s="1"/>
      <c r="C374" s="1"/>
    </row>
    <row r="375" spans="2:3" ht="15.75" customHeight="1">
      <c r="B375" s="1"/>
      <c r="C375" s="1"/>
    </row>
    <row r="376" spans="2:3" ht="15.75" customHeight="1">
      <c r="B376" s="1"/>
      <c r="C376" s="1"/>
    </row>
    <row r="377" spans="2:3" ht="15.75" customHeight="1">
      <c r="B377" s="1"/>
      <c r="C377" s="1"/>
    </row>
    <row r="378" spans="2:3" ht="15.75" customHeight="1">
      <c r="B378" s="1"/>
      <c r="C378" s="1"/>
    </row>
    <row r="379" spans="2:3" ht="15.75" customHeight="1">
      <c r="B379" s="1"/>
      <c r="C379" s="1"/>
    </row>
    <row r="380" spans="2:3" ht="15.75" customHeight="1">
      <c r="B380" s="1"/>
      <c r="C380" s="1"/>
    </row>
    <row r="381" spans="2:3" ht="15.75" customHeight="1">
      <c r="B381" s="1"/>
      <c r="C381" s="1"/>
    </row>
    <row r="382" spans="2:3" ht="15.75" customHeight="1">
      <c r="B382" s="1"/>
      <c r="C382" s="1"/>
    </row>
    <row r="383" spans="2:3" ht="15.75" customHeight="1">
      <c r="B383" s="1"/>
      <c r="C383" s="1"/>
    </row>
    <row r="384" spans="2:3" ht="15.75" customHeight="1">
      <c r="B384" s="1"/>
      <c r="C384" s="1"/>
    </row>
    <row r="385" spans="2:3" ht="15.75" customHeight="1">
      <c r="B385" s="1"/>
      <c r="C385" s="1"/>
    </row>
    <row r="386" spans="2:3" ht="15.75" customHeight="1">
      <c r="B386" s="1"/>
      <c r="C386" s="1"/>
    </row>
    <row r="387" spans="2:3" ht="15.75" customHeight="1">
      <c r="B387" s="1"/>
      <c r="C387" s="1"/>
    </row>
    <row r="388" spans="2:3" ht="15.75" customHeight="1">
      <c r="B388" s="1"/>
      <c r="C388" s="1"/>
    </row>
    <row r="389" spans="2:3" ht="15.75" customHeight="1">
      <c r="B389" s="1"/>
      <c r="C389" s="1"/>
    </row>
    <row r="390" spans="2:3" ht="15.75" customHeight="1">
      <c r="B390" s="1"/>
      <c r="C390" s="1"/>
    </row>
    <row r="391" spans="2:3" ht="15.75" customHeight="1">
      <c r="B391" s="1"/>
      <c r="C391" s="1"/>
    </row>
    <row r="392" spans="2:3" ht="15.75" customHeight="1">
      <c r="B392" s="1"/>
      <c r="C392" s="1"/>
    </row>
    <row r="393" spans="2:3" ht="15.75" customHeight="1">
      <c r="B393" s="1"/>
      <c r="C393" s="1"/>
    </row>
    <row r="394" spans="2:3" ht="15.75" customHeight="1">
      <c r="B394" s="1"/>
      <c r="C394" s="1"/>
    </row>
    <row r="395" spans="2:3" ht="15.75" customHeight="1">
      <c r="B395" s="1"/>
      <c r="C395" s="1"/>
    </row>
    <row r="396" spans="2:3" ht="15.75" customHeight="1">
      <c r="B396" s="1"/>
      <c r="C396" s="1"/>
    </row>
    <row r="397" spans="2:3" ht="15.75" customHeight="1">
      <c r="B397" s="1"/>
      <c r="C397" s="1"/>
    </row>
    <row r="398" spans="2:3" ht="15.75" customHeight="1">
      <c r="B398" s="1"/>
      <c r="C398" s="1"/>
    </row>
    <row r="399" spans="2:3" ht="15.75" customHeight="1">
      <c r="B399" s="1"/>
      <c r="C399" s="1"/>
    </row>
    <row r="400" spans="2:3" ht="15.75" customHeight="1">
      <c r="B400" s="1"/>
      <c r="C400" s="1"/>
    </row>
    <row r="401" spans="2:3" ht="15.75" customHeight="1">
      <c r="B401" s="1"/>
      <c r="C401" s="1"/>
    </row>
    <row r="402" spans="2:3" ht="15.75" customHeight="1">
      <c r="B402" s="1"/>
      <c r="C402" s="1"/>
    </row>
    <row r="403" spans="2:3" ht="15.75" customHeight="1">
      <c r="B403" s="1"/>
      <c r="C403" s="1"/>
    </row>
    <row r="404" spans="2:3" ht="15.75" customHeight="1">
      <c r="B404" s="1"/>
      <c r="C404" s="1"/>
    </row>
    <row r="405" spans="2:3" ht="15.75" customHeight="1">
      <c r="B405" s="1"/>
      <c r="C405" s="1"/>
    </row>
    <row r="406" spans="2:3" ht="15.75" customHeight="1">
      <c r="B406" s="1"/>
      <c r="C406" s="1"/>
    </row>
    <row r="407" spans="2:3" ht="15.75" customHeight="1">
      <c r="B407" s="1"/>
      <c r="C407" s="1"/>
    </row>
    <row r="408" spans="2:3" ht="15.75" customHeight="1">
      <c r="B408" s="1"/>
      <c r="C408" s="1"/>
    </row>
    <row r="409" spans="2:3" ht="15.75" customHeight="1">
      <c r="B409" s="1"/>
      <c r="C409" s="1"/>
    </row>
    <row r="410" spans="2:3" ht="15.75" customHeight="1">
      <c r="B410" s="1"/>
      <c r="C410" s="1"/>
    </row>
    <row r="411" spans="2:3" ht="15.75" customHeight="1">
      <c r="B411" s="1"/>
      <c r="C411" s="1"/>
    </row>
    <row r="412" spans="2:3" ht="15.75" customHeight="1">
      <c r="B412" s="1"/>
      <c r="C412" s="1"/>
    </row>
    <row r="413" spans="2:3" ht="15.75" customHeight="1">
      <c r="B413" s="1"/>
      <c r="C413" s="1"/>
    </row>
    <row r="414" spans="2:3" ht="15.75" customHeight="1">
      <c r="B414" s="1"/>
      <c r="C414" s="1"/>
    </row>
    <row r="415" spans="2:3" ht="15.75" customHeight="1">
      <c r="B415" s="1"/>
      <c r="C415" s="1"/>
    </row>
    <row r="416" spans="2:3" ht="15.75" customHeight="1">
      <c r="B416" s="1"/>
      <c r="C416" s="1"/>
    </row>
    <row r="417" spans="2:3" ht="15.75" customHeight="1">
      <c r="B417" s="1"/>
      <c r="C417" s="1"/>
    </row>
    <row r="418" spans="2:3" ht="15.75" customHeight="1">
      <c r="B418" s="1"/>
      <c r="C418" s="1"/>
    </row>
    <row r="419" spans="2:3" ht="15.75" customHeight="1">
      <c r="B419" s="1"/>
      <c r="C419" s="1"/>
    </row>
    <row r="420" spans="2:3" ht="15.75" customHeight="1">
      <c r="B420" s="1"/>
      <c r="C420" s="1"/>
    </row>
    <row r="421" spans="2:3" ht="15.75" customHeight="1">
      <c r="B421" s="1"/>
      <c r="C421" s="1"/>
    </row>
    <row r="422" spans="2:3" ht="15.75" customHeight="1">
      <c r="B422" s="1"/>
      <c r="C422" s="1"/>
    </row>
    <row r="423" spans="2:3" ht="15.75" customHeight="1">
      <c r="B423" s="1"/>
      <c r="C423" s="1"/>
    </row>
    <row r="424" spans="2:3" ht="15.75" customHeight="1">
      <c r="B424" s="1"/>
      <c r="C424" s="1"/>
    </row>
    <row r="425" spans="2:3" ht="15.75" customHeight="1">
      <c r="B425" s="1"/>
      <c r="C425" s="1"/>
    </row>
    <row r="426" spans="2:3" ht="15.75" customHeight="1">
      <c r="B426" s="1"/>
      <c r="C426" s="1"/>
    </row>
    <row r="427" spans="2:3" ht="15.75" customHeight="1">
      <c r="B427" s="1"/>
      <c r="C427" s="1"/>
    </row>
    <row r="428" spans="2:3" ht="15.75" customHeight="1">
      <c r="B428" s="1"/>
      <c r="C428" s="1"/>
    </row>
    <row r="429" spans="2:3" ht="15.75" customHeight="1">
      <c r="B429" s="1"/>
      <c r="C429" s="1"/>
    </row>
    <row r="430" spans="2:3" ht="15.75" customHeight="1">
      <c r="B430" s="1"/>
      <c r="C430" s="1"/>
    </row>
    <row r="431" spans="2:3" ht="15.75" customHeight="1">
      <c r="B431" s="1"/>
      <c r="C431" s="1"/>
    </row>
    <row r="432" spans="2:3" ht="15.75" customHeight="1">
      <c r="B432" s="1"/>
      <c r="C432" s="1"/>
    </row>
    <row r="433" spans="2:3" ht="15.75" customHeight="1">
      <c r="B433" s="1"/>
      <c r="C433" s="1"/>
    </row>
    <row r="434" spans="2:3" ht="15.75" customHeight="1">
      <c r="B434" s="1"/>
      <c r="C434" s="1"/>
    </row>
    <row r="435" spans="2:3" ht="15.75" customHeight="1">
      <c r="B435" s="1"/>
      <c r="C435" s="1"/>
    </row>
    <row r="436" spans="2:3" ht="15.75" customHeight="1">
      <c r="B436" s="1"/>
      <c r="C436" s="1"/>
    </row>
    <row r="437" spans="2:3" ht="15.75" customHeight="1">
      <c r="B437" s="1"/>
      <c r="C437" s="1"/>
    </row>
    <row r="438" spans="2:3" ht="15.75" customHeight="1">
      <c r="B438" s="1"/>
      <c r="C438" s="1"/>
    </row>
    <row r="439" spans="2:3" ht="15.75" customHeight="1">
      <c r="B439" s="1"/>
      <c r="C439" s="1"/>
    </row>
    <row r="440" spans="2:3" ht="15.75" customHeight="1">
      <c r="B440" s="1"/>
      <c r="C440" s="1"/>
    </row>
    <row r="441" spans="2:3" ht="15.75" customHeight="1">
      <c r="B441" s="1"/>
      <c r="C441" s="1"/>
    </row>
    <row r="442" spans="2:3" ht="15.75" customHeight="1">
      <c r="B442" s="1"/>
      <c r="C442" s="1"/>
    </row>
    <row r="443" spans="2:3" ht="15.75" customHeight="1">
      <c r="B443" s="1"/>
      <c r="C443" s="1"/>
    </row>
    <row r="444" spans="2:3" ht="15.75" customHeight="1">
      <c r="B444" s="1"/>
      <c r="C444" s="1"/>
    </row>
    <row r="445" spans="2:3" ht="15.75" customHeight="1">
      <c r="B445" s="1"/>
      <c r="C445" s="1"/>
    </row>
    <row r="446" spans="2:3" ht="15.75" customHeight="1">
      <c r="B446" s="1"/>
      <c r="C446" s="1"/>
    </row>
    <row r="447" spans="2:3" ht="15.75" customHeight="1">
      <c r="B447" s="1"/>
      <c r="C447" s="1"/>
    </row>
    <row r="448" spans="2:3" ht="15.75" customHeight="1">
      <c r="B448" s="1"/>
      <c r="C448" s="1"/>
    </row>
    <row r="449" spans="2:3" ht="15.75" customHeight="1">
      <c r="B449" s="1"/>
      <c r="C449" s="1"/>
    </row>
    <row r="450" spans="2:3" ht="15.75" customHeight="1">
      <c r="B450" s="1"/>
      <c r="C450" s="1"/>
    </row>
    <row r="451" spans="2:3" ht="15.75" customHeight="1">
      <c r="B451" s="1"/>
      <c r="C451" s="1"/>
    </row>
    <row r="452" spans="2:3" ht="15.75" customHeight="1">
      <c r="B452" s="1"/>
      <c r="C452" s="1"/>
    </row>
    <row r="453" spans="2:3" ht="15.75" customHeight="1">
      <c r="B453" s="1"/>
      <c r="C453" s="1"/>
    </row>
    <row r="454" spans="2:3" ht="15.75" customHeight="1">
      <c r="B454" s="1"/>
      <c r="C454" s="1"/>
    </row>
    <row r="455" spans="2:3" ht="15.75" customHeight="1">
      <c r="B455" s="1"/>
      <c r="C455" s="1"/>
    </row>
    <row r="456" spans="2:3" ht="15.75" customHeight="1">
      <c r="B456" s="1"/>
      <c r="C456" s="1"/>
    </row>
    <row r="457" spans="2:3" ht="15.75" customHeight="1">
      <c r="B457" s="1"/>
      <c r="C457" s="1"/>
    </row>
    <row r="458" spans="2:3" ht="15.75" customHeight="1">
      <c r="B458" s="1"/>
      <c r="C458" s="1"/>
    </row>
    <row r="459" spans="2:3" ht="15.75" customHeight="1">
      <c r="B459" s="1"/>
      <c r="C459" s="1"/>
    </row>
    <row r="460" spans="2:3" ht="15.75" customHeight="1">
      <c r="B460" s="1"/>
      <c r="C460" s="1"/>
    </row>
    <row r="461" spans="2:3" ht="15.75" customHeight="1">
      <c r="B461" s="1"/>
      <c r="C461" s="1"/>
    </row>
    <row r="462" spans="2:3" ht="15.75" customHeight="1">
      <c r="B462" s="1"/>
      <c r="C462" s="1"/>
    </row>
    <row r="463" spans="2:3" ht="15.75" customHeight="1">
      <c r="B463" s="1"/>
      <c r="C463" s="1"/>
    </row>
    <row r="464" spans="2:3" ht="15.75" customHeight="1">
      <c r="B464" s="1"/>
      <c r="C464" s="1"/>
    </row>
    <row r="465" spans="2:3" ht="15.75" customHeight="1">
      <c r="B465" s="1"/>
      <c r="C465" s="1"/>
    </row>
    <row r="466" spans="2:3" ht="15.75" customHeight="1">
      <c r="B466" s="1"/>
      <c r="C466" s="1"/>
    </row>
    <row r="467" spans="2:3" ht="15.75" customHeight="1">
      <c r="B467" s="1"/>
      <c r="C467" s="1"/>
    </row>
    <row r="468" spans="2:3" ht="15.75" customHeight="1">
      <c r="B468" s="1"/>
      <c r="C468" s="1"/>
    </row>
    <row r="469" spans="2:3" ht="15.75" customHeight="1">
      <c r="B469" s="1"/>
      <c r="C469" s="1"/>
    </row>
    <row r="470" spans="2:3" ht="15.75" customHeight="1">
      <c r="B470" s="1"/>
      <c r="C470" s="1"/>
    </row>
    <row r="471" spans="2:3" ht="15.75" customHeight="1">
      <c r="B471" s="1"/>
      <c r="C471" s="1"/>
    </row>
    <row r="472" spans="2:3" ht="15.75" customHeight="1">
      <c r="B472" s="1"/>
      <c r="C472" s="1"/>
    </row>
    <row r="473" spans="2:3" ht="15.75" customHeight="1">
      <c r="B473" s="1"/>
      <c r="C473" s="1"/>
    </row>
    <row r="474" spans="2:3" ht="15.75" customHeight="1">
      <c r="B474" s="1"/>
      <c r="C474" s="1"/>
    </row>
    <row r="475" spans="2:3" ht="15.75" customHeight="1">
      <c r="B475" s="1"/>
      <c r="C475" s="1"/>
    </row>
    <row r="476" spans="2:3" ht="15.75" customHeight="1">
      <c r="B476" s="1"/>
      <c r="C476" s="1"/>
    </row>
    <row r="477" spans="2:3" ht="15.75" customHeight="1">
      <c r="B477" s="1"/>
      <c r="C477" s="1"/>
    </row>
    <row r="478" spans="2:3" ht="15.75" customHeight="1">
      <c r="B478" s="1"/>
      <c r="C478" s="1"/>
    </row>
    <row r="479" spans="2:3" ht="15.75" customHeight="1">
      <c r="B479" s="1"/>
      <c r="C479" s="1"/>
    </row>
    <row r="480" spans="2:3" ht="15.75" customHeight="1">
      <c r="B480" s="1"/>
      <c r="C480" s="1"/>
    </row>
    <row r="481" spans="2:3" ht="15.75" customHeight="1">
      <c r="B481" s="1"/>
      <c r="C481" s="1"/>
    </row>
    <row r="482" spans="2:3" ht="15.75" customHeight="1">
      <c r="B482" s="1"/>
      <c r="C482" s="1"/>
    </row>
    <row r="483" spans="2:3" ht="15.75" customHeight="1">
      <c r="B483" s="1"/>
      <c r="C483" s="1"/>
    </row>
    <row r="484" spans="2:3" ht="15.75" customHeight="1">
      <c r="B484" s="1"/>
      <c r="C484" s="1"/>
    </row>
    <row r="485" spans="2:3" ht="15.75" customHeight="1">
      <c r="B485" s="1"/>
      <c r="C485" s="1"/>
    </row>
    <row r="486" spans="2:3" ht="15.75" customHeight="1">
      <c r="B486" s="1"/>
      <c r="C486" s="1"/>
    </row>
    <row r="487" spans="2:3" ht="15.75" customHeight="1">
      <c r="B487" s="1"/>
      <c r="C487" s="1"/>
    </row>
    <row r="488" spans="2:3" ht="15.75" customHeight="1">
      <c r="B488" s="1"/>
      <c r="C488" s="1"/>
    </row>
    <row r="489" spans="2:3" ht="15.75" customHeight="1">
      <c r="B489" s="1"/>
      <c r="C489" s="1"/>
    </row>
    <row r="490" spans="2:3" ht="15.75" customHeight="1">
      <c r="B490" s="1"/>
      <c r="C490" s="1"/>
    </row>
    <row r="491" spans="2:3" ht="15.75" customHeight="1">
      <c r="B491" s="1"/>
      <c r="C491" s="1"/>
    </row>
    <row r="492" spans="2:3" ht="15.75" customHeight="1">
      <c r="B492" s="1"/>
      <c r="C492" s="1"/>
    </row>
    <row r="493" spans="2:3" ht="15.75" customHeight="1">
      <c r="B493" s="1"/>
      <c r="C493" s="1"/>
    </row>
    <row r="494" spans="2:3" ht="15.75" customHeight="1">
      <c r="B494" s="1"/>
      <c r="C494" s="1"/>
    </row>
    <row r="495" spans="2:3" ht="15.75" customHeight="1">
      <c r="B495" s="1"/>
      <c r="C495" s="1"/>
    </row>
    <row r="496" spans="2:3" ht="15.75" customHeight="1">
      <c r="B496" s="1"/>
      <c r="C496" s="1"/>
    </row>
    <row r="497" spans="2:3" ht="15.75" customHeight="1">
      <c r="B497" s="1"/>
      <c r="C497" s="1"/>
    </row>
    <row r="498" spans="2:3" ht="15.75" customHeight="1">
      <c r="B498" s="1"/>
      <c r="C498" s="1"/>
    </row>
    <row r="499" spans="2:3" ht="15.75" customHeight="1">
      <c r="B499" s="1"/>
      <c r="C499" s="1"/>
    </row>
    <row r="500" spans="2:3" ht="15.75" customHeight="1">
      <c r="B500" s="1"/>
      <c r="C500" s="1"/>
    </row>
    <row r="501" spans="2:3" ht="15.75" customHeight="1">
      <c r="B501" s="1"/>
      <c r="C501" s="1"/>
    </row>
    <row r="502" spans="2:3" ht="15.75" customHeight="1">
      <c r="B502" s="1"/>
      <c r="C502" s="1"/>
    </row>
    <row r="503" spans="2:3" ht="15.75" customHeight="1">
      <c r="B503" s="1"/>
      <c r="C503" s="1"/>
    </row>
    <row r="504" spans="2:3" ht="15.75" customHeight="1">
      <c r="B504" s="1"/>
      <c r="C504" s="1"/>
    </row>
    <row r="505" spans="2:3" ht="15.75" customHeight="1">
      <c r="B505" s="1"/>
      <c r="C505" s="1"/>
    </row>
    <row r="506" spans="2:3" ht="15.75" customHeight="1">
      <c r="B506" s="1"/>
      <c r="C506" s="1"/>
    </row>
    <row r="507" spans="2:3" ht="15.75" customHeight="1">
      <c r="B507" s="1"/>
      <c r="C507" s="1"/>
    </row>
    <row r="508" spans="2:3" ht="15.75" customHeight="1">
      <c r="B508" s="1"/>
      <c r="C508" s="1"/>
    </row>
    <row r="509" spans="2:3" ht="15.75" customHeight="1">
      <c r="B509" s="1"/>
      <c r="C509" s="1"/>
    </row>
    <row r="510" spans="2:3" ht="15.75" customHeight="1">
      <c r="B510" s="1"/>
      <c r="C510" s="1"/>
    </row>
    <row r="511" spans="2:3" ht="15.75" customHeight="1">
      <c r="B511" s="1"/>
      <c r="C511" s="1"/>
    </row>
    <row r="512" spans="2:3" ht="15.75" customHeight="1">
      <c r="B512" s="1"/>
      <c r="C512" s="1"/>
    </row>
    <row r="513" spans="2:3" ht="15.75" customHeight="1">
      <c r="B513" s="1"/>
      <c r="C513" s="1"/>
    </row>
    <row r="514" spans="2:3" ht="15.75" customHeight="1">
      <c r="B514" s="1"/>
      <c r="C514" s="1"/>
    </row>
    <row r="515" spans="2:3" ht="15.75" customHeight="1">
      <c r="B515" s="1"/>
      <c r="C515" s="1"/>
    </row>
    <row r="516" spans="2:3" ht="15.75" customHeight="1">
      <c r="B516" s="1"/>
      <c r="C516" s="1"/>
    </row>
    <row r="517" spans="2:3" ht="15.75" customHeight="1">
      <c r="B517" s="1"/>
      <c r="C517" s="1"/>
    </row>
    <row r="518" spans="2:3" ht="15.75" customHeight="1">
      <c r="B518" s="1"/>
      <c r="C518" s="1"/>
    </row>
    <row r="519" spans="2:3" ht="15.75" customHeight="1">
      <c r="B519" s="1"/>
      <c r="C519" s="1"/>
    </row>
    <row r="520" spans="2:3" ht="15.75" customHeight="1">
      <c r="B520" s="1"/>
      <c r="C520" s="1"/>
    </row>
    <row r="521" spans="2:3" ht="15.75" customHeight="1">
      <c r="B521" s="1"/>
      <c r="C521" s="1"/>
    </row>
    <row r="522" spans="2:3" ht="15.75" customHeight="1">
      <c r="B522" s="1"/>
      <c r="C522" s="1"/>
    </row>
    <row r="523" spans="2:3" ht="15.75" customHeight="1">
      <c r="B523" s="1"/>
      <c r="C523" s="1"/>
    </row>
    <row r="524" spans="2:3" ht="15.75" customHeight="1">
      <c r="B524" s="1"/>
      <c r="C524" s="1"/>
    </row>
    <row r="525" spans="2:3" ht="15.75" customHeight="1">
      <c r="B525" s="1"/>
      <c r="C525" s="1"/>
    </row>
    <row r="526" spans="2:3" ht="15.75" customHeight="1">
      <c r="B526" s="1"/>
      <c r="C526" s="1"/>
    </row>
    <row r="527" spans="2:3" ht="15.75" customHeight="1">
      <c r="B527" s="1"/>
      <c r="C527" s="1"/>
    </row>
    <row r="528" spans="2:3" ht="15.75" customHeight="1">
      <c r="B528" s="1"/>
      <c r="C528" s="1"/>
    </row>
    <row r="529" spans="2:3" ht="15.75" customHeight="1">
      <c r="B529" s="1"/>
      <c r="C529" s="1"/>
    </row>
    <row r="530" spans="2:3" ht="15.75" customHeight="1">
      <c r="B530" s="1"/>
      <c r="C530" s="1"/>
    </row>
    <row r="531" spans="2:3" ht="15.75" customHeight="1">
      <c r="B531" s="1"/>
      <c r="C531" s="1"/>
    </row>
    <row r="532" spans="2:3" ht="15.75" customHeight="1">
      <c r="B532" s="1"/>
      <c r="C532" s="1"/>
    </row>
    <row r="533" spans="2:3" ht="15.75" customHeight="1">
      <c r="B533" s="1"/>
      <c r="C533" s="1"/>
    </row>
    <row r="534" spans="2:3" ht="15.75" customHeight="1">
      <c r="B534" s="1"/>
      <c r="C534" s="1"/>
    </row>
    <row r="535" spans="2:3" ht="15.75" customHeight="1">
      <c r="B535" s="1"/>
      <c r="C535" s="1"/>
    </row>
    <row r="536" spans="2:3" ht="15.75" customHeight="1">
      <c r="B536" s="1"/>
      <c r="C536" s="1"/>
    </row>
    <row r="537" spans="2:3" ht="15.75" customHeight="1">
      <c r="B537" s="1"/>
      <c r="C537" s="1"/>
    </row>
    <row r="538" spans="2:3" ht="15.75" customHeight="1">
      <c r="B538" s="1"/>
      <c r="C538" s="1"/>
    </row>
    <row r="539" spans="2:3" ht="15.75" customHeight="1">
      <c r="B539" s="1"/>
      <c r="C539" s="1"/>
    </row>
    <row r="540" spans="2:3" ht="15.75" customHeight="1">
      <c r="B540" s="1"/>
      <c r="C540" s="1"/>
    </row>
    <row r="541" spans="2:3" ht="15.75" customHeight="1">
      <c r="B541" s="1"/>
      <c r="C541" s="1"/>
    </row>
    <row r="542" spans="2:3" ht="15.75" customHeight="1">
      <c r="B542" s="1"/>
      <c r="C542" s="1"/>
    </row>
    <row r="543" spans="2:3" ht="15.75" customHeight="1">
      <c r="B543" s="1"/>
      <c r="C543" s="1"/>
    </row>
    <row r="544" spans="2:3" ht="15.75" customHeight="1">
      <c r="B544" s="1"/>
      <c r="C544" s="1"/>
    </row>
    <row r="545" spans="2:3" ht="15.75" customHeight="1">
      <c r="B545" s="1"/>
      <c r="C545" s="1"/>
    </row>
    <row r="546" spans="2:3" ht="15.75" customHeight="1">
      <c r="B546" s="1"/>
      <c r="C546" s="1"/>
    </row>
    <row r="547" spans="2:3" ht="15.75" customHeight="1">
      <c r="B547" s="1"/>
      <c r="C547" s="1"/>
    </row>
    <row r="548" spans="2:3" ht="15.75" customHeight="1">
      <c r="B548" s="1"/>
      <c r="C548" s="1"/>
    </row>
    <row r="549" spans="2:3" ht="15.75" customHeight="1">
      <c r="B549" s="1"/>
      <c r="C549" s="1"/>
    </row>
    <row r="550" spans="2:3" ht="15.75" customHeight="1">
      <c r="B550" s="1"/>
      <c r="C550" s="1"/>
    </row>
    <row r="551" spans="2:3" ht="15.75" customHeight="1">
      <c r="B551" s="1"/>
      <c r="C551" s="1"/>
    </row>
    <row r="552" spans="2:3" ht="15.75" customHeight="1">
      <c r="B552" s="1"/>
      <c r="C552" s="1"/>
    </row>
    <row r="553" spans="2:3" ht="15.75" customHeight="1">
      <c r="B553" s="1"/>
      <c r="C553" s="1"/>
    </row>
    <row r="554" spans="2:3" ht="15.75" customHeight="1">
      <c r="B554" s="1"/>
      <c r="C554" s="1"/>
    </row>
    <row r="555" spans="2:3" ht="15.75" customHeight="1">
      <c r="B555" s="1"/>
      <c r="C555" s="1"/>
    </row>
    <row r="556" spans="2:3" ht="15.75" customHeight="1">
      <c r="B556" s="1"/>
      <c r="C556" s="1"/>
    </row>
    <row r="557" spans="2:3" ht="15.75" customHeight="1">
      <c r="B557" s="1"/>
      <c r="C557" s="1"/>
    </row>
    <row r="558" spans="2:3" ht="15.75" customHeight="1">
      <c r="B558" s="1"/>
      <c r="C558" s="1"/>
    </row>
    <row r="559" spans="2:3" ht="15.75" customHeight="1">
      <c r="B559" s="1"/>
      <c r="C559" s="1"/>
    </row>
    <row r="560" spans="2:3" ht="15.75" customHeight="1">
      <c r="B560" s="1"/>
      <c r="C560" s="1"/>
    </row>
    <row r="561" spans="2:3" ht="15.75" customHeight="1">
      <c r="B561" s="1"/>
      <c r="C561" s="1"/>
    </row>
    <row r="562" spans="2:3" ht="15.75" customHeight="1">
      <c r="B562" s="1"/>
      <c r="C562" s="1"/>
    </row>
    <row r="563" spans="2:3" ht="15.75" customHeight="1">
      <c r="B563" s="1"/>
      <c r="C563" s="1"/>
    </row>
    <row r="564" spans="2:3" ht="15.75" customHeight="1">
      <c r="B564" s="1"/>
      <c r="C564" s="1"/>
    </row>
    <row r="565" spans="2:3" ht="15.75" customHeight="1">
      <c r="B565" s="1"/>
      <c r="C565" s="1"/>
    </row>
    <row r="566" spans="2:3" ht="15.75" customHeight="1">
      <c r="B566" s="1"/>
      <c r="C566" s="1"/>
    </row>
    <row r="567" spans="2:3" ht="15.75" customHeight="1">
      <c r="B567" s="1"/>
      <c r="C567" s="1"/>
    </row>
    <row r="568" spans="2:3" ht="15.75" customHeight="1">
      <c r="B568" s="1"/>
      <c r="C568" s="1"/>
    </row>
    <row r="569" spans="2:3" ht="15.75" customHeight="1">
      <c r="B569" s="1"/>
      <c r="C569" s="1"/>
    </row>
    <row r="570" spans="2:3" ht="15.75" customHeight="1">
      <c r="B570" s="1"/>
      <c r="C570" s="1"/>
    </row>
    <row r="571" spans="2:3" ht="15.75" customHeight="1">
      <c r="B571" s="1"/>
      <c r="C571" s="1"/>
    </row>
    <row r="572" spans="2:3" ht="15.75" customHeight="1">
      <c r="B572" s="1"/>
      <c r="C572" s="1"/>
    </row>
    <row r="573" spans="2:3" ht="15.75" customHeight="1">
      <c r="B573" s="1"/>
      <c r="C573" s="1"/>
    </row>
    <row r="574" spans="2:3" ht="15.75" customHeight="1">
      <c r="B574" s="1"/>
      <c r="C574" s="1"/>
    </row>
    <row r="575" spans="2:3" ht="15.75" customHeight="1">
      <c r="B575" s="1"/>
      <c r="C575" s="1"/>
    </row>
    <row r="576" spans="2:3" ht="15.75" customHeight="1">
      <c r="B576" s="1"/>
      <c r="C576" s="1"/>
    </row>
    <row r="577" spans="2:3" ht="15.75" customHeight="1">
      <c r="B577" s="1"/>
      <c r="C577" s="1"/>
    </row>
    <row r="578" spans="2:3" ht="15.75" customHeight="1">
      <c r="B578" s="1"/>
      <c r="C578" s="1"/>
    </row>
    <row r="579" spans="2:3" ht="15.75" customHeight="1">
      <c r="B579" s="1"/>
      <c r="C579" s="1"/>
    </row>
    <row r="580" spans="2:3" ht="15.75" customHeight="1">
      <c r="B580" s="1"/>
      <c r="C580" s="1"/>
    </row>
    <row r="581" spans="2:3" ht="15.75" customHeight="1">
      <c r="B581" s="1"/>
      <c r="C581" s="1"/>
    </row>
    <row r="582" spans="2:3" ht="15.75" customHeight="1">
      <c r="B582" s="1"/>
      <c r="C582" s="1"/>
    </row>
    <row r="583" spans="2:3" ht="15.75" customHeight="1">
      <c r="B583" s="1"/>
      <c r="C583" s="1"/>
    </row>
    <row r="584" spans="2:3" ht="15.75" customHeight="1">
      <c r="B584" s="1"/>
      <c r="C584" s="1"/>
    </row>
    <row r="585" spans="2:3" ht="15.75" customHeight="1">
      <c r="B585" s="1"/>
      <c r="C585" s="1"/>
    </row>
    <row r="586" spans="2:3" ht="15.75" customHeight="1">
      <c r="B586" s="1"/>
      <c r="C586" s="1"/>
    </row>
    <row r="587" spans="2:3" ht="15.75" customHeight="1">
      <c r="B587" s="1"/>
      <c r="C587" s="1"/>
    </row>
    <row r="588" spans="2:3" ht="15.75" customHeight="1">
      <c r="B588" s="1"/>
      <c r="C588" s="1"/>
    </row>
    <row r="589" spans="2:3" ht="15.75" customHeight="1">
      <c r="B589" s="1"/>
      <c r="C589" s="1"/>
    </row>
    <row r="590" spans="2:3" ht="15.75" customHeight="1">
      <c r="B590" s="1"/>
      <c r="C590" s="1"/>
    </row>
    <row r="591" spans="2:3" ht="15.75" customHeight="1">
      <c r="B591" s="1"/>
      <c r="C591" s="1"/>
    </row>
    <row r="592" spans="2:3" ht="15.75" customHeight="1">
      <c r="B592" s="1"/>
      <c r="C592" s="1"/>
    </row>
    <row r="593" spans="2:3" ht="15.75" customHeight="1">
      <c r="B593" s="1"/>
      <c r="C593" s="1"/>
    </row>
    <row r="594" spans="2:3" ht="15.75" customHeight="1">
      <c r="B594" s="1"/>
      <c r="C594" s="1"/>
    </row>
    <row r="595" spans="2:3" ht="15.75" customHeight="1">
      <c r="B595" s="1"/>
      <c r="C595" s="1"/>
    </row>
    <row r="596" spans="2:3" ht="15.75" customHeight="1">
      <c r="B596" s="1"/>
      <c r="C596" s="1"/>
    </row>
    <row r="597" spans="2:3" ht="15.75" customHeight="1">
      <c r="B597" s="1"/>
      <c r="C597" s="1"/>
    </row>
    <row r="598" spans="2:3" ht="15.75" customHeight="1">
      <c r="B598" s="1"/>
      <c r="C598" s="1"/>
    </row>
    <row r="599" spans="2:3" ht="15.75" customHeight="1">
      <c r="B599" s="1"/>
      <c r="C599" s="1"/>
    </row>
    <row r="600" spans="2:3" ht="15.75" customHeight="1">
      <c r="B600" s="1"/>
      <c r="C600" s="1"/>
    </row>
    <row r="601" spans="2:3" ht="15.75" customHeight="1">
      <c r="B601" s="1"/>
      <c r="C601" s="1"/>
    </row>
    <row r="602" spans="2:3" ht="15.75" customHeight="1">
      <c r="B602" s="1"/>
      <c r="C602" s="1"/>
    </row>
    <row r="603" spans="2:3" ht="15.75" customHeight="1">
      <c r="B603" s="1"/>
      <c r="C603" s="1"/>
    </row>
    <row r="604" spans="2:3" ht="15.75" customHeight="1">
      <c r="B604" s="1"/>
      <c r="C604" s="1"/>
    </row>
    <row r="605" spans="2:3" ht="15.75" customHeight="1">
      <c r="B605" s="1"/>
      <c r="C605" s="1"/>
    </row>
    <row r="606" spans="2:3" ht="15.75" customHeight="1">
      <c r="B606" s="1"/>
      <c r="C606" s="1"/>
    </row>
    <row r="607" spans="2:3" ht="15.75" customHeight="1">
      <c r="B607" s="1"/>
      <c r="C607" s="1"/>
    </row>
    <row r="608" spans="2:3" ht="15.75" customHeight="1">
      <c r="B608" s="1"/>
      <c r="C608" s="1"/>
    </row>
    <row r="609" spans="2:3" ht="15.75" customHeight="1">
      <c r="B609" s="1"/>
      <c r="C609" s="1"/>
    </row>
    <row r="610" spans="2:3" ht="15.75" customHeight="1">
      <c r="B610" s="1"/>
      <c r="C610" s="1"/>
    </row>
    <row r="611" spans="2:3" ht="15.75" customHeight="1">
      <c r="B611" s="1"/>
      <c r="C611" s="1"/>
    </row>
    <row r="612" spans="2:3" ht="15.75" customHeight="1">
      <c r="B612" s="1"/>
      <c r="C612" s="1"/>
    </row>
    <row r="613" spans="2:3" ht="15.75" customHeight="1">
      <c r="B613" s="1"/>
      <c r="C613" s="1"/>
    </row>
    <row r="614" spans="2:3" ht="15.75" customHeight="1">
      <c r="B614" s="1"/>
      <c r="C614" s="1"/>
    </row>
    <row r="615" spans="2:3" ht="15.75" customHeight="1">
      <c r="B615" s="1"/>
      <c r="C615" s="1"/>
    </row>
    <row r="616" spans="2:3" ht="15.75" customHeight="1">
      <c r="B616" s="1"/>
      <c r="C616" s="1"/>
    </row>
    <row r="617" spans="2:3" ht="15.75" customHeight="1">
      <c r="B617" s="1"/>
      <c r="C617" s="1"/>
    </row>
    <row r="618" spans="2:3" ht="15.75" customHeight="1">
      <c r="B618" s="1"/>
      <c r="C618" s="1"/>
    </row>
    <row r="619" spans="2:3" ht="15.75" customHeight="1">
      <c r="B619" s="1"/>
      <c r="C619" s="1"/>
    </row>
    <row r="620" spans="2:3" ht="15.75" customHeight="1">
      <c r="B620" s="1"/>
      <c r="C620" s="1"/>
    </row>
    <row r="621" spans="2:3" ht="15.75" customHeight="1">
      <c r="B621" s="1"/>
      <c r="C621" s="1"/>
    </row>
    <row r="622" spans="2:3" ht="15.75" customHeight="1">
      <c r="B622" s="1"/>
      <c r="C622" s="1"/>
    </row>
    <row r="623" spans="2:3" ht="15.75" customHeight="1">
      <c r="B623" s="1"/>
      <c r="C623" s="1"/>
    </row>
    <row r="624" spans="2:3" ht="15.75" customHeight="1">
      <c r="B624" s="1"/>
      <c r="C624" s="1"/>
    </row>
    <row r="625" spans="2:3" ht="15.75" customHeight="1">
      <c r="B625" s="1"/>
      <c r="C625" s="1"/>
    </row>
    <row r="626" spans="2:3" ht="15.75" customHeight="1">
      <c r="B626" s="1"/>
      <c r="C626" s="1"/>
    </row>
    <row r="627" spans="2:3" ht="15.75" customHeight="1">
      <c r="B627" s="1"/>
      <c r="C627" s="1"/>
    </row>
    <row r="628" spans="2:3" ht="15.75" customHeight="1">
      <c r="B628" s="1"/>
      <c r="C628" s="1"/>
    </row>
    <row r="629" spans="2:3" ht="15.75" customHeight="1">
      <c r="B629" s="1"/>
      <c r="C629" s="1"/>
    </row>
    <row r="630" spans="2:3" ht="15.75" customHeight="1">
      <c r="B630" s="1"/>
      <c r="C630" s="1"/>
    </row>
    <row r="631" spans="2:3" ht="15.75" customHeight="1">
      <c r="B631" s="1"/>
      <c r="C631" s="1"/>
    </row>
    <row r="632" spans="2:3" ht="15.75" customHeight="1">
      <c r="B632" s="1"/>
      <c r="C632" s="1"/>
    </row>
    <row r="633" spans="2:3" ht="15.75" customHeight="1">
      <c r="B633" s="1"/>
      <c r="C633" s="1"/>
    </row>
    <row r="634" spans="2:3" ht="15.75" customHeight="1">
      <c r="B634" s="1"/>
      <c r="C634" s="1"/>
    </row>
    <row r="635" spans="2:3" ht="15.75" customHeight="1">
      <c r="B635" s="1"/>
      <c r="C635" s="1"/>
    </row>
    <row r="636" spans="2:3" ht="15.75" customHeight="1">
      <c r="B636" s="1"/>
      <c r="C636" s="1"/>
    </row>
    <row r="637" spans="2:3" ht="15.75" customHeight="1">
      <c r="B637" s="1"/>
      <c r="C637" s="1"/>
    </row>
    <row r="638" spans="2:3" ht="15.75" customHeight="1">
      <c r="B638" s="1"/>
      <c r="C638" s="1"/>
    </row>
    <row r="639" spans="2:3" ht="15.75" customHeight="1">
      <c r="B639" s="1"/>
      <c r="C639" s="1"/>
    </row>
    <row r="640" spans="2:3" ht="15.75" customHeight="1">
      <c r="B640" s="1"/>
      <c r="C640" s="1"/>
    </row>
    <row r="641" spans="2:3" ht="15.75" customHeight="1">
      <c r="B641" s="1"/>
      <c r="C641" s="1"/>
    </row>
    <row r="642" spans="2:3" ht="15.75" customHeight="1">
      <c r="B642" s="1"/>
      <c r="C642" s="1"/>
    </row>
    <row r="643" spans="2:3" ht="15.75" customHeight="1">
      <c r="B643" s="1"/>
      <c r="C643" s="1"/>
    </row>
    <row r="644" spans="2:3" ht="15.75" customHeight="1">
      <c r="B644" s="1"/>
      <c r="C644" s="1"/>
    </row>
    <row r="645" spans="2:3" ht="15.75" customHeight="1">
      <c r="B645" s="1"/>
      <c r="C645" s="1"/>
    </row>
    <row r="646" spans="2:3" ht="15.75" customHeight="1">
      <c r="B646" s="1"/>
      <c r="C646" s="1"/>
    </row>
    <row r="647" spans="2:3" ht="15.75" customHeight="1">
      <c r="B647" s="1"/>
      <c r="C647" s="1"/>
    </row>
    <row r="648" spans="2:3" ht="15.75" customHeight="1">
      <c r="B648" s="1"/>
      <c r="C648" s="1"/>
    </row>
    <row r="649" spans="2:3" ht="15.75" customHeight="1">
      <c r="B649" s="1"/>
      <c r="C649" s="1"/>
    </row>
    <row r="650" spans="2:3" ht="15.75" customHeight="1">
      <c r="B650" s="1"/>
      <c r="C650" s="1"/>
    </row>
    <row r="651" spans="2:3" ht="15.75" customHeight="1">
      <c r="B651" s="1"/>
      <c r="C651" s="1"/>
    </row>
    <row r="652" spans="2:3" ht="15.75" customHeight="1">
      <c r="B652" s="1"/>
      <c r="C652" s="1"/>
    </row>
    <row r="653" spans="2:3" ht="15.75" customHeight="1">
      <c r="B653" s="1"/>
      <c r="C653" s="1"/>
    </row>
    <row r="654" spans="2:3" ht="15.75" customHeight="1">
      <c r="B654" s="1"/>
      <c r="C654" s="1"/>
    </row>
    <row r="655" spans="2:3" ht="15.75" customHeight="1">
      <c r="B655" s="1"/>
      <c r="C655" s="1"/>
    </row>
    <row r="656" spans="2:3" ht="15.75" customHeight="1">
      <c r="B656" s="1"/>
      <c r="C656" s="1"/>
    </row>
    <row r="657" spans="2:3" ht="15.75" customHeight="1">
      <c r="B657" s="1"/>
      <c r="C657" s="1"/>
    </row>
    <row r="658" spans="2:3" ht="15.75" customHeight="1">
      <c r="B658" s="1"/>
      <c r="C658" s="1"/>
    </row>
    <row r="659" spans="2:3" ht="15.75" customHeight="1">
      <c r="B659" s="1"/>
      <c r="C659" s="1"/>
    </row>
    <row r="660" spans="2:3" ht="15.75" customHeight="1">
      <c r="B660" s="1"/>
      <c r="C660" s="1"/>
    </row>
    <row r="661" spans="2:3" ht="15.75" customHeight="1">
      <c r="B661" s="1"/>
      <c r="C661" s="1"/>
    </row>
    <row r="662" spans="2:3" ht="15.75" customHeight="1">
      <c r="B662" s="1"/>
      <c r="C662" s="1"/>
    </row>
    <row r="663" spans="2:3" ht="15.75" customHeight="1">
      <c r="B663" s="1"/>
      <c r="C663" s="1"/>
    </row>
    <row r="664" spans="2:3" ht="15.75" customHeight="1">
      <c r="B664" s="1"/>
      <c r="C664" s="1"/>
    </row>
    <row r="665" spans="2:3" ht="15.75" customHeight="1">
      <c r="B665" s="1"/>
      <c r="C665" s="1"/>
    </row>
    <row r="666" spans="2:3" ht="15.75" customHeight="1">
      <c r="B666" s="1"/>
      <c r="C666" s="1"/>
    </row>
    <row r="667" spans="2:3" ht="15.75" customHeight="1">
      <c r="B667" s="1"/>
      <c r="C667" s="1"/>
    </row>
    <row r="668" spans="2:3" ht="15.75" customHeight="1">
      <c r="B668" s="1"/>
      <c r="C668" s="1"/>
    </row>
    <row r="669" spans="2:3" ht="15.75" customHeight="1">
      <c r="B669" s="1"/>
      <c r="C669" s="1"/>
    </row>
    <row r="670" spans="2:3" ht="15.75" customHeight="1">
      <c r="B670" s="1"/>
      <c r="C670" s="1"/>
    </row>
    <row r="671" spans="2:3" ht="15.75" customHeight="1">
      <c r="B671" s="1"/>
      <c r="C671" s="1"/>
    </row>
    <row r="672" spans="2:3" ht="15.75" customHeight="1">
      <c r="B672" s="1"/>
      <c r="C672" s="1"/>
    </row>
    <row r="673" spans="2:3" ht="15.75" customHeight="1">
      <c r="B673" s="1"/>
      <c r="C673" s="1"/>
    </row>
    <row r="674" spans="2:3" ht="15.75" customHeight="1">
      <c r="B674" s="1"/>
      <c r="C674" s="1"/>
    </row>
    <row r="675" spans="2:3" ht="15.75" customHeight="1">
      <c r="B675" s="1"/>
      <c r="C675" s="1"/>
    </row>
    <row r="676" spans="2:3" ht="15.75" customHeight="1">
      <c r="B676" s="1"/>
      <c r="C676" s="1"/>
    </row>
    <row r="677" spans="2:3" ht="15.75" customHeight="1">
      <c r="B677" s="1"/>
      <c r="C677" s="1"/>
    </row>
    <row r="678" spans="2:3" ht="15.75" customHeight="1">
      <c r="B678" s="1"/>
      <c r="C678" s="1"/>
    </row>
    <row r="679" spans="2:3" ht="15.75" customHeight="1">
      <c r="B679" s="1"/>
      <c r="C679" s="1"/>
    </row>
    <row r="680" spans="2:3" ht="15.75" customHeight="1">
      <c r="B680" s="1"/>
      <c r="C680" s="1"/>
    </row>
    <row r="681" spans="2:3" ht="15.75" customHeight="1">
      <c r="B681" s="1"/>
      <c r="C681" s="1"/>
    </row>
    <row r="682" spans="2:3" ht="15.75" customHeight="1">
      <c r="B682" s="1"/>
      <c r="C682" s="1"/>
    </row>
    <row r="683" spans="2:3" ht="15.75" customHeight="1">
      <c r="B683" s="1"/>
      <c r="C683" s="1"/>
    </row>
    <row r="684" spans="2:3" ht="15.75" customHeight="1">
      <c r="B684" s="1"/>
      <c r="C684" s="1"/>
    </row>
    <row r="685" spans="2:3" ht="15.75" customHeight="1">
      <c r="B685" s="1"/>
      <c r="C685" s="1"/>
    </row>
    <row r="686" spans="2:3" ht="15.75" customHeight="1">
      <c r="B686" s="1"/>
      <c r="C686" s="1"/>
    </row>
    <row r="687" spans="2:3" ht="15.75" customHeight="1">
      <c r="B687" s="1"/>
      <c r="C687" s="1"/>
    </row>
    <row r="688" spans="2:3" ht="15.75" customHeight="1">
      <c r="B688" s="1"/>
      <c r="C688" s="1"/>
    </row>
    <row r="689" spans="2:3" ht="15.75" customHeight="1">
      <c r="B689" s="1"/>
      <c r="C689" s="1"/>
    </row>
    <row r="690" spans="2:3" ht="15.75" customHeight="1">
      <c r="B690" s="1"/>
      <c r="C690" s="1"/>
    </row>
    <row r="691" spans="2:3" ht="15.75" customHeight="1">
      <c r="B691" s="1"/>
      <c r="C691" s="1"/>
    </row>
    <row r="692" spans="2:3" ht="15.75" customHeight="1">
      <c r="B692" s="1"/>
      <c r="C692" s="1"/>
    </row>
    <row r="693" spans="2:3" ht="15.75" customHeight="1">
      <c r="B693" s="1"/>
      <c r="C693" s="1"/>
    </row>
    <row r="694" spans="2:3" ht="15.75" customHeight="1">
      <c r="B694" s="1"/>
      <c r="C694" s="1"/>
    </row>
    <row r="695" spans="2:3" ht="15.75" customHeight="1">
      <c r="B695" s="1"/>
      <c r="C695" s="1"/>
    </row>
    <row r="696" spans="2:3" ht="15.75" customHeight="1">
      <c r="B696" s="1"/>
      <c r="C696" s="1"/>
    </row>
    <row r="697" spans="2:3" ht="15.75" customHeight="1">
      <c r="B697" s="1"/>
      <c r="C697" s="1"/>
    </row>
    <row r="698" spans="2:3" ht="15.75" customHeight="1">
      <c r="B698" s="1"/>
      <c r="C698" s="1"/>
    </row>
    <row r="699" spans="2:3" ht="15.75" customHeight="1">
      <c r="B699" s="1"/>
      <c r="C699" s="1"/>
    </row>
    <row r="700" spans="2:3" ht="15.75" customHeight="1">
      <c r="B700" s="1"/>
      <c r="C700" s="1"/>
    </row>
    <row r="701" spans="2:3" ht="15.75" customHeight="1">
      <c r="B701" s="1"/>
      <c r="C701" s="1"/>
    </row>
    <row r="702" spans="2:3" ht="15.75" customHeight="1">
      <c r="B702" s="1"/>
      <c r="C702" s="1"/>
    </row>
    <row r="703" spans="2:3" ht="15.75" customHeight="1">
      <c r="B703" s="1"/>
      <c r="C703" s="1"/>
    </row>
    <row r="704" spans="2:3" ht="15.75" customHeight="1">
      <c r="B704" s="1"/>
      <c r="C704" s="1"/>
    </row>
    <row r="705" spans="2:3" ht="15.75" customHeight="1">
      <c r="B705" s="1"/>
      <c r="C705" s="1"/>
    </row>
    <row r="706" spans="2:3" ht="15.75" customHeight="1">
      <c r="B706" s="1"/>
      <c r="C706" s="1"/>
    </row>
    <row r="707" spans="2:3" ht="15.75" customHeight="1">
      <c r="B707" s="1"/>
      <c r="C707" s="1"/>
    </row>
    <row r="708" spans="2:3" ht="15.75" customHeight="1">
      <c r="B708" s="1"/>
      <c r="C708" s="1"/>
    </row>
    <row r="709" spans="2:3" ht="15.75" customHeight="1">
      <c r="B709" s="1"/>
      <c r="C709" s="1"/>
    </row>
    <row r="710" spans="2:3" ht="15.75" customHeight="1">
      <c r="B710" s="1"/>
      <c r="C710" s="1"/>
    </row>
    <row r="711" spans="2:3" ht="15.75" customHeight="1">
      <c r="B711" s="1"/>
      <c r="C711" s="1"/>
    </row>
    <row r="712" spans="2:3" ht="15.75" customHeight="1">
      <c r="B712" s="1"/>
      <c r="C712" s="1"/>
    </row>
    <row r="713" spans="2:3" ht="15.75" customHeight="1">
      <c r="B713" s="1"/>
      <c r="C713" s="1"/>
    </row>
    <row r="714" spans="2:3" ht="15.75" customHeight="1">
      <c r="B714" s="1"/>
      <c r="C714" s="1"/>
    </row>
    <row r="715" spans="2:3" ht="15.75" customHeight="1">
      <c r="B715" s="1"/>
      <c r="C715" s="1"/>
    </row>
    <row r="716" spans="2:3" ht="15.75" customHeight="1">
      <c r="B716" s="1"/>
      <c r="C716" s="1"/>
    </row>
    <row r="717" spans="2:3" ht="15.75" customHeight="1">
      <c r="B717" s="1"/>
      <c r="C717" s="1"/>
    </row>
    <row r="718" spans="2:3" ht="15.75" customHeight="1">
      <c r="B718" s="1"/>
      <c r="C718" s="1"/>
    </row>
    <row r="719" spans="2:3" ht="15.75" customHeight="1">
      <c r="B719" s="1"/>
      <c r="C719" s="1"/>
    </row>
    <row r="720" spans="2:3" ht="15.75" customHeight="1">
      <c r="B720" s="1"/>
      <c r="C720" s="1"/>
    </row>
    <row r="721" spans="2:3" ht="15.75" customHeight="1">
      <c r="B721" s="1"/>
      <c r="C721" s="1"/>
    </row>
    <row r="722" spans="2:3" ht="15.75" customHeight="1">
      <c r="B722" s="1"/>
      <c r="C722" s="1"/>
    </row>
    <row r="723" spans="2:3" ht="15.75" customHeight="1">
      <c r="B723" s="1"/>
      <c r="C723" s="1"/>
    </row>
    <row r="724" spans="2:3" ht="15.75" customHeight="1">
      <c r="B724" s="1"/>
      <c r="C724" s="1"/>
    </row>
    <row r="725" spans="2:3" ht="15.75" customHeight="1">
      <c r="B725" s="1"/>
      <c r="C725" s="1"/>
    </row>
    <row r="726" spans="2:3" ht="15.75" customHeight="1">
      <c r="B726" s="1"/>
      <c r="C726" s="1"/>
    </row>
    <row r="727" spans="2:3" ht="15.75" customHeight="1">
      <c r="B727" s="1"/>
      <c r="C727" s="1"/>
    </row>
    <row r="728" spans="2:3" ht="15.75" customHeight="1">
      <c r="B728" s="1"/>
      <c r="C728" s="1"/>
    </row>
    <row r="729" spans="2:3" ht="15.75" customHeight="1">
      <c r="B729" s="1"/>
      <c r="C729" s="1"/>
    </row>
    <row r="730" spans="2:3" ht="15.75" customHeight="1">
      <c r="B730" s="1"/>
      <c r="C730" s="1"/>
    </row>
    <row r="731" spans="2:3" ht="15.75" customHeight="1">
      <c r="B731" s="1"/>
      <c r="C731" s="1"/>
    </row>
    <row r="732" spans="2:3" ht="15.75" customHeight="1">
      <c r="B732" s="1"/>
      <c r="C732" s="1"/>
    </row>
    <row r="733" spans="2:3" ht="15.75" customHeight="1">
      <c r="B733" s="1"/>
      <c r="C733" s="1"/>
    </row>
    <row r="734" spans="2:3" ht="15.75" customHeight="1">
      <c r="B734" s="1"/>
      <c r="C734" s="1"/>
    </row>
    <row r="735" spans="2:3" ht="15.75" customHeight="1">
      <c r="B735" s="1"/>
      <c r="C735" s="1"/>
    </row>
    <row r="736" spans="2:3" ht="15.75" customHeight="1">
      <c r="B736" s="1"/>
      <c r="C736" s="1"/>
    </row>
    <row r="737" spans="2:3" ht="15.75" customHeight="1">
      <c r="B737" s="1"/>
      <c r="C737" s="1"/>
    </row>
    <row r="738" spans="2:3" ht="15.75" customHeight="1">
      <c r="B738" s="1"/>
      <c r="C738" s="1"/>
    </row>
    <row r="739" spans="2:3" ht="15.75" customHeight="1">
      <c r="B739" s="1"/>
      <c r="C739" s="1"/>
    </row>
    <row r="740" spans="2:3" ht="15.75" customHeight="1">
      <c r="B740" s="1"/>
      <c r="C740" s="1"/>
    </row>
    <row r="741" spans="2:3" ht="15.75" customHeight="1">
      <c r="B741" s="1"/>
      <c r="C741" s="1"/>
    </row>
    <row r="742" spans="2:3" ht="15.75" customHeight="1">
      <c r="B742" s="1"/>
      <c r="C742" s="1"/>
    </row>
    <row r="743" spans="2:3" ht="15.75" customHeight="1">
      <c r="B743" s="1"/>
      <c r="C743" s="1"/>
    </row>
    <row r="744" spans="2:3" ht="15.75" customHeight="1">
      <c r="B744" s="1"/>
      <c r="C744" s="1"/>
    </row>
    <row r="745" spans="2:3" ht="15.75" customHeight="1">
      <c r="B745" s="1"/>
      <c r="C745" s="1"/>
    </row>
    <row r="746" spans="2:3" ht="15.75" customHeight="1">
      <c r="B746" s="1"/>
      <c r="C746" s="1"/>
    </row>
    <row r="747" spans="2:3" ht="15.75" customHeight="1">
      <c r="B747" s="1"/>
      <c r="C747" s="1"/>
    </row>
    <row r="748" spans="2:3" ht="15.75" customHeight="1">
      <c r="B748" s="1"/>
      <c r="C748" s="1"/>
    </row>
    <row r="749" spans="2:3" ht="15.75" customHeight="1">
      <c r="B749" s="1"/>
      <c r="C749" s="1"/>
    </row>
    <row r="750" spans="2:3" ht="15.75" customHeight="1">
      <c r="B750" s="1"/>
      <c r="C750" s="1"/>
    </row>
    <row r="751" spans="2:3" ht="15.75" customHeight="1">
      <c r="B751" s="1"/>
      <c r="C751" s="1"/>
    </row>
    <row r="752" spans="2:3" ht="15.75" customHeight="1">
      <c r="B752" s="1"/>
      <c r="C752" s="1"/>
    </row>
    <row r="753" spans="2:3" ht="15.75" customHeight="1">
      <c r="B753" s="1"/>
      <c r="C753" s="1"/>
    </row>
    <row r="754" spans="2:3" ht="15.75" customHeight="1">
      <c r="B754" s="1"/>
      <c r="C754" s="1"/>
    </row>
    <row r="755" spans="2:3" ht="15.75" customHeight="1">
      <c r="B755" s="1"/>
      <c r="C755" s="1"/>
    </row>
    <row r="756" spans="2:3" ht="15.75" customHeight="1">
      <c r="B756" s="1"/>
      <c r="C756" s="1"/>
    </row>
    <row r="757" spans="2:3" ht="15.75" customHeight="1">
      <c r="B757" s="1"/>
      <c r="C757" s="1"/>
    </row>
    <row r="758" spans="2:3" ht="15.75" customHeight="1">
      <c r="B758" s="1"/>
      <c r="C758" s="1"/>
    </row>
    <row r="759" spans="2:3" ht="15.75" customHeight="1">
      <c r="B759" s="1"/>
      <c r="C759" s="1"/>
    </row>
    <row r="760" spans="2:3" ht="15.75" customHeight="1">
      <c r="B760" s="1"/>
      <c r="C760" s="1"/>
    </row>
    <row r="761" spans="2:3" ht="15.75" customHeight="1">
      <c r="B761" s="1"/>
      <c r="C761" s="1"/>
    </row>
    <row r="762" spans="2:3" ht="15.75" customHeight="1">
      <c r="B762" s="1"/>
      <c r="C762" s="1"/>
    </row>
    <row r="763" spans="2:3" ht="15.75" customHeight="1">
      <c r="B763" s="1"/>
      <c r="C763" s="1"/>
    </row>
    <row r="764" spans="2:3" ht="15.75" customHeight="1">
      <c r="B764" s="1"/>
      <c r="C764" s="1"/>
    </row>
    <row r="765" spans="2:3" ht="15.75" customHeight="1">
      <c r="B765" s="1"/>
      <c r="C765" s="1"/>
    </row>
    <row r="766" spans="2:3" ht="15.75" customHeight="1">
      <c r="B766" s="1"/>
      <c r="C766" s="1"/>
    </row>
    <row r="767" spans="2:3" ht="15.75" customHeight="1">
      <c r="B767" s="1"/>
      <c r="C767" s="1"/>
    </row>
    <row r="768" spans="2:3" ht="15.75" customHeight="1">
      <c r="B768" s="1"/>
      <c r="C768" s="1"/>
    </row>
    <row r="769" spans="2:3" ht="15.75" customHeight="1">
      <c r="B769" s="1"/>
      <c r="C769" s="1"/>
    </row>
    <row r="770" spans="2:3" ht="15.75" customHeight="1">
      <c r="B770" s="1"/>
      <c r="C770" s="1"/>
    </row>
    <row r="771" spans="2:3" ht="15.75" customHeight="1">
      <c r="B771" s="1"/>
      <c r="C771" s="1"/>
    </row>
    <row r="772" spans="2:3" ht="15.75" customHeight="1">
      <c r="B772" s="1"/>
      <c r="C772" s="1"/>
    </row>
    <row r="773" spans="2:3" ht="15.75" customHeight="1">
      <c r="B773" s="1"/>
      <c r="C773" s="1"/>
    </row>
    <row r="774" spans="2:3" ht="15.75" customHeight="1">
      <c r="B774" s="1"/>
      <c r="C774" s="1"/>
    </row>
    <row r="775" spans="2:3" ht="15.75" customHeight="1">
      <c r="B775" s="1"/>
      <c r="C775" s="1"/>
    </row>
    <row r="776" spans="2:3" ht="15.75" customHeight="1">
      <c r="B776" s="1"/>
      <c r="C776" s="1"/>
    </row>
    <row r="777" spans="2:3" ht="15.75" customHeight="1">
      <c r="B777" s="1"/>
      <c r="C777" s="1"/>
    </row>
    <row r="778" spans="2:3" ht="15.75" customHeight="1">
      <c r="B778" s="1"/>
      <c r="C778" s="1"/>
    </row>
    <row r="779" spans="2:3" ht="15.75" customHeight="1">
      <c r="B779" s="1"/>
      <c r="C779" s="1"/>
    </row>
    <row r="780" spans="2:3" ht="15.75" customHeight="1">
      <c r="B780" s="1"/>
      <c r="C780" s="1"/>
    </row>
    <row r="781" spans="2:3" ht="15.75" customHeight="1">
      <c r="B781" s="1"/>
      <c r="C781" s="1"/>
    </row>
    <row r="782" spans="2:3" ht="15.75" customHeight="1">
      <c r="B782" s="1"/>
      <c r="C782" s="1"/>
    </row>
    <row r="783" spans="2:3" ht="15.75" customHeight="1">
      <c r="B783" s="1"/>
      <c r="C783" s="1"/>
    </row>
    <row r="784" spans="2:3" ht="15.75" customHeight="1">
      <c r="B784" s="1"/>
      <c r="C784" s="1"/>
    </row>
    <row r="785" spans="2:3" ht="15.75" customHeight="1">
      <c r="B785" s="1"/>
      <c r="C785" s="1"/>
    </row>
    <row r="786" spans="2:3" ht="15.75" customHeight="1">
      <c r="B786" s="1"/>
      <c r="C786" s="1"/>
    </row>
    <row r="787" spans="2:3" ht="15.75" customHeight="1">
      <c r="B787" s="1"/>
      <c r="C787" s="1"/>
    </row>
    <row r="788" spans="2:3" ht="15.75" customHeight="1">
      <c r="B788" s="1"/>
      <c r="C788" s="1"/>
    </row>
    <row r="789" spans="2:3" ht="15.75" customHeight="1">
      <c r="B789" s="1"/>
      <c r="C789" s="1"/>
    </row>
    <row r="790" spans="2:3" ht="15.75" customHeight="1">
      <c r="B790" s="1"/>
      <c r="C790" s="1"/>
    </row>
    <row r="791" spans="2:3" ht="15.75" customHeight="1">
      <c r="B791" s="1"/>
      <c r="C791" s="1"/>
    </row>
    <row r="792" spans="2:3" ht="15.75" customHeight="1">
      <c r="B792" s="1"/>
      <c r="C792" s="1"/>
    </row>
    <row r="793" spans="2:3" ht="15.75" customHeight="1">
      <c r="B793" s="1"/>
      <c r="C793" s="1"/>
    </row>
    <row r="794" spans="2:3" ht="15.75" customHeight="1">
      <c r="B794" s="1"/>
      <c r="C794" s="1"/>
    </row>
    <row r="795" spans="2:3" ht="15.75" customHeight="1">
      <c r="B795" s="1"/>
      <c r="C795" s="1"/>
    </row>
    <row r="796" spans="2:3" ht="15.75" customHeight="1">
      <c r="B796" s="1"/>
      <c r="C796" s="1"/>
    </row>
    <row r="797" spans="2:3" ht="15.75" customHeight="1">
      <c r="B797" s="1"/>
      <c r="C797" s="1"/>
    </row>
    <row r="798" spans="2:3" ht="15.75" customHeight="1">
      <c r="B798" s="1"/>
      <c r="C798" s="1"/>
    </row>
    <row r="799" spans="2:3" ht="15.75" customHeight="1">
      <c r="B799" s="1"/>
      <c r="C799" s="1"/>
    </row>
    <row r="800" spans="2:3" ht="15.75" customHeight="1">
      <c r="B800" s="1"/>
      <c r="C800" s="1"/>
    </row>
    <row r="801" spans="2:3" ht="15.75" customHeight="1">
      <c r="B801" s="1"/>
      <c r="C801" s="1"/>
    </row>
    <row r="802" spans="2:3" ht="15.75" customHeight="1">
      <c r="B802" s="1"/>
      <c r="C802" s="1"/>
    </row>
    <row r="803" spans="2:3" ht="15.75" customHeight="1">
      <c r="B803" s="1"/>
      <c r="C803" s="1"/>
    </row>
    <row r="804" spans="2:3" ht="15.75" customHeight="1">
      <c r="B804" s="1"/>
      <c r="C804" s="1"/>
    </row>
    <row r="805" spans="2:3" ht="15.75" customHeight="1">
      <c r="B805" s="1"/>
      <c r="C805" s="1"/>
    </row>
    <row r="806" spans="2:3" ht="15.75" customHeight="1">
      <c r="B806" s="1"/>
      <c r="C806" s="1"/>
    </row>
    <row r="807" spans="2:3" ht="15.75" customHeight="1">
      <c r="B807" s="1"/>
      <c r="C807" s="1"/>
    </row>
    <row r="808" spans="2:3" ht="15.75" customHeight="1">
      <c r="B808" s="1"/>
      <c r="C808" s="1"/>
    </row>
    <row r="809" spans="2:3" ht="15.75" customHeight="1">
      <c r="B809" s="1"/>
      <c r="C809" s="1"/>
    </row>
    <row r="810" spans="2:3" ht="15.75" customHeight="1">
      <c r="B810" s="1"/>
      <c r="C810" s="1"/>
    </row>
    <row r="811" spans="2:3" ht="15.75" customHeight="1">
      <c r="B811" s="1"/>
      <c r="C811" s="1"/>
    </row>
    <row r="812" spans="2:3" ht="15.75" customHeight="1">
      <c r="B812" s="1"/>
      <c r="C812" s="1"/>
    </row>
    <row r="813" spans="2:3" ht="15.75" customHeight="1">
      <c r="B813" s="1"/>
      <c r="C813" s="1"/>
    </row>
    <row r="814" spans="2:3" ht="15.75" customHeight="1">
      <c r="B814" s="1"/>
      <c r="C814" s="1"/>
    </row>
    <row r="815" spans="2:3" ht="15.75" customHeight="1">
      <c r="B815" s="1"/>
      <c r="C815" s="1"/>
    </row>
    <row r="816" spans="2:3" ht="15.75" customHeight="1">
      <c r="B816" s="1"/>
      <c r="C816" s="1"/>
    </row>
    <row r="817" spans="2:3" ht="15.75" customHeight="1">
      <c r="B817" s="1"/>
      <c r="C817" s="1"/>
    </row>
    <row r="818" spans="2:3" ht="15.75" customHeight="1">
      <c r="B818" s="1"/>
      <c r="C818" s="1"/>
    </row>
    <row r="819" spans="2:3" ht="15.75" customHeight="1">
      <c r="B819" s="1"/>
      <c r="C819" s="1"/>
    </row>
    <row r="820" spans="2:3" ht="15.75" customHeight="1">
      <c r="B820" s="1"/>
      <c r="C820" s="1"/>
    </row>
    <row r="821" spans="2:3" ht="15.75" customHeight="1">
      <c r="B821" s="1"/>
      <c r="C821" s="1"/>
    </row>
    <row r="822" spans="2:3" ht="15.75" customHeight="1">
      <c r="B822" s="1"/>
      <c r="C822" s="1"/>
    </row>
    <row r="823" spans="2:3" ht="15.75" customHeight="1">
      <c r="B823" s="1"/>
      <c r="C823" s="1"/>
    </row>
    <row r="824" spans="2:3" ht="15.75" customHeight="1">
      <c r="B824" s="1"/>
      <c r="C824" s="1"/>
    </row>
    <row r="825" spans="2:3" ht="15.75" customHeight="1">
      <c r="B825" s="1"/>
      <c r="C825" s="1"/>
    </row>
    <row r="826" spans="2:3" ht="15.75" customHeight="1">
      <c r="B826" s="1"/>
      <c r="C826" s="1"/>
    </row>
    <row r="827" spans="2:3" ht="15.75" customHeight="1">
      <c r="B827" s="1"/>
      <c r="C827" s="1"/>
    </row>
    <row r="828" spans="2:3" ht="15.75" customHeight="1">
      <c r="B828" s="1"/>
      <c r="C828" s="1"/>
    </row>
    <row r="829" spans="2:3" ht="15.75" customHeight="1">
      <c r="B829" s="1"/>
      <c r="C829" s="1"/>
    </row>
    <row r="830" spans="2:3" ht="15.75" customHeight="1">
      <c r="B830" s="1"/>
      <c r="C830" s="1"/>
    </row>
    <row r="831" spans="2:3" ht="15.75" customHeight="1">
      <c r="B831" s="1"/>
      <c r="C831" s="1"/>
    </row>
    <row r="832" spans="2:3" ht="15.75" customHeight="1">
      <c r="B832" s="1"/>
      <c r="C832" s="1"/>
    </row>
    <row r="833" spans="2:3" ht="15.75" customHeight="1">
      <c r="B833" s="1"/>
      <c r="C833" s="1"/>
    </row>
    <row r="834" spans="2:3" ht="15.75" customHeight="1">
      <c r="B834" s="1"/>
      <c r="C834" s="1"/>
    </row>
    <row r="835" spans="2:3" ht="15.75" customHeight="1">
      <c r="B835" s="1"/>
      <c r="C835" s="1"/>
    </row>
    <row r="836" spans="2:3" ht="15.75" customHeight="1">
      <c r="B836" s="1"/>
      <c r="C836" s="1"/>
    </row>
    <row r="837" spans="2:3" ht="15.75" customHeight="1">
      <c r="B837" s="1"/>
      <c r="C837" s="1"/>
    </row>
    <row r="838" spans="2:3" ht="15.75" customHeight="1">
      <c r="B838" s="1"/>
      <c r="C838" s="1"/>
    </row>
    <row r="839" spans="2:3" ht="15.75" customHeight="1">
      <c r="B839" s="1"/>
      <c r="C839" s="1"/>
    </row>
    <row r="840" spans="2:3" ht="15.75" customHeight="1">
      <c r="B840" s="1"/>
      <c r="C840" s="1"/>
    </row>
    <row r="841" spans="2:3" ht="15.75" customHeight="1">
      <c r="B841" s="1"/>
      <c r="C841" s="1"/>
    </row>
    <row r="842" spans="2:3" ht="15.75" customHeight="1">
      <c r="B842" s="1"/>
      <c r="C842" s="1"/>
    </row>
    <row r="843" spans="2:3" ht="15.75" customHeight="1">
      <c r="B843" s="1"/>
      <c r="C843" s="1"/>
    </row>
    <row r="844" spans="2:3" ht="15.75" customHeight="1">
      <c r="B844" s="1"/>
      <c r="C844" s="1"/>
    </row>
    <row r="845" spans="2:3" ht="15.75" customHeight="1">
      <c r="B845" s="1"/>
      <c r="C845" s="1"/>
    </row>
    <row r="846" spans="2:3" ht="15.75" customHeight="1">
      <c r="B846" s="1"/>
      <c r="C846" s="1"/>
    </row>
    <row r="847" spans="2:3" ht="15.75" customHeight="1">
      <c r="B847" s="1"/>
      <c r="C847" s="1"/>
    </row>
    <row r="848" spans="2:3" ht="15.75" customHeight="1">
      <c r="B848" s="1"/>
      <c r="C848" s="1"/>
    </row>
    <row r="849" spans="2:3" ht="15.75" customHeight="1">
      <c r="B849" s="1"/>
      <c r="C849" s="1"/>
    </row>
    <row r="850" spans="2:3" ht="15.75" customHeight="1">
      <c r="B850" s="1"/>
      <c r="C850" s="1"/>
    </row>
    <row r="851" spans="2:3" ht="15.75" customHeight="1">
      <c r="B851" s="1"/>
      <c r="C851" s="1"/>
    </row>
    <row r="852" spans="2:3" ht="15.75" customHeight="1">
      <c r="B852" s="1"/>
      <c r="C852" s="1"/>
    </row>
    <row r="853" spans="2:3" ht="15.75" customHeight="1">
      <c r="B853" s="1"/>
      <c r="C853" s="1"/>
    </row>
    <row r="854" spans="2:3" ht="15.75" customHeight="1">
      <c r="B854" s="1"/>
      <c r="C854" s="1"/>
    </row>
    <row r="855" spans="2:3" ht="15.75" customHeight="1">
      <c r="B855" s="1"/>
      <c r="C855" s="1"/>
    </row>
    <row r="856" spans="2:3" ht="15.75" customHeight="1">
      <c r="B856" s="1"/>
      <c r="C856" s="1"/>
    </row>
    <row r="857" spans="2:3" ht="15.75" customHeight="1">
      <c r="B857" s="1"/>
      <c r="C857" s="1"/>
    </row>
    <row r="858" spans="2:3" ht="15.75" customHeight="1">
      <c r="B858" s="1"/>
      <c r="C858" s="1"/>
    </row>
    <row r="859" spans="2:3" ht="15.75" customHeight="1">
      <c r="B859" s="1"/>
      <c r="C859" s="1"/>
    </row>
    <row r="860" spans="2:3" ht="15.75" customHeight="1">
      <c r="B860" s="1"/>
      <c r="C860" s="1"/>
    </row>
    <row r="861" spans="2:3" ht="15.75" customHeight="1">
      <c r="B861" s="1"/>
      <c r="C861" s="1"/>
    </row>
    <row r="862" spans="2:3" ht="15.75" customHeight="1">
      <c r="B862" s="1"/>
      <c r="C862" s="1"/>
    </row>
    <row r="863" spans="2:3" ht="15.75" customHeight="1">
      <c r="B863" s="1"/>
      <c r="C863" s="1"/>
    </row>
    <row r="864" spans="2:3" ht="15.75" customHeight="1">
      <c r="B864" s="1"/>
      <c r="C864" s="1"/>
    </row>
    <row r="865" spans="2:3" ht="15.75" customHeight="1">
      <c r="B865" s="1"/>
      <c r="C865" s="1"/>
    </row>
    <row r="866" spans="2:3" ht="15.75" customHeight="1">
      <c r="B866" s="1"/>
      <c r="C866" s="1"/>
    </row>
    <row r="867" spans="2:3" ht="15.75" customHeight="1">
      <c r="B867" s="1"/>
      <c r="C867" s="1"/>
    </row>
    <row r="868" spans="2:3" ht="15.75" customHeight="1">
      <c r="B868" s="1"/>
      <c r="C868" s="1"/>
    </row>
    <row r="869" spans="2:3" ht="15.75" customHeight="1">
      <c r="B869" s="1"/>
      <c r="C869" s="1"/>
    </row>
    <row r="870" spans="2:3" ht="15.75" customHeight="1">
      <c r="B870" s="1"/>
      <c r="C870" s="1"/>
    </row>
    <row r="871" spans="2:3" ht="15.75" customHeight="1">
      <c r="B871" s="1"/>
      <c r="C871" s="1"/>
    </row>
    <row r="872" spans="2:3" ht="15.75" customHeight="1">
      <c r="B872" s="1"/>
      <c r="C872" s="1"/>
    </row>
    <row r="873" spans="2:3" ht="15.75" customHeight="1">
      <c r="B873" s="1"/>
      <c r="C873" s="1"/>
    </row>
    <row r="874" spans="2:3" ht="15.75" customHeight="1">
      <c r="B874" s="1"/>
      <c r="C874" s="1"/>
    </row>
    <row r="875" spans="2:3" ht="15.75" customHeight="1">
      <c r="B875" s="1"/>
      <c r="C875" s="1"/>
    </row>
    <row r="876" spans="2:3" ht="15.75" customHeight="1">
      <c r="B876" s="1"/>
      <c r="C876" s="1"/>
    </row>
    <row r="877" spans="2:3" ht="15.75" customHeight="1">
      <c r="B877" s="1"/>
      <c r="C877" s="1"/>
    </row>
    <row r="878" spans="2:3" ht="15.75" customHeight="1">
      <c r="B878" s="1"/>
      <c r="C878" s="1"/>
    </row>
    <row r="879" spans="2:3" ht="15.75" customHeight="1">
      <c r="B879" s="1"/>
      <c r="C879" s="1"/>
    </row>
    <row r="880" spans="2:3" ht="15.75" customHeight="1">
      <c r="B880" s="1"/>
      <c r="C880" s="1"/>
    </row>
    <row r="881" spans="2:3" ht="15.75" customHeight="1">
      <c r="B881" s="1"/>
      <c r="C881" s="1"/>
    </row>
    <row r="882" spans="2:3" ht="15.75" customHeight="1">
      <c r="B882" s="1"/>
      <c r="C882" s="1"/>
    </row>
    <row r="883" spans="2:3" ht="15.75" customHeight="1">
      <c r="B883" s="1"/>
      <c r="C883" s="1"/>
    </row>
    <row r="884" spans="2:3" ht="15.75" customHeight="1">
      <c r="B884" s="1"/>
      <c r="C884" s="1"/>
    </row>
    <row r="885" spans="2:3" ht="15.75" customHeight="1">
      <c r="B885" s="1"/>
      <c r="C885" s="1"/>
    </row>
    <row r="886" spans="2:3" ht="15.75" customHeight="1">
      <c r="B886" s="1"/>
      <c r="C886" s="1"/>
    </row>
    <row r="887" spans="2:3" ht="15.75" customHeight="1">
      <c r="B887" s="1"/>
      <c r="C887" s="1"/>
    </row>
    <row r="888" spans="2:3" ht="15.75" customHeight="1">
      <c r="B888" s="1"/>
      <c r="C888" s="1"/>
    </row>
    <row r="889" spans="2:3" ht="15.75" customHeight="1">
      <c r="B889" s="1"/>
      <c r="C889" s="1"/>
    </row>
    <row r="890" spans="2:3" ht="15.75" customHeight="1">
      <c r="B890" s="1"/>
      <c r="C890" s="1"/>
    </row>
    <row r="891" spans="2:3" ht="15.75" customHeight="1">
      <c r="B891" s="1"/>
      <c r="C891" s="1"/>
    </row>
    <row r="892" spans="2:3" ht="15.75" customHeight="1">
      <c r="B892" s="1"/>
      <c r="C892" s="1"/>
    </row>
    <row r="893" spans="2:3" ht="15.75" customHeight="1">
      <c r="B893" s="1"/>
      <c r="C893" s="1"/>
    </row>
    <row r="894" spans="2:3" ht="15.75" customHeight="1">
      <c r="B894" s="1"/>
      <c r="C894" s="1"/>
    </row>
    <row r="895" spans="2:3" ht="15.75" customHeight="1">
      <c r="B895" s="1"/>
      <c r="C895" s="1"/>
    </row>
    <row r="896" spans="2:3" ht="15.75" customHeight="1">
      <c r="B896" s="1"/>
      <c r="C896" s="1"/>
    </row>
    <row r="897" spans="2:3" ht="15.75" customHeight="1">
      <c r="B897" s="1"/>
      <c r="C897" s="1"/>
    </row>
    <row r="898" spans="2:3" ht="15.75" customHeight="1">
      <c r="B898" s="1"/>
      <c r="C898" s="1"/>
    </row>
    <row r="899" spans="2:3" ht="15.75" customHeight="1">
      <c r="B899" s="1"/>
      <c r="C899" s="1"/>
    </row>
    <row r="900" spans="2:3" ht="15.75" customHeight="1">
      <c r="B900" s="1"/>
      <c r="C900" s="1"/>
    </row>
    <row r="901" spans="2:3" ht="15.75" customHeight="1">
      <c r="B901" s="1"/>
      <c r="C901" s="1"/>
    </row>
    <row r="902" spans="2:3" ht="15.75" customHeight="1">
      <c r="B902" s="1"/>
      <c r="C902" s="1"/>
    </row>
    <row r="903" spans="2:3" ht="15.75" customHeight="1">
      <c r="B903" s="1"/>
      <c r="C903" s="1"/>
    </row>
    <row r="904" spans="2:3" ht="15.75" customHeight="1">
      <c r="B904" s="1"/>
      <c r="C904" s="1"/>
    </row>
    <row r="905" spans="2:3" ht="15.75" customHeight="1">
      <c r="B905" s="1"/>
      <c r="C905" s="1"/>
    </row>
    <row r="906" spans="2:3" ht="15.75" customHeight="1">
      <c r="B906" s="1"/>
      <c r="C906" s="1"/>
    </row>
    <row r="907" spans="2:3" ht="15.75" customHeight="1">
      <c r="B907" s="1"/>
      <c r="C907" s="1"/>
    </row>
    <row r="908" spans="2:3" ht="15.75" customHeight="1">
      <c r="B908" s="1"/>
      <c r="C908" s="1"/>
    </row>
    <row r="909" spans="2:3" ht="15.75" customHeight="1">
      <c r="B909" s="1"/>
      <c r="C909" s="1"/>
    </row>
    <row r="910" spans="2:3" ht="15.75" customHeight="1">
      <c r="B910" s="1"/>
      <c r="C910" s="1"/>
    </row>
    <row r="911" spans="2:3" ht="15.75" customHeight="1">
      <c r="B911" s="1"/>
      <c r="C911" s="1"/>
    </row>
    <row r="912" spans="2:3" ht="15.75" customHeight="1">
      <c r="B912" s="1"/>
      <c r="C912" s="1"/>
    </row>
    <row r="913" spans="2:3" ht="15.75" customHeight="1">
      <c r="B913" s="1"/>
      <c r="C913" s="1"/>
    </row>
    <row r="914" spans="2:3" ht="15.75" customHeight="1">
      <c r="B914" s="1"/>
      <c r="C914" s="1"/>
    </row>
    <row r="915" spans="2:3" ht="15.75" customHeight="1">
      <c r="B915" s="1"/>
      <c r="C915" s="1"/>
    </row>
    <row r="916" spans="2:3" ht="15.75" customHeight="1">
      <c r="B916" s="1"/>
      <c r="C916" s="1"/>
    </row>
    <row r="917" spans="2:3" ht="15.75" customHeight="1">
      <c r="B917" s="1"/>
      <c r="C917" s="1"/>
    </row>
    <row r="918" spans="2:3" ht="15.75" customHeight="1">
      <c r="B918" s="1"/>
      <c r="C918" s="1"/>
    </row>
    <row r="919" spans="2:3" ht="15.75" customHeight="1">
      <c r="B919" s="1"/>
      <c r="C919" s="1"/>
    </row>
    <row r="920" spans="2:3" ht="15.75" customHeight="1">
      <c r="B920" s="1"/>
      <c r="C920" s="1"/>
    </row>
    <row r="921" spans="2:3" ht="15.75" customHeight="1">
      <c r="B921" s="1"/>
      <c r="C921" s="1"/>
    </row>
    <row r="922" spans="2:3" ht="15.75" customHeight="1">
      <c r="B922" s="1"/>
      <c r="C922" s="1"/>
    </row>
    <row r="923" spans="2:3" ht="15.75" customHeight="1">
      <c r="B923" s="1"/>
      <c r="C923" s="1"/>
    </row>
    <row r="924" spans="2:3" ht="15.75" customHeight="1">
      <c r="B924" s="1"/>
      <c r="C924" s="1"/>
    </row>
    <row r="925" spans="2:3" ht="15.75" customHeight="1">
      <c r="B925" s="1"/>
      <c r="C925" s="1"/>
    </row>
    <row r="926" spans="2:3" ht="15.75" customHeight="1">
      <c r="B926" s="1"/>
      <c r="C926" s="1"/>
    </row>
    <row r="927" spans="2:3" ht="15.75" customHeight="1">
      <c r="B927" s="1"/>
      <c r="C927" s="1"/>
    </row>
    <row r="928" spans="2:3" ht="15.75" customHeight="1">
      <c r="B928" s="1"/>
      <c r="C928" s="1"/>
    </row>
    <row r="929" spans="2:3" ht="15.75" customHeight="1">
      <c r="B929" s="1"/>
      <c r="C929" s="1"/>
    </row>
    <row r="930" spans="2:3" ht="15.75" customHeight="1">
      <c r="B930" s="1"/>
      <c r="C930" s="1"/>
    </row>
    <row r="931" spans="2:3" ht="15.75" customHeight="1">
      <c r="B931" s="1"/>
      <c r="C931" s="1"/>
    </row>
    <row r="932" spans="2:3" ht="15.75" customHeight="1">
      <c r="B932" s="1"/>
      <c r="C932" s="1"/>
    </row>
    <row r="933" spans="2:3" ht="15.75" customHeight="1">
      <c r="B933" s="1"/>
      <c r="C933" s="1"/>
    </row>
    <row r="934" spans="2:3" ht="15.75" customHeight="1">
      <c r="B934" s="1"/>
      <c r="C934" s="1"/>
    </row>
    <row r="935" spans="2:3" ht="15.75" customHeight="1">
      <c r="B935" s="1"/>
      <c r="C935" s="1"/>
    </row>
    <row r="936" spans="2:3" ht="15.75" customHeight="1">
      <c r="B936" s="1"/>
      <c r="C936" s="1"/>
    </row>
    <row r="937" spans="2:3" ht="15.75" customHeight="1">
      <c r="B937" s="1"/>
      <c r="C937" s="1"/>
    </row>
    <row r="938" spans="2:3" ht="15.75" customHeight="1">
      <c r="B938" s="1"/>
      <c r="C938" s="1"/>
    </row>
    <row r="939" spans="2:3" ht="15.75" customHeight="1">
      <c r="B939" s="1"/>
      <c r="C939" s="1"/>
    </row>
    <row r="940" spans="2:3" ht="15.75" customHeight="1">
      <c r="B940" s="1"/>
      <c r="C940" s="1"/>
    </row>
    <row r="941" spans="2:3" ht="15.75" customHeight="1">
      <c r="B941" s="1"/>
      <c r="C941" s="1"/>
    </row>
    <row r="942" spans="2:3" ht="15.75" customHeight="1">
      <c r="B942" s="1"/>
      <c r="C942" s="1"/>
    </row>
    <row r="943" spans="2:3" ht="15.75" customHeight="1">
      <c r="B943" s="1"/>
      <c r="C943" s="1"/>
    </row>
    <row r="944" spans="2:3" ht="15.75" customHeight="1">
      <c r="B944" s="1"/>
      <c r="C944" s="1"/>
    </row>
    <row r="945" spans="2:3" ht="15.75" customHeight="1">
      <c r="B945" s="1"/>
      <c r="C945" s="1"/>
    </row>
    <row r="946" spans="2:3" ht="15.75" customHeight="1">
      <c r="B946" s="1"/>
      <c r="C946" s="1"/>
    </row>
    <row r="947" spans="2:3" ht="15.75" customHeight="1">
      <c r="B947" s="1"/>
      <c r="C947" s="1"/>
    </row>
    <row r="948" spans="2:3" ht="15.75" customHeight="1">
      <c r="B948" s="1"/>
      <c r="C948" s="1"/>
    </row>
    <row r="949" spans="2:3" ht="15.75" customHeight="1">
      <c r="B949" s="1"/>
      <c r="C949" s="1"/>
    </row>
    <row r="950" spans="2:3" ht="15.75" customHeight="1">
      <c r="B950" s="1"/>
      <c r="C950" s="1"/>
    </row>
    <row r="951" spans="2:3" ht="15.75" customHeight="1">
      <c r="B951" s="1"/>
      <c r="C951" s="1"/>
    </row>
    <row r="952" spans="2:3" ht="15.75" customHeight="1">
      <c r="B952" s="1"/>
      <c r="C952" s="1"/>
    </row>
    <row r="953" spans="2:3" ht="15.75" customHeight="1">
      <c r="B953" s="1"/>
      <c r="C953" s="1"/>
    </row>
    <row r="954" spans="2:3" ht="15.75" customHeight="1">
      <c r="B954" s="1"/>
      <c r="C954" s="1"/>
    </row>
    <row r="955" spans="2:3" ht="15.75" customHeight="1">
      <c r="B955" s="1"/>
      <c r="C955" s="1"/>
    </row>
    <row r="956" spans="2:3" ht="15.75" customHeight="1">
      <c r="B956" s="1"/>
      <c r="C956" s="1"/>
    </row>
    <row r="957" spans="2:3" ht="15.75" customHeight="1">
      <c r="B957" s="1"/>
      <c r="C957" s="1"/>
    </row>
    <row r="958" spans="2:3" ht="15.75" customHeight="1">
      <c r="B958" s="1"/>
      <c r="C958" s="1"/>
    </row>
    <row r="959" spans="2:3" ht="15.75" customHeight="1">
      <c r="B959" s="1"/>
      <c r="C959" s="1"/>
    </row>
    <row r="960" spans="2:3" ht="15.75" customHeight="1">
      <c r="B960" s="1"/>
      <c r="C960" s="1"/>
    </row>
    <row r="961" spans="2:3" ht="15.75" customHeight="1">
      <c r="B961" s="1"/>
      <c r="C961" s="1"/>
    </row>
    <row r="962" spans="2:3" ht="15.75" customHeight="1">
      <c r="B962" s="1"/>
      <c r="C962" s="1"/>
    </row>
    <row r="963" spans="2:3" ht="15.75" customHeight="1">
      <c r="B963" s="1"/>
      <c r="C963" s="1"/>
    </row>
    <row r="964" spans="2:3" ht="15.75" customHeight="1">
      <c r="B964" s="1"/>
      <c r="C964" s="1"/>
    </row>
    <row r="965" spans="2:3" ht="15.75" customHeight="1">
      <c r="B965" s="1"/>
      <c r="C965" s="1"/>
    </row>
    <row r="966" spans="2:3" ht="15.75" customHeight="1">
      <c r="B966" s="1"/>
      <c r="C966" s="1"/>
    </row>
    <row r="967" spans="2:3" ht="15.75" customHeight="1">
      <c r="B967" s="1"/>
      <c r="C967" s="1"/>
    </row>
    <row r="968" spans="2:3" ht="15.75" customHeight="1">
      <c r="B968" s="1"/>
      <c r="C968" s="1"/>
    </row>
    <row r="969" spans="2:3" ht="15.75" customHeight="1">
      <c r="B969" s="1"/>
      <c r="C969" s="1"/>
    </row>
    <row r="970" spans="2:3" ht="15.75" customHeight="1">
      <c r="B970" s="1"/>
      <c r="C970" s="1"/>
    </row>
    <row r="971" spans="2:3" ht="15.75" customHeight="1">
      <c r="B971" s="1"/>
      <c r="C971" s="1"/>
    </row>
    <row r="972" spans="2:3" ht="15.75" customHeight="1">
      <c r="B972" s="1"/>
      <c r="C972" s="1"/>
    </row>
    <row r="973" spans="2:3" ht="15.75" customHeight="1">
      <c r="B973" s="1"/>
      <c r="C973" s="1"/>
    </row>
    <row r="974" spans="2:3" ht="15.75" customHeight="1">
      <c r="B974" s="1"/>
      <c r="C974" s="1"/>
    </row>
    <row r="975" spans="2:3" ht="15.75" customHeight="1">
      <c r="B975" s="1"/>
      <c r="C975" s="1"/>
    </row>
    <row r="976" spans="2:3" ht="15.75" customHeight="1">
      <c r="B976" s="1"/>
      <c r="C976" s="1"/>
    </row>
    <row r="977" spans="2:3" ht="15.75" customHeight="1">
      <c r="B977" s="1"/>
      <c r="C977" s="1"/>
    </row>
    <row r="978" spans="2:3" ht="15.75" customHeight="1">
      <c r="B978" s="1"/>
      <c r="C978" s="1"/>
    </row>
    <row r="979" spans="2:3" ht="15.75" customHeight="1">
      <c r="B979" s="1"/>
      <c r="C979" s="1"/>
    </row>
    <row r="980" spans="2:3" ht="15.75" customHeight="1">
      <c r="B980" s="1"/>
      <c r="C980" s="1"/>
    </row>
    <row r="981" spans="2:3" ht="15.75" customHeight="1">
      <c r="B981" s="1"/>
      <c r="C981" s="1"/>
    </row>
    <row r="982" spans="2:3" ht="15.75" customHeight="1">
      <c r="B982" s="1"/>
      <c r="C982" s="1"/>
    </row>
    <row r="983" spans="2:3" ht="15.75" customHeight="1">
      <c r="B983" s="1"/>
      <c r="C983" s="1"/>
    </row>
    <row r="984" spans="2:3" ht="15.75" customHeight="1">
      <c r="B984" s="1"/>
      <c r="C984" s="1"/>
    </row>
    <row r="985" spans="2:3" ht="15.75" customHeight="1">
      <c r="B985" s="1"/>
      <c r="C985" s="1"/>
    </row>
    <row r="986" spans="2:3" ht="15.75" customHeight="1">
      <c r="B986" s="1"/>
      <c r="C986" s="1"/>
    </row>
    <row r="987" spans="2:3" ht="15.75" customHeight="1">
      <c r="B987" s="1"/>
      <c r="C987" s="1"/>
    </row>
    <row r="988" spans="2:3" ht="15.75" customHeight="1">
      <c r="B988" s="1"/>
      <c r="C988" s="1"/>
    </row>
    <row r="989" spans="2:3" ht="15.75" customHeight="1">
      <c r="B989" s="1"/>
      <c r="C989" s="1"/>
    </row>
    <row r="990" spans="2:3" ht="15.75" customHeight="1">
      <c r="B990" s="1"/>
      <c r="C990" s="1"/>
    </row>
    <row r="991" spans="2:3" ht="15.75" customHeight="1">
      <c r="B991" s="1"/>
      <c r="C991" s="1"/>
    </row>
    <row r="992" spans="2:3" ht="15.75" customHeight="1">
      <c r="B992" s="1"/>
      <c r="C992" s="1"/>
    </row>
    <row r="993" spans="2:3" ht="15.75" customHeight="1">
      <c r="B993" s="1"/>
      <c r="C993" s="1"/>
    </row>
    <row r="994" spans="2:3" ht="15.75" customHeight="1">
      <c r="B994" s="1"/>
      <c r="C994" s="1"/>
    </row>
    <row r="995" spans="2:3" ht="15.75" customHeight="1">
      <c r="B995" s="1"/>
      <c r="C995" s="1"/>
    </row>
    <row r="996" spans="2:3" ht="15.75" customHeight="1">
      <c r="B996" s="1"/>
      <c r="C996" s="1"/>
    </row>
    <row r="997" spans="2:3" ht="15.75" customHeight="1">
      <c r="B997" s="1"/>
      <c r="C997" s="1"/>
    </row>
    <row r="998" spans="2:3" ht="15.75" customHeight="1">
      <c r="B998" s="1"/>
      <c r="C998" s="1"/>
    </row>
    <row r="999" spans="2:3" ht="15.75" customHeight="1">
      <c r="B999" s="1"/>
      <c r="C999" s="1"/>
    </row>
    <row r="1000" spans="2:3" ht="15.75" customHeight="1">
      <c r="B1000" s="1"/>
      <c r="C1000" s="1"/>
    </row>
    <row r="1001" spans="2:3" ht="15.75" customHeight="1">
      <c r="B1001" s="1"/>
      <c r="C1001" s="1"/>
    </row>
  </sheetData>
  <mergeCells count="6">
    <mergeCell ref="E2:F2"/>
    <mergeCell ref="N2:T2"/>
    <mergeCell ref="AC2:AE2"/>
    <mergeCell ref="AF2:AH2"/>
    <mergeCell ref="O3:P3"/>
    <mergeCell ref="Q3:R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001"/>
  <sheetViews>
    <sheetView topLeftCell="A52" zoomScale="60" zoomScaleNormal="60" workbookViewId="0">
      <selection activeCell="F78" sqref="F78"/>
    </sheetView>
  </sheetViews>
  <sheetFormatPr baseColWidth="10" defaultColWidth="14.42578125" defaultRowHeight="15" customHeight="1"/>
  <cols>
    <col min="1" max="1" width="41.5703125" customWidth="1"/>
    <col min="2" max="2" width="7.42578125" customWidth="1"/>
    <col min="3" max="3" width="74" customWidth="1"/>
    <col min="4" max="4" width="21.140625" hidden="1" customWidth="1"/>
    <col min="5" max="5" width="61.42578125" customWidth="1"/>
    <col min="6" max="6" width="54" customWidth="1"/>
    <col min="7" max="7" width="64.42578125" hidden="1" customWidth="1"/>
    <col min="8" max="9" width="21.140625" customWidth="1"/>
    <col min="10" max="10" width="31.85546875" hidden="1" customWidth="1"/>
    <col min="11" max="11" width="53.7109375" customWidth="1"/>
    <col min="12" max="12" width="16.140625" hidden="1" customWidth="1"/>
    <col min="13" max="13" width="8.85546875" hidden="1" customWidth="1"/>
    <col min="14" max="14" width="8.42578125" bestFit="1" customWidth="1"/>
    <col min="15" max="16" width="8.7109375" customWidth="1"/>
    <col min="17" max="17" width="8.28515625" customWidth="1"/>
    <col min="18" max="18" width="8.42578125" customWidth="1"/>
    <col min="19" max="25" width="8.28515625" customWidth="1"/>
    <col min="26" max="28" width="8.42578125" bestFit="1" customWidth="1"/>
    <col min="29" max="31" width="7" customWidth="1"/>
    <col min="32" max="37" width="7.85546875" customWidth="1"/>
    <col min="38" max="43" width="8.28515625" customWidth="1"/>
    <col min="44" max="73" width="8.140625" customWidth="1"/>
    <col min="74" max="74" width="12" customWidth="1"/>
    <col min="75" max="78" width="8.140625" customWidth="1"/>
    <col min="79" max="79" width="3.85546875" customWidth="1"/>
    <col min="80" max="80" width="42.28515625" customWidth="1"/>
    <col min="81" max="81" width="43.42578125" customWidth="1"/>
    <col min="82" max="82" width="25.5703125" customWidth="1"/>
    <col min="83" max="83" width="21.140625" customWidth="1"/>
    <col min="84" max="84" width="18" customWidth="1"/>
    <col min="85" max="85" width="38.7109375" customWidth="1"/>
    <col min="86" max="86" width="88.28515625" hidden="1" customWidth="1"/>
    <col min="87" max="87" width="17.140625" hidden="1" customWidth="1"/>
    <col min="88" max="90" width="18.42578125" hidden="1" customWidth="1"/>
    <col min="91" max="92" width="19.140625" hidden="1" customWidth="1"/>
    <col min="93" max="94" width="8.85546875" hidden="1" customWidth="1"/>
  </cols>
  <sheetData>
    <row r="1" spans="1:94">
      <c r="B1" s="1"/>
      <c r="C1" s="2"/>
    </row>
    <row r="2" spans="1:94" ht="45">
      <c r="A2" s="69"/>
      <c r="B2" s="4" t="s">
        <v>0</v>
      </c>
      <c r="C2" s="82" t="s">
        <v>1</v>
      </c>
      <c r="D2" s="85" t="s">
        <v>2</v>
      </c>
      <c r="E2" s="154" t="s">
        <v>3</v>
      </c>
      <c r="F2" s="140"/>
      <c r="G2" s="5" t="s">
        <v>4</v>
      </c>
      <c r="H2" s="4" t="s">
        <v>5</v>
      </c>
      <c r="I2" s="6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155" t="s">
        <v>11</v>
      </c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1"/>
      <c r="CB2" s="68"/>
      <c r="CC2" s="68"/>
      <c r="CD2" s="68"/>
      <c r="CE2" s="68"/>
      <c r="CF2" s="68"/>
      <c r="CG2" s="68"/>
      <c r="CH2" s="68"/>
      <c r="CI2" s="5"/>
      <c r="CJ2" s="154" t="s">
        <v>12</v>
      </c>
      <c r="CK2" s="140"/>
      <c r="CL2" s="141"/>
      <c r="CM2" s="154" t="s">
        <v>13</v>
      </c>
      <c r="CN2" s="140"/>
      <c r="CO2" s="141"/>
      <c r="CP2" s="69"/>
    </row>
    <row r="3" spans="1:94" ht="46.5" customHeight="1">
      <c r="A3" s="8"/>
      <c r="B3" s="9"/>
      <c r="C3" s="83"/>
      <c r="D3" s="83"/>
      <c r="E3" s="14"/>
      <c r="F3" s="23"/>
      <c r="G3" s="18"/>
      <c r="H3" s="13"/>
      <c r="I3" s="13"/>
      <c r="J3" s="13"/>
      <c r="K3" s="13"/>
      <c r="L3" s="13"/>
      <c r="M3" s="13"/>
      <c r="N3" s="157" t="s">
        <v>14</v>
      </c>
      <c r="O3" s="140"/>
      <c r="P3" s="140"/>
      <c r="Q3" s="140"/>
      <c r="R3" s="140"/>
      <c r="S3" s="141"/>
      <c r="T3" s="136" t="s">
        <v>15</v>
      </c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8"/>
      <c r="AF3" s="15"/>
      <c r="AG3" s="15"/>
      <c r="AH3" s="15"/>
      <c r="AI3" s="15"/>
      <c r="AJ3" s="15"/>
      <c r="AK3" s="136" t="s">
        <v>16</v>
      </c>
      <c r="AL3" s="137"/>
      <c r="AM3" s="137"/>
      <c r="AN3" s="137"/>
      <c r="AO3" s="137"/>
      <c r="AP3" s="137"/>
      <c r="AQ3" s="138"/>
      <c r="AR3" s="139" t="s">
        <v>17</v>
      </c>
      <c r="AS3" s="140"/>
      <c r="AT3" s="140"/>
      <c r="AU3" s="140"/>
      <c r="AV3" s="140"/>
      <c r="AW3" s="141"/>
      <c r="AX3" s="142" t="s">
        <v>18</v>
      </c>
      <c r="AY3" s="137"/>
      <c r="AZ3" s="137"/>
      <c r="BA3" s="137"/>
      <c r="BB3" s="137"/>
      <c r="BC3" s="138"/>
      <c r="BD3" s="143" t="s">
        <v>19</v>
      </c>
      <c r="BE3" s="144"/>
      <c r="BF3" s="144"/>
      <c r="BG3" s="144"/>
      <c r="BH3" s="144"/>
      <c r="BI3" s="145"/>
      <c r="BJ3" s="139" t="s">
        <v>20</v>
      </c>
      <c r="BK3" s="140"/>
      <c r="BL3" s="140"/>
      <c r="BM3" s="140"/>
      <c r="BN3" s="140"/>
      <c r="BO3" s="141"/>
      <c r="BP3" s="139" t="s">
        <v>21</v>
      </c>
      <c r="BQ3" s="140"/>
      <c r="BR3" s="140"/>
      <c r="BS3" s="140"/>
      <c r="BT3" s="140"/>
      <c r="BU3" s="141"/>
      <c r="BV3" s="139" t="s">
        <v>22</v>
      </c>
      <c r="BW3" s="140"/>
      <c r="BX3" s="140"/>
      <c r="BY3" s="140"/>
      <c r="BZ3" s="140"/>
      <c r="CA3" s="141"/>
      <c r="CB3" s="158" t="s">
        <v>23</v>
      </c>
      <c r="CC3" s="137"/>
      <c r="CD3" s="137"/>
      <c r="CE3" s="137"/>
      <c r="CF3" s="137"/>
      <c r="CG3" s="138"/>
      <c r="CH3" s="16" t="s">
        <v>24</v>
      </c>
      <c r="CI3" s="17" t="s">
        <v>25</v>
      </c>
      <c r="CJ3" s="18" t="s">
        <v>26</v>
      </c>
      <c r="CK3" s="18" t="s">
        <v>27</v>
      </c>
      <c r="CL3" s="18" t="s">
        <v>28</v>
      </c>
      <c r="CM3" s="18" t="s">
        <v>29</v>
      </c>
      <c r="CN3" s="19" t="s">
        <v>30</v>
      </c>
      <c r="CO3" s="19" t="s">
        <v>31</v>
      </c>
    </row>
    <row r="4" spans="1:94" ht="46.5" customHeight="1">
      <c r="A4" s="8"/>
      <c r="B4" s="9"/>
      <c r="C4" s="83"/>
      <c r="D4" s="83"/>
      <c r="E4" s="14"/>
      <c r="F4" s="23"/>
      <c r="G4" s="18"/>
      <c r="H4" s="13"/>
      <c r="I4" s="13"/>
      <c r="J4" s="13"/>
      <c r="K4" s="13"/>
      <c r="L4" s="13"/>
      <c r="M4" s="13"/>
      <c r="N4" s="157" t="s">
        <v>14</v>
      </c>
      <c r="O4" s="140"/>
      <c r="P4" s="140"/>
      <c r="Q4" s="140"/>
      <c r="R4" s="140"/>
      <c r="S4" s="141"/>
      <c r="T4" s="136" t="s">
        <v>32</v>
      </c>
      <c r="U4" s="137"/>
      <c r="V4" s="137"/>
      <c r="W4" s="137"/>
      <c r="X4" s="137"/>
      <c r="Y4" s="138"/>
      <c r="Z4" s="136" t="s">
        <v>33</v>
      </c>
      <c r="AA4" s="137"/>
      <c r="AB4" s="137"/>
      <c r="AC4" s="137"/>
      <c r="AD4" s="137"/>
      <c r="AE4" s="138"/>
      <c r="AF4" s="136" t="s">
        <v>34</v>
      </c>
      <c r="AG4" s="137"/>
      <c r="AH4" s="137"/>
      <c r="AI4" s="137"/>
      <c r="AJ4" s="137"/>
      <c r="AK4" s="138"/>
      <c r="AL4" s="146" t="s">
        <v>35</v>
      </c>
      <c r="AM4" s="147"/>
      <c r="AN4" s="147"/>
      <c r="AO4" s="147"/>
      <c r="AP4" s="147"/>
      <c r="AQ4" s="147"/>
      <c r="AR4" s="139" t="s">
        <v>17</v>
      </c>
      <c r="AS4" s="140"/>
      <c r="AT4" s="140"/>
      <c r="AU4" s="140"/>
      <c r="AV4" s="140"/>
      <c r="AW4" s="141"/>
      <c r="AX4" s="148" t="s">
        <v>18</v>
      </c>
      <c r="AY4" s="147"/>
      <c r="AZ4" s="147"/>
      <c r="BA4" s="147"/>
      <c r="BB4" s="147"/>
      <c r="BC4" s="149"/>
      <c r="BD4" s="139" t="s">
        <v>19</v>
      </c>
      <c r="BE4" s="140"/>
      <c r="BF4" s="140"/>
      <c r="BG4" s="140"/>
      <c r="BH4" s="140"/>
      <c r="BI4" s="141"/>
      <c r="BJ4" s="139" t="s">
        <v>20</v>
      </c>
      <c r="BK4" s="140"/>
      <c r="BL4" s="140"/>
      <c r="BM4" s="140"/>
      <c r="BN4" s="140"/>
      <c r="BO4" s="141"/>
      <c r="BP4" s="139" t="s">
        <v>21</v>
      </c>
      <c r="BQ4" s="140"/>
      <c r="BR4" s="140"/>
      <c r="BS4" s="140"/>
      <c r="BT4" s="140"/>
      <c r="BU4" s="141"/>
      <c r="BV4" s="139" t="s">
        <v>22</v>
      </c>
      <c r="BW4" s="140"/>
      <c r="BX4" s="140"/>
      <c r="BY4" s="140"/>
      <c r="BZ4" s="140"/>
      <c r="CA4" s="141"/>
      <c r="CB4" s="20"/>
      <c r="CC4" s="20"/>
      <c r="CD4" s="20"/>
      <c r="CE4" s="20"/>
      <c r="CF4" s="20"/>
      <c r="CG4" s="20"/>
      <c r="CH4" s="20"/>
      <c r="CI4" s="21"/>
      <c r="CJ4" s="18"/>
      <c r="CK4" s="18"/>
      <c r="CL4" s="18"/>
      <c r="CM4" s="18"/>
      <c r="CN4" s="19"/>
      <c r="CO4" s="19"/>
    </row>
    <row r="5" spans="1:94" ht="46.5" customHeight="1">
      <c r="A5" s="8" t="s">
        <v>36</v>
      </c>
      <c r="B5" s="9"/>
      <c r="C5" s="84"/>
      <c r="D5" s="84"/>
      <c r="E5" s="22" t="s">
        <v>37</v>
      </c>
      <c r="F5" s="19" t="s">
        <v>38</v>
      </c>
      <c r="G5" s="18"/>
      <c r="H5" s="13"/>
      <c r="I5" s="13"/>
      <c r="J5" s="13"/>
      <c r="K5" s="13"/>
      <c r="L5" s="13"/>
      <c r="M5" s="13"/>
      <c r="N5" s="156" t="s">
        <v>14</v>
      </c>
      <c r="O5" s="140"/>
      <c r="P5" s="140"/>
      <c r="Q5" s="140"/>
      <c r="R5" s="140"/>
      <c r="S5" s="141"/>
      <c r="T5" s="136" t="s">
        <v>32</v>
      </c>
      <c r="U5" s="137"/>
      <c r="V5" s="137"/>
      <c r="W5" s="137"/>
      <c r="X5" s="137"/>
      <c r="Y5" s="138"/>
      <c r="Z5" s="136" t="s">
        <v>33</v>
      </c>
      <c r="AA5" s="137"/>
      <c r="AB5" s="137"/>
      <c r="AC5" s="137"/>
      <c r="AD5" s="137"/>
      <c r="AE5" s="138"/>
      <c r="AF5" s="136" t="s">
        <v>34</v>
      </c>
      <c r="AG5" s="137"/>
      <c r="AH5" s="137"/>
      <c r="AI5" s="137"/>
      <c r="AJ5" s="137"/>
      <c r="AK5" s="138"/>
      <c r="AL5" s="156" t="s">
        <v>35</v>
      </c>
      <c r="AM5" s="140"/>
      <c r="AN5" s="140"/>
      <c r="AO5" s="140"/>
      <c r="AP5" s="140"/>
      <c r="AQ5" s="141"/>
      <c r="AR5" s="139" t="s">
        <v>17</v>
      </c>
      <c r="AS5" s="140"/>
      <c r="AT5" s="140"/>
      <c r="AU5" s="140"/>
      <c r="AV5" s="140"/>
      <c r="AW5" s="141"/>
      <c r="AX5" s="139" t="s">
        <v>18</v>
      </c>
      <c r="AY5" s="140"/>
      <c r="AZ5" s="140"/>
      <c r="BA5" s="140"/>
      <c r="BB5" s="140"/>
      <c r="BC5" s="141"/>
      <c r="BD5" s="142" t="s">
        <v>19</v>
      </c>
      <c r="BE5" s="137"/>
      <c r="BF5" s="137"/>
      <c r="BG5" s="137"/>
      <c r="BH5" s="137"/>
      <c r="BI5" s="138"/>
      <c r="BJ5" s="139" t="s">
        <v>20</v>
      </c>
      <c r="BK5" s="140"/>
      <c r="BL5" s="140"/>
      <c r="BM5" s="140"/>
      <c r="BN5" s="140"/>
      <c r="BO5" s="141"/>
      <c r="BP5" s="139" t="s">
        <v>21</v>
      </c>
      <c r="BQ5" s="140"/>
      <c r="BR5" s="140"/>
      <c r="BS5" s="140"/>
      <c r="BT5" s="140"/>
      <c r="BU5" s="141"/>
      <c r="BV5" s="139" t="s">
        <v>22</v>
      </c>
      <c r="BW5" s="140"/>
      <c r="BX5" s="140"/>
      <c r="BY5" s="140"/>
      <c r="BZ5" s="140"/>
      <c r="CA5" s="141"/>
      <c r="CB5" s="17">
        <v>1</v>
      </c>
      <c r="CC5" s="17">
        <v>2</v>
      </c>
      <c r="CD5" s="17">
        <v>3</v>
      </c>
      <c r="CE5" s="17">
        <v>4</v>
      </c>
      <c r="CF5" s="17">
        <v>5</v>
      </c>
      <c r="CG5" s="17">
        <v>6</v>
      </c>
      <c r="CH5" s="21"/>
      <c r="CI5" s="21"/>
      <c r="CJ5" s="8"/>
      <c r="CK5" s="8"/>
      <c r="CL5" s="8"/>
      <c r="CM5" s="8"/>
      <c r="CN5" s="8"/>
      <c r="CO5" s="8"/>
    </row>
    <row r="6" spans="1:94">
      <c r="A6" s="24"/>
      <c r="B6" s="25"/>
      <c r="C6" s="13"/>
      <c r="D6" s="21"/>
      <c r="E6" s="26"/>
      <c r="F6" s="13"/>
      <c r="G6" s="21"/>
      <c r="H6" s="21"/>
      <c r="I6" s="21"/>
      <c r="J6" s="21"/>
      <c r="K6" s="17"/>
      <c r="L6" s="21"/>
      <c r="M6" s="27"/>
      <c r="N6" s="17">
        <v>1</v>
      </c>
      <c r="O6" s="17">
        <v>2</v>
      </c>
      <c r="P6" s="17">
        <v>3</v>
      </c>
      <c r="Q6" s="17">
        <v>4</v>
      </c>
      <c r="R6" s="17">
        <v>5</v>
      </c>
      <c r="S6" s="17">
        <v>6</v>
      </c>
      <c r="T6" s="17">
        <v>1</v>
      </c>
      <c r="U6" s="17">
        <v>2</v>
      </c>
      <c r="V6" s="17">
        <v>3</v>
      </c>
      <c r="W6" s="17">
        <v>4</v>
      </c>
      <c r="X6" s="17">
        <v>5</v>
      </c>
      <c r="Y6" s="17">
        <v>6</v>
      </c>
      <c r="Z6" s="17">
        <v>1</v>
      </c>
      <c r="AA6" s="17">
        <v>2</v>
      </c>
      <c r="AB6" s="17">
        <v>3</v>
      </c>
      <c r="AC6" s="17">
        <v>4</v>
      </c>
      <c r="AD6" s="17">
        <v>5</v>
      </c>
      <c r="AE6" s="17">
        <v>6</v>
      </c>
      <c r="AF6" s="17">
        <v>1</v>
      </c>
      <c r="AG6" s="17">
        <v>2</v>
      </c>
      <c r="AH6" s="17">
        <v>3</v>
      </c>
      <c r="AI6" s="17">
        <v>4</v>
      </c>
      <c r="AJ6" s="17">
        <v>5</v>
      </c>
      <c r="AK6" s="28">
        <v>6</v>
      </c>
      <c r="AL6" s="28">
        <v>1</v>
      </c>
      <c r="AM6" s="28">
        <v>2</v>
      </c>
      <c r="AN6" s="28">
        <v>3</v>
      </c>
      <c r="AO6" s="28">
        <v>4</v>
      </c>
      <c r="AP6" s="28">
        <v>5</v>
      </c>
      <c r="AQ6" s="28">
        <v>6</v>
      </c>
      <c r="AR6" s="29">
        <v>1</v>
      </c>
      <c r="AS6" s="24">
        <v>2</v>
      </c>
      <c r="AT6" s="24">
        <v>3</v>
      </c>
      <c r="AU6" s="24">
        <v>4</v>
      </c>
      <c r="AV6" s="24">
        <v>5</v>
      </c>
      <c r="AW6" s="24">
        <v>6</v>
      </c>
      <c r="AX6" s="24">
        <v>1</v>
      </c>
      <c r="AY6" s="24">
        <v>2</v>
      </c>
      <c r="AZ6" s="24">
        <v>3</v>
      </c>
      <c r="BA6" s="24">
        <v>4</v>
      </c>
      <c r="BB6" s="24">
        <v>5</v>
      </c>
      <c r="BC6" s="24">
        <v>6</v>
      </c>
      <c r="BD6" s="29">
        <v>1</v>
      </c>
      <c r="BE6" s="24">
        <v>2</v>
      </c>
      <c r="BF6" s="24">
        <v>3</v>
      </c>
      <c r="BG6" s="24">
        <v>4</v>
      </c>
      <c r="BH6" s="24">
        <v>5</v>
      </c>
      <c r="BI6" s="24">
        <v>6</v>
      </c>
      <c r="BJ6" s="29">
        <v>1</v>
      </c>
      <c r="BK6" s="24">
        <v>2</v>
      </c>
      <c r="BL6" s="24">
        <v>3</v>
      </c>
      <c r="BM6" s="24">
        <v>4</v>
      </c>
      <c r="BN6" s="24">
        <v>5</v>
      </c>
      <c r="BO6" s="24">
        <v>6</v>
      </c>
      <c r="BP6" s="29">
        <v>1</v>
      </c>
      <c r="BQ6" s="24">
        <v>2</v>
      </c>
      <c r="BR6" s="24">
        <v>3</v>
      </c>
      <c r="BS6" s="24">
        <v>4</v>
      </c>
      <c r="BT6" s="24">
        <v>5</v>
      </c>
      <c r="BU6" s="24">
        <v>6</v>
      </c>
      <c r="BV6" s="29">
        <v>1</v>
      </c>
      <c r="BW6" s="24">
        <v>2</v>
      </c>
      <c r="BX6" s="24">
        <v>3</v>
      </c>
      <c r="BY6" s="24">
        <v>4</v>
      </c>
      <c r="BZ6" s="24">
        <v>5</v>
      </c>
      <c r="CA6" s="24">
        <v>6</v>
      </c>
      <c r="CB6" s="17"/>
      <c r="CC6" s="17"/>
      <c r="CD6" s="17"/>
      <c r="CE6" s="17"/>
      <c r="CF6" s="17"/>
      <c r="CG6" s="17"/>
      <c r="CH6" s="21"/>
      <c r="CI6" s="21"/>
      <c r="CJ6" s="13"/>
      <c r="CK6" s="13"/>
      <c r="CL6" s="13"/>
      <c r="CM6" s="13"/>
      <c r="CN6" s="13"/>
      <c r="CO6" s="13"/>
    </row>
    <row r="7" spans="1:94">
      <c r="A7" s="24" t="s">
        <v>39</v>
      </c>
      <c r="B7" s="30">
        <v>1</v>
      </c>
      <c r="C7" s="31" t="s">
        <v>40</v>
      </c>
      <c r="D7" s="28" t="s">
        <v>41</v>
      </c>
      <c r="E7" s="13" t="s">
        <v>42</v>
      </c>
      <c r="F7" s="13"/>
      <c r="G7" s="13" t="s">
        <v>43</v>
      </c>
      <c r="H7" s="13" t="s">
        <v>44</v>
      </c>
      <c r="I7" s="13" t="s">
        <v>45</v>
      </c>
      <c r="J7" s="13" t="s">
        <v>46</v>
      </c>
      <c r="K7" s="28" t="s">
        <v>47</v>
      </c>
      <c r="L7" s="13">
        <v>3</v>
      </c>
      <c r="M7" s="32">
        <v>0.121</v>
      </c>
      <c r="N7" s="33">
        <v>0.48899999999999999</v>
      </c>
      <c r="O7" s="33">
        <v>0.54200000000000004</v>
      </c>
      <c r="P7" s="33">
        <v>0.70099999999999996</v>
      </c>
      <c r="Q7" s="33"/>
      <c r="R7" s="33"/>
      <c r="S7" s="33"/>
      <c r="T7" s="33">
        <v>0.128</v>
      </c>
      <c r="U7" s="33">
        <v>0.108</v>
      </c>
      <c r="V7" s="33">
        <v>3.5000000000000003E-2</v>
      </c>
      <c r="W7" s="33"/>
      <c r="X7" s="33"/>
      <c r="Y7" s="34"/>
      <c r="Z7" s="35">
        <v>0.35</v>
      </c>
      <c r="AA7" s="35">
        <v>0.33100000000000002</v>
      </c>
      <c r="AB7" s="28">
        <v>24.4</v>
      </c>
      <c r="AC7" s="35"/>
      <c r="AD7" s="35"/>
      <c r="AE7" s="8"/>
      <c r="AF7" s="33">
        <v>0.03</v>
      </c>
      <c r="AG7" s="33">
        <v>1.7999999999999999E-2</v>
      </c>
      <c r="AH7" s="33">
        <v>0.02</v>
      </c>
      <c r="AI7" s="33"/>
      <c r="AJ7" s="33"/>
      <c r="AK7" s="8"/>
      <c r="AL7" s="33">
        <v>3.0000000000000001E-3</v>
      </c>
      <c r="AM7" s="33">
        <v>1E-3</v>
      </c>
      <c r="AN7" s="33">
        <v>0</v>
      </c>
      <c r="AO7" s="33"/>
      <c r="AP7" s="33"/>
      <c r="AQ7" s="8"/>
      <c r="AR7" s="24">
        <v>56.6</v>
      </c>
      <c r="AS7" s="24">
        <v>48.4</v>
      </c>
      <c r="AT7" s="24">
        <v>29.9</v>
      </c>
      <c r="AU7" s="24"/>
      <c r="AV7" s="24"/>
      <c r="AW7" s="24"/>
      <c r="AX7" s="36">
        <v>0.23899999999999999</v>
      </c>
      <c r="AY7" s="36">
        <v>0.86599999999999999</v>
      </c>
      <c r="AZ7" s="24">
        <v>91.1</v>
      </c>
      <c r="BA7" s="8"/>
      <c r="BB7" s="8"/>
      <c r="BC7" s="8"/>
      <c r="BD7" s="33">
        <v>0.38900000000000001</v>
      </c>
      <c r="BE7" s="36">
        <v>0.36799999999999999</v>
      </c>
      <c r="BF7" s="24">
        <v>33.299999999999997</v>
      </c>
      <c r="BG7" s="8"/>
      <c r="BH7" s="8"/>
      <c r="BI7" s="8"/>
      <c r="BJ7" s="33">
        <v>7.4999999999999997E-2</v>
      </c>
      <c r="BK7" s="36">
        <v>7.4999999999999997E-2</v>
      </c>
      <c r="BL7" s="36">
        <v>7.0000000000000007E-2</v>
      </c>
      <c r="BM7" s="8"/>
      <c r="BN7" s="8"/>
      <c r="BO7" s="8"/>
      <c r="BP7" s="28">
        <v>15</v>
      </c>
      <c r="BQ7" s="24">
        <v>14</v>
      </c>
      <c r="BR7" s="24">
        <v>10</v>
      </c>
      <c r="BS7" s="8"/>
      <c r="BT7" s="8"/>
      <c r="BU7" s="8"/>
      <c r="BV7" s="28" t="s">
        <v>48</v>
      </c>
      <c r="BW7" s="24" t="s">
        <v>49</v>
      </c>
      <c r="BX7" s="24" t="s">
        <v>50</v>
      </c>
      <c r="BY7" s="24"/>
      <c r="BZ7" s="8"/>
      <c r="CA7" s="8"/>
      <c r="CB7" s="28" t="s">
        <v>51</v>
      </c>
      <c r="CC7" s="28" t="s">
        <v>52</v>
      </c>
      <c r="CD7" s="28" t="s">
        <v>52</v>
      </c>
      <c r="CE7" s="28"/>
      <c r="CF7" s="28"/>
      <c r="CG7" s="28"/>
      <c r="CH7" s="13"/>
      <c r="CI7" s="13"/>
      <c r="CJ7" s="13"/>
      <c r="CK7" s="13"/>
      <c r="CL7" s="13"/>
      <c r="CM7" s="13"/>
      <c r="CN7" s="13"/>
      <c r="CO7" s="13"/>
    </row>
    <row r="8" spans="1:94" ht="32.25" customHeight="1">
      <c r="A8" s="24" t="s">
        <v>53</v>
      </c>
      <c r="B8" s="30">
        <f>+B7+1</f>
        <v>2</v>
      </c>
      <c r="C8" s="37" t="s">
        <v>54</v>
      </c>
      <c r="D8" s="60" t="s">
        <v>55</v>
      </c>
      <c r="E8" s="13" t="s">
        <v>56</v>
      </c>
      <c r="F8" s="13"/>
      <c r="G8" s="13" t="s">
        <v>57</v>
      </c>
      <c r="H8" s="13" t="s">
        <v>58</v>
      </c>
      <c r="I8" s="13" t="s">
        <v>45</v>
      </c>
      <c r="J8" s="13" t="s">
        <v>46</v>
      </c>
      <c r="K8" s="13" t="s">
        <v>59</v>
      </c>
      <c r="L8" s="13">
        <v>3</v>
      </c>
      <c r="M8" s="32">
        <v>0.11600000000000001</v>
      </c>
      <c r="N8" s="33">
        <v>0.57399999999999995</v>
      </c>
      <c r="O8" s="33">
        <v>0.47</v>
      </c>
      <c r="P8" s="33">
        <v>0.49399999999999999</v>
      </c>
      <c r="Q8" s="33"/>
      <c r="R8" s="33"/>
      <c r="S8" s="8"/>
      <c r="T8" s="33">
        <v>5.3999999999999999E-2</v>
      </c>
      <c r="U8" s="33">
        <v>0.16500000000000001</v>
      </c>
      <c r="V8" s="33">
        <v>4.1000000000000002E-2</v>
      </c>
      <c r="W8" s="33"/>
      <c r="X8" s="33"/>
      <c r="Y8" s="39"/>
      <c r="Z8" s="33">
        <v>0.20300000000000001</v>
      </c>
      <c r="AA8" s="33">
        <v>0.184</v>
      </c>
      <c r="AB8" s="33">
        <v>0.20799999999999999</v>
      </c>
      <c r="AC8" s="33"/>
      <c r="AD8" s="33"/>
      <c r="AE8" s="8"/>
      <c r="AF8" s="33">
        <v>0.128</v>
      </c>
      <c r="AG8" s="33">
        <v>8.3000000000000004E-2</v>
      </c>
      <c r="AH8" s="33">
        <v>0.13900000000000001</v>
      </c>
      <c r="AI8" s="33"/>
      <c r="AJ8" s="33"/>
      <c r="AK8" s="8"/>
      <c r="AL8" s="33">
        <v>4.1000000000000002E-2</v>
      </c>
      <c r="AM8" s="33">
        <v>9.8000000000000004E-2</v>
      </c>
      <c r="AN8" s="33">
        <v>0.11799999999999999</v>
      </c>
      <c r="AO8" s="33"/>
      <c r="AP8" s="33"/>
      <c r="AQ8" s="8"/>
      <c r="AR8" s="24">
        <v>67.900000000000006</v>
      </c>
      <c r="AS8" s="24">
        <v>90.4</v>
      </c>
      <c r="AT8" s="24">
        <v>92</v>
      </c>
      <c r="AU8" s="24"/>
      <c r="AV8" s="24"/>
      <c r="AW8" s="24"/>
      <c r="AX8" s="36">
        <v>0.61399999999999999</v>
      </c>
      <c r="AY8" s="36">
        <v>0.19800000000000001</v>
      </c>
      <c r="AZ8" s="36">
        <v>0.69599999999999995</v>
      </c>
      <c r="BA8" s="8"/>
      <c r="BB8" s="8"/>
      <c r="BC8" s="8"/>
      <c r="BD8" s="33">
        <v>0.48499999999999999</v>
      </c>
      <c r="BE8" s="36">
        <v>0.57099999999999995</v>
      </c>
      <c r="BF8" s="40">
        <v>0.54</v>
      </c>
      <c r="BG8" s="8"/>
      <c r="BH8" s="8"/>
      <c r="BI8" s="8"/>
      <c r="BJ8" s="33">
        <v>6.5000000000000002E-2</v>
      </c>
      <c r="BK8" s="40">
        <v>7.0000000000000007E-2</v>
      </c>
      <c r="BL8" s="36">
        <v>6.3E-2</v>
      </c>
      <c r="BM8" s="8"/>
      <c r="BN8" s="8"/>
      <c r="BO8" s="8"/>
      <c r="BP8" s="28">
        <v>32</v>
      </c>
      <c r="BQ8" s="24">
        <v>23</v>
      </c>
      <c r="BR8" s="24">
        <v>27</v>
      </c>
      <c r="BS8" s="8"/>
      <c r="BT8" s="8"/>
      <c r="BU8" s="8"/>
      <c r="BV8" s="28" t="s">
        <v>60</v>
      </c>
      <c r="BW8" s="24" t="s">
        <v>61</v>
      </c>
      <c r="BX8" s="24" t="s">
        <v>62</v>
      </c>
      <c r="BY8" s="24"/>
      <c r="BZ8" s="8"/>
      <c r="CA8" s="8"/>
      <c r="CB8" s="28" t="s">
        <v>63</v>
      </c>
      <c r="CC8" s="28" t="s">
        <v>64</v>
      </c>
      <c r="CD8" s="28" t="s">
        <v>65</v>
      </c>
      <c r="CE8" s="28"/>
      <c r="CF8" s="28"/>
      <c r="CG8" s="28"/>
      <c r="CH8" s="28" t="s">
        <v>66</v>
      </c>
      <c r="CI8" s="13"/>
      <c r="CJ8" s="13"/>
      <c r="CK8" s="13"/>
      <c r="CL8" s="13"/>
      <c r="CM8" s="13"/>
      <c r="CN8" s="13"/>
      <c r="CO8" s="13"/>
    </row>
    <row r="9" spans="1:94" ht="17.25" customHeight="1">
      <c r="A9" s="24" t="s">
        <v>67</v>
      </c>
      <c r="B9" s="30">
        <f t="shared" ref="B9:B39" si="0">+B8+1</f>
        <v>3</v>
      </c>
      <c r="C9" s="41" t="s">
        <v>68</v>
      </c>
      <c r="D9" s="60" t="s">
        <v>69</v>
      </c>
      <c r="E9" s="13"/>
      <c r="F9" s="13" t="s">
        <v>70</v>
      </c>
      <c r="G9" s="13" t="s">
        <v>71</v>
      </c>
      <c r="H9" s="13" t="s">
        <v>72</v>
      </c>
      <c r="I9" s="13" t="s">
        <v>73</v>
      </c>
      <c r="J9" s="13" t="s">
        <v>46</v>
      </c>
      <c r="K9" s="13" t="s">
        <v>74</v>
      </c>
      <c r="L9" s="13">
        <v>3</v>
      </c>
      <c r="M9" s="32">
        <v>6.2600000000000003E-2</v>
      </c>
      <c r="N9" s="33">
        <v>0.45100000000000001</v>
      </c>
      <c r="O9" s="33">
        <v>0.498</v>
      </c>
      <c r="P9" s="33">
        <v>0.495</v>
      </c>
      <c r="Q9" s="33"/>
      <c r="R9" s="33"/>
      <c r="S9" s="8"/>
      <c r="T9" s="28">
        <v>23.9</v>
      </c>
      <c r="U9" s="33">
        <v>0.20699999999999999</v>
      </c>
      <c r="V9" s="33">
        <v>0.218</v>
      </c>
      <c r="W9" s="28"/>
      <c r="X9" s="28"/>
      <c r="Y9" s="39"/>
      <c r="Z9" s="28">
        <v>30.9</v>
      </c>
      <c r="AA9" s="35">
        <v>0.28999999999999998</v>
      </c>
      <c r="AB9" s="33">
        <v>0.28399999999999997</v>
      </c>
      <c r="AC9" s="28"/>
      <c r="AD9" s="28"/>
      <c r="AE9" s="8"/>
      <c r="AF9" s="28">
        <v>0</v>
      </c>
      <c r="AG9" s="33">
        <v>5.0000000000000001E-3</v>
      </c>
      <c r="AH9" s="33">
        <v>3.0000000000000001E-3</v>
      </c>
      <c r="AI9" s="28"/>
      <c r="AJ9" s="28"/>
      <c r="AK9" s="8"/>
      <c r="AL9" s="28">
        <v>0.1</v>
      </c>
      <c r="AM9" s="35">
        <v>0</v>
      </c>
      <c r="AN9" s="35">
        <v>0</v>
      </c>
      <c r="AO9" s="28"/>
      <c r="AP9" s="28"/>
      <c r="AQ9" s="8"/>
      <c r="AR9" s="28">
        <v>63.2</v>
      </c>
      <c r="AS9" s="28">
        <v>57.5</v>
      </c>
      <c r="AT9" s="28">
        <v>58.3</v>
      </c>
      <c r="AU9" s="28"/>
      <c r="AV9" s="28"/>
      <c r="AW9" s="28"/>
      <c r="AX9" s="33">
        <v>0.95699999999999996</v>
      </c>
      <c r="AY9" s="36">
        <v>0.96499999999999997</v>
      </c>
      <c r="AZ9" s="24" t="s">
        <v>75</v>
      </c>
      <c r="BA9" s="8"/>
      <c r="BB9" s="8"/>
      <c r="BC9" s="8"/>
      <c r="BD9" s="28">
        <v>34.700000000000003</v>
      </c>
      <c r="BE9" s="24">
        <v>37.700000000000003</v>
      </c>
      <c r="BF9" s="36">
        <v>0.35399999999999998</v>
      </c>
      <c r="BG9" s="8"/>
      <c r="BH9" s="8"/>
      <c r="BI9" s="8"/>
      <c r="BJ9" s="33">
        <v>8.1000000000000003E-2</v>
      </c>
      <c r="BK9" s="36">
        <v>7.9000000000000001E-2</v>
      </c>
      <c r="BL9" s="36">
        <v>7.9000000000000001E-2</v>
      </c>
      <c r="BM9" s="8"/>
      <c r="BN9" s="8"/>
      <c r="BO9" s="8"/>
      <c r="BP9" s="28">
        <v>1</v>
      </c>
      <c r="BQ9" s="24">
        <v>1</v>
      </c>
      <c r="BR9" s="24">
        <v>2</v>
      </c>
      <c r="BS9" s="8"/>
      <c r="BT9" s="8"/>
      <c r="BU9" s="8"/>
      <c r="BV9" s="28" t="s">
        <v>76</v>
      </c>
      <c r="BW9" s="28" t="s">
        <v>77</v>
      </c>
      <c r="BX9" s="28" t="s">
        <v>78</v>
      </c>
      <c r="BY9" s="28"/>
      <c r="BZ9" s="8"/>
      <c r="CA9" s="8"/>
      <c r="CB9" s="28" t="s">
        <v>79</v>
      </c>
      <c r="CC9" s="28" t="s">
        <v>80</v>
      </c>
      <c r="CD9" s="28" t="s">
        <v>81</v>
      </c>
      <c r="CE9" s="28"/>
      <c r="CF9" s="28"/>
      <c r="CG9" s="24"/>
      <c r="CH9" s="28" t="s">
        <v>82</v>
      </c>
      <c r="CI9" s="13"/>
      <c r="CJ9" s="13"/>
      <c r="CK9" s="13"/>
      <c r="CL9" s="13"/>
      <c r="CM9" s="13"/>
      <c r="CN9" s="13"/>
      <c r="CO9" s="13"/>
    </row>
    <row r="10" spans="1:94">
      <c r="A10" s="24" t="s">
        <v>83</v>
      </c>
      <c r="B10" s="30">
        <f t="shared" si="0"/>
        <v>4</v>
      </c>
      <c r="C10" s="42" t="s">
        <v>84</v>
      </c>
      <c r="D10" s="13" t="s">
        <v>85</v>
      </c>
      <c r="E10" s="13" t="s">
        <v>86</v>
      </c>
      <c r="F10" s="13"/>
      <c r="G10" s="13" t="s">
        <v>87</v>
      </c>
      <c r="H10" s="13" t="s">
        <v>88</v>
      </c>
      <c r="I10" s="13" t="s">
        <v>73</v>
      </c>
      <c r="J10" s="13" t="s">
        <v>46</v>
      </c>
      <c r="K10" s="13" t="s">
        <v>89</v>
      </c>
      <c r="L10" s="13">
        <v>3</v>
      </c>
      <c r="M10" s="13">
        <v>14.7</v>
      </c>
      <c r="N10" s="33">
        <v>0.34499999999999997</v>
      </c>
      <c r="O10" s="33">
        <v>0.49299999999999999</v>
      </c>
      <c r="P10" s="33"/>
      <c r="Q10" s="33"/>
      <c r="R10" s="33"/>
      <c r="S10" s="8"/>
      <c r="T10" s="33">
        <v>0.499</v>
      </c>
      <c r="U10" s="33">
        <v>0.22600000000000001</v>
      </c>
      <c r="V10" s="33"/>
      <c r="W10" s="33"/>
      <c r="X10" s="33"/>
      <c r="Y10" s="39"/>
      <c r="Z10" s="33">
        <v>0.152</v>
      </c>
      <c r="AA10" s="33">
        <v>0.17599999999999999</v>
      </c>
      <c r="AB10" s="33"/>
      <c r="AC10" s="33"/>
      <c r="AD10" s="33"/>
      <c r="AE10" s="8"/>
      <c r="AF10" s="33">
        <v>4.0000000000000001E-3</v>
      </c>
      <c r="AG10" s="33">
        <v>9.1999999999999998E-2</v>
      </c>
      <c r="AH10" s="33"/>
      <c r="AI10" s="33"/>
      <c r="AJ10" s="33"/>
      <c r="AK10" s="8"/>
      <c r="AL10" s="35">
        <v>0</v>
      </c>
      <c r="AM10" s="28">
        <v>1.3</v>
      </c>
      <c r="AN10" s="35"/>
      <c r="AO10" s="35"/>
      <c r="AP10" s="35"/>
      <c r="AQ10" s="8"/>
      <c r="AR10" s="28">
        <v>93</v>
      </c>
      <c r="AS10" s="28">
        <v>76.2</v>
      </c>
      <c r="AT10" s="28"/>
      <c r="AU10" s="28"/>
      <c r="AV10" s="28"/>
      <c r="AW10" s="28"/>
      <c r="AX10" s="33">
        <v>0.71899999999999997</v>
      </c>
      <c r="AY10" s="36">
        <v>0.77400000000000002</v>
      </c>
      <c r="AZ10" s="8"/>
      <c r="BA10" s="8"/>
      <c r="BB10" s="8"/>
      <c r="BC10" s="8"/>
      <c r="BD10" s="33">
        <v>0.498</v>
      </c>
      <c r="BE10" s="36">
        <v>0.54300000000000004</v>
      </c>
      <c r="BF10" s="8"/>
      <c r="BG10" s="8"/>
      <c r="BH10" s="8"/>
      <c r="BI10" s="8"/>
      <c r="BJ10" s="33">
        <v>9.5000000000000001E-2</v>
      </c>
      <c r="BK10" s="36">
        <v>7.4999999999999997E-2</v>
      </c>
      <c r="BL10" s="8"/>
      <c r="BM10" s="8"/>
      <c r="BN10" s="8"/>
      <c r="BO10" s="8"/>
      <c r="BP10" s="28">
        <v>1</v>
      </c>
      <c r="BQ10" s="24">
        <v>26</v>
      </c>
      <c r="BR10" s="8"/>
      <c r="BS10" s="8"/>
      <c r="BT10" s="8"/>
      <c r="BU10" s="8"/>
      <c r="BV10" s="28" t="s">
        <v>90</v>
      </c>
      <c r="BW10" s="28" t="s">
        <v>91</v>
      </c>
      <c r="BX10" s="28"/>
      <c r="BY10" s="28"/>
      <c r="BZ10" s="8"/>
      <c r="CA10" s="8"/>
      <c r="CB10" s="28" t="s">
        <v>92</v>
      </c>
      <c r="CC10" s="28" t="s">
        <v>93</v>
      </c>
      <c r="CD10" s="28"/>
      <c r="CE10" s="28"/>
      <c r="CF10" s="28"/>
      <c r="CG10" s="8"/>
      <c r="CH10" s="28" t="s">
        <v>94</v>
      </c>
      <c r="CI10" s="13"/>
      <c r="CJ10" s="13"/>
      <c r="CK10" s="13"/>
      <c r="CL10" s="13"/>
      <c r="CM10" s="13"/>
      <c r="CN10" s="13"/>
      <c r="CO10" s="13"/>
    </row>
    <row r="11" spans="1:94">
      <c r="A11" s="43">
        <v>46000</v>
      </c>
      <c r="B11" s="30">
        <f t="shared" si="0"/>
        <v>5</v>
      </c>
      <c r="C11" s="42" t="s">
        <v>95</v>
      </c>
      <c r="D11" s="13" t="s">
        <v>96</v>
      </c>
      <c r="E11" s="13"/>
      <c r="F11" s="13" t="s">
        <v>97</v>
      </c>
      <c r="G11" s="13" t="s">
        <v>98</v>
      </c>
      <c r="H11" s="13" t="s">
        <v>99</v>
      </c>
      <c r="I11" s="13" t="s">
        <v>45</v>
      </c>
      <c r="J11" s="13" t="s">
        <v>46</v>
      </c>
      <c r="K11" s="13" t="s">
        <v>100</v>
      </c>
      <c r="L11" s="44" t="s">
        <v>101</v>
      </c>
      <c r="M11" s="32">
        <v>7.3400000000000007E-2</v>
      </c>
      <c r="N11" s="33">
        <v>0.53500000000000003</v>
      </c>
      <c r="O11" s="33">
        <v>0.69499999999999995</v>
      </c>
      <c r="P11" s="13"/>
      <c r="Q11" s="13"/>
      <c r="R11" s="13"/>
      <c r="S11" s="8"/>
      <c r="T11" s="33">
        <v>0.14099999999999999</v>
      </c>
      <c r="U11" s="33">
        <v>9.9000000000000005E-2</v>
      </c>
      <c r="V11" s="13"/>
      <c r="W11" s="13"/>
      <c r="X11" s="13"/>
      <c r="Y11" s="39"/>
      <c r="Z11" s="33">
        <v>0.222</v>
      </c>
      <c r="AA11" s="33">
        <v>0.14399999999999999</v>
      </c>
      <c r="AB11" s="13"/>
      <c r="AC11" s="13"/>
      <c r="AD11" s="13"/>
      <c r="AE11" s="8"/>
      <c r="AF11" s="35">
        <v>0.1</v>
      </c>
      <c r="AG11" s="33">
        <v>5.0999999999999997E-2</v>
      </c>
      <c r="AH11" s="13"/>
      <c r="AI11" s="13"/>
      <c r="AJ11" s="13"/>
      <c r="AK11" s="8"/>
      <c r="AL11" s="33">
        <v>2E-3</v>
      </c>
      <c r="AM11" s="33">
        <v>1.0999999999999999E-2</v>
      </c>
      <c r="AN11" s="13"/>
      <c r="AO11" s="13"/>
      <c r="AP11" s="13"/>
      <c r="AQ11" s="8"/>
      <c r="AR11" s="28">
        <v>64.900000000000006</v>
      </c>
      <c r="AS11" s="28">
        <v>42.9</v>
      </c>
      <c r="AT11" s="13"/>
      <c r="AU11" s="13"/>
      <c r="AV11" s="13"/>
      <c r="AW11" s="13"/>
      <c r="AX11" s="35">
        <v>0.43</v>
      </c>
      <c r="AY11" s="36">
        <v>0.73299999999999998</v>
      </c>
      <c r="AZ11" s="8"/>
      <c r="BA11" s="8"/>
      <c r="BB11" s="8"/>
      <c r="BC11" s="8"/>
      <c r="BD11" s="33">
        <v>0.50600000000000001</v>
      </c>
      <c r="BE11" s="36">
        <v>0.436</v>
      </c>
      <c r="BF11" s="8"/>
      <c r="BG11" s="8"/>
      <c r="BH11" s="8"/>
      <c r="BI11" s="8"/>
      <c r="BJ11" s="33">
        <v>7.0999999999999994E-2</v>
      </c>
      <c r="BK11" s="36">
        <v>6.9000000000000006E-2</v>
      </c>
      <c r="BL11" s="8"/>
      <c r="BM11" s="8"/>
      <c r="BN11" s="8"/>
      <c r="BO11" s="8"/>
      <c r="BP11" s="28">
        <v>22</v>
      </c>
      <c r="BQ11" s="24">
        <v>20</v>
      </c>
      <c r="BR11" s="8"/>
      <c r="BS11" s="8"/>
      <c r="BT11" s="8"/>
      <c r="BU11" s="8"/>
      <c r="BV11" s="28" t="s">
        <v>102</v>
      </c>
      <c r="BW11" s="28" t="s">
        <v>103</v>
      </c>
      <c r="BX11" s="13"/>
      <c r="BY11" s="13"/>
      <c r="BZ11" s="8"/>
      <c r="CA11" s="8"/>
      <c r="CB11" s="28" t="s">
        <v>104</v>
      </c>
      <c r="CC11" s="28" t="s">
        <v>105</v>
      </c>
      <c r="CD11" s="28"/>
      <c r="CE11" s="28"/>
      <c r="CF11" s="28"/>
      <c r="CG11" s="8"/>
      <c r="CH11" s="13"/>
      <c r="CI11" s="13"/>
      <c r="CJ11" s="13"/>
      <c r="CK11" s="13"/>
      <c r="CL11" s="13"/>
      <c r="CM11" s="13"/>
      <c r="CN11" s="13"/>
      <c r="CO11" s="13"/>
    </row>
    <row r="12" spans="1:94">
      <c r="A12" s="43">
        <v>46000</v>
      </c>
      <c r="B12" s="30">
        <f t="shared" si="0"/>
        <v>6</v>
      </c>
      <c r="C12" s="31" t="s">
        <v>106</v>
      </c>
      <c r="D12" s="13" t="s">
        <v>107</v>
      </c>
      <c r="E12" s="13"/>
      <c r="F12" s="13" t="s">
        <v>108</v>
      </c>
      <c r="G12" s="13" t="s">
        <v>109</v>
      </c>
      <c r="H12" s="13" t="s">
        <v>72</v>
      </c>
      <c r="I12" s="13" t="s">
        <v>45</v>
      </c>
      <c r="J12" s="13" t="s">
        <v>46</v>
      </c>
      <c r="K12" s="13" t="s">
        <v>110</v>
      </c>
      <c r="L12" s="13" t="s">
        <v>101</v>
      </c>
      <c r="M12" s="32">
        <v>0.11600000000000001</v>
      </c>
      <c r="N12" s="33">
        <v>0.27500000000000002</v>
      </c>
      <c r="O12" s="33">
        <v>0.39300000000000002</v>
      </c>
      <c r="P12" s="33"/>
      <c r="Q12" s="33"/>
      <c r="R12" s="33"/>
      <c r="S12" s="8"/>
      <c r="T12" s="33">
        <v>0.55900000000000005</v>
      </c>
      <c r="U12" s="33">
        <v>0.29399999999999998</v>
      </c>
      <c r="V12" s="33"/>
      <c r="W12" s="33"/>
      <c r="X12" s="33"/>
      <c r="Y12" s="39"/>
      <c r="Z12" s="33">
        <v>0.16600000000000001</v>
      </c>
      <c r="AA12" s="33">
        <v>0.312</v>
      </c>
      <c r="AB12" s="33"/>
      <c r="AC12" s="33"/>
      <c r="AD12" s="33"/>
      <c r="AE12" s="8"/>
      <c r="AF12" s="35">
        <v>0</v>
      </c>
      <c r="AG12" s="28">
        <v>0.1</v>
      </c>
      <c r="AH12" s="35"/>
      <c r="AI12" s="35"/>
      <c r="AJ12" s="35"/>
      <c r="AK12" s="8"/>
      <c r="AL12" s="35">
        <v>0</v>
      </c>
      <c r="AM12" s="35">
        <v>0</v>
      </c>
      <c r="AN12" s="35"/>
      <c r="AO12" s="35"/>
      <c r="AP12" s="35"/>
      <c r="AQ12" s="8"/>
      <c r="AR12" s="28">
        <v>102.7</v>
      </c>
      <c r="AS12" s="28">
        <v>72.2</v>
      </c>
      <c r="AT12" s="28"/>
      <c r="AU12" s="28"/>
      <c r="AV12" s="28"/>
      <c r="AW12" s="28"/>
      <c r="AX12" s="33">
        <v>0.58599999999999997</v>
      </c>
      <c r="AY12" s="36">
        <v>0.41799999999999998</v>
      </c>
      <c r="AZ12" s="8"/>
      <c r="BA12" s="8"/>
      <c r="BB12" s="8"/>
      <c r="BC12" s="8"/>
      <c r="BD12" s="33">
        <v>0.378</v>
      </c>
      <c r="BE12" s="36">
        <v>0.373</v>
      </c>
      <c r="BF12" s="8"/>
      <c r="BG12" s="8"/>
      <c r="BH12" s="8"/>
      <c r="BI12" s="8"/>
      <c r="BJ12" s="28" t="s">
        <v>111</v>
      </c>
      <c r="BK12" s="36">
        <v>8.4000000000000005E-2</v>
      </c>
      <c r="BL12" s="8"/>
      <c r="BM12" s="8"/>
      <c r="BN12" s="8"/>
      <c r="BO12" s="8"/>
      <c r="BP12" s="28">
        <v>0</v>
      </c>
      <c r="BQ12" s="24">
        <v>0</v>
      </c>
      <c r="BR12" s="8"/>
      <c r="BS12" s="8"/>
      <c r="BT12" s="8"/>
      <c r="BU12" s="8"/>
      <c r="BV12" s="28" t="s">
        <v>112</v>
      </c>
      <c r="BW12" s="28" t="s">
        <v>112</v>
      </c>
      <c r="BX12" s="28"/>
      <c r="BY12" s="28"/>
      <c r="BZ12" s="8"/>
      <c r="CA12" s="8"/>
      <c r="CB12" s="28" t="s">
        <v>113</v>
      </c>
      <c r="CC12" s="28" t="s">
        <v>114</v>
      </c>
      <c r="CD12" s="28"/>
      <c r="CE12" s="28"/>
      <c r="CF12" s="28"/>
      <c r="CG12" s="8"/>
      <c r="CH12" s="28" t="s">
        <v>115</v>
      </c>
      <c r="CI12" s="13"/>
      <c r="CJ12" s="13"/>
      <c r="CK12" s="13"/>
      <c r="CL12" s="13"/>
      <c r="CM12" s="13"/>
      <c r="CN12" s="13"/>
      <c r="CO12" s="13"/>
    </row>
    <row r="13" spans="1:94" ht="17.25" customHeight="1">
      <c r="A13" s="43">
        <v>46000</v>
      </c>
      <c r="B13" s="30">
        <f t="shared" si="0"/>
        <v>7</v>
      </c>
      <c r="C13" s="45" t="s">
        <v>116</v>
      </c>
      <c r="D13" s="60" t="s">
        <v>117</v>
      </c>
      <c r="E13" s="13"/>
      <c r="F13" s="13" t="s">
        <v>118</v>
      </c>
      <c r="G13" s="13" t="s">
        <v>119</v>
      </c>
      <c r="H13" s="13" t="s">
        <v>88</v>
      </c>
      <c r="I13" s="13" t="s">
        <v>73</v>
      </c>
      <c r="J13" s="13" t="s">
        <v>46</v>
      </c>
      <c r="K13" s="13" t="s">
        <v>120</v>
      </c>
      <c r="L13" s="13">
        <v>6</v>
      </c>
      <c r="M13" s="46">
        <v>0.15</v>
      </c>
      <c r="N13" s="33">
        <v>0.82699999999999996</v>
      </c>
      <c r="O13" s="33">
        <v>0.83899999999999997</v>
      </c>
      <c r="P13" s="33"/>
      <c r="Q13" s="33"/>
      <c r="R13" s="33"/>
      <c r="S13" s="8"/>
      <c r="T13" s="33">
        <v>2.8000000000000001E-2</v>
      </c>
      <c r="U13" s="33">
        <v>2.3E-2</v>
      </c>
      <c r="V13" s="33"/>
      <c r="W13" s="33"/>
      <c r="X13" s="33"/>
      <c r="Y13" s="39"/>
      <c r="Z13" s="33">
        <v>0.124</v>
      </c>
      <c r="AA13" s="33">
        <v>0.13600000000000001</v>
      </c>
      <c r="AB13" s="33"/>
      <c r="AC13" s="33"/>
      <c r="AD13" s="33"/>
      <c r="AE13" s="8"/>
      <c r="AF13" s="33">
        <v>1.6E-2</v>
      </c>
      <c r="AG13" s="33">
        <v>2E-3</v>
      </c>
      <c r="AH13" s="33"/>
      <c r="AI13" s="33"/>
      <c r="AJ13" s="33"/>
      <c r="AK13" s="8"/>
      <c r="AL13" s="33">
        <v>5.0000000000000001E-3</v>
      </c>
      <c r="AM13" s="33">
        <v>0</v>
      </c>
      <c r="AN13" s="33"/>
      <c r="AO13" s="33"/>
      <c r="AP13" s="33"/>
      <c r="AQ13" s="8"/>
      <c r="AR13" s="28">
        <v>19.7</v>
      </c>
      <c r="AS13" s="28">
        <v>15</v>
      </c>
      <c r="AT13" s="28"/>
      <c r="AU13" s="28"/>
      <c r="AV13" s="28"/>
      <c r="AW13" s="28"/>
      <c r="AX13" s="33">
        <v>0.25800000000000001</v>
      </c>
      <c r="AY13" s="36">
        <v>0.874</v>
      </c>
      <c r="AZ13" s="8"/>
      <c r="BA13" s="8"/>
      <c r="BB13" s="8"/>
      <c r="BC13" s="8"/>
      <c r="BD13" s="33">
        <v>0.35099999999999998</v>
      </c>
      <c r="BE13" s="36">
        <v>0.30499999999999999</v>
      </c>
      <c r="BF13" s="8"/>
      <c r="BG13" s="8"/>
      <c r="BH13" s="8"/>
      <c r="BI13" s="8"/>
      <c r="BJ13" s="33">
        <v>6.5000000000000002E-2</v>
      </c>
      <c r="BK13" s="36">
        <v>6.7000000000000004E-2</v>
      </c>
      <c r="BL13" s="8"/>
      <c r="BM13" s="8"/>
      <c r="BN13" s="8"/>
      <c r="BO13" s="8"/>
      <c r="BP13" s="28">
        <v>8</v>
      </c>
      <c r="BQ13" s="24">
        <v>1</v>
      </c>
      <c r="BR13" s="8"/>
      <c r="BS13" s="8"/>
      <c r="BT13" s="8"/>
      <c r="BU13" s="8"/>
      <c r="BV13" s="28" t="s">
        <v>121</v>
      </c>
      <c r="BW13" s="28" t="s">
        <v>122</v>
      </c>
      <c r="BX13" s="28"/>
      <c r="BY13" s="28"/>
      <c r="BZ13" s="8"/>
      <c r="CA13" s="8"/>
      <c r="CB13" s="28" t="s">
        <v>123</v>
      </c>
      <c r="CC13" s="28" t="s">
        <v>123</v>
      </c>
      <c r="CD13" s="28"/>
      <c r="CE13" s="28"/>
      <c r="CF13" s="28"/>
      <c r="CG13" s="8"/>
      <c r="CH13" s="13"/>
      <c r="CI13" s="13"/>
      <c r="CJ13" s="13"/>
      <c r="CK13" s="13"/>
      <c r="CL13" s="13"/>
      <c r="CM13" s="13"/>
      <c r="CN13" s="13"/>
      <c r="CO13" s="13"/>
    </row>
    <row r="14" spans="1:94">
      <c r="A14" s="43">
        <v>46000</v>
      </c>
      <c r="B14" s="30">
        <f t="shared" si="0"/>
        <v>8</v>
      </c>
      <c r="C14" s="31" t="s">
        <v>124</v>
      </c>
      <c r="D14" s="13" t="s">
        <v>125</v>
      </c>
      <c r="E14" s="13"/>
      <c r="F14" s="13" t="s">
        <v>126</v>
      </c>
      <c r="G14" s="13" t="s">
        <v>127</v>
      </c>
      <c r="H14" s="13" t="s">
        <v>128</v>
      </c>
      <c r="I14" s="13" t="s">
        <v>45</v>
      </c>
      <c r="J14" s="13" t="s">
        <v>46</v>
      </c>
      <c r="K14" s="13" t="s">
        <v>129</v>
      </c>
      <c r="L14" s="13">
        <v>3</v>
      </c>
      <c r="M14" s="32">
        <v>9.6699999999999994E-2</v>
      </c>
      <c r="N14" s="33">
        <v>0.29799999999999999</v>
      </c>
      <c r="O14" s="33">
        <v>0.16800000000000001</v>
      </c>
      <c r="P14" s="33">
        <v>0.83199999999999996</v>
      </c>
      <c r="Q14" s="33"/>
      <c r="R14" s="33"/>
      <c r="S14" s="8"/>
      <c r="T14" s="33">
        <v>0.442</v>
      </c>
      <c r="U14" s="33">
        <v>0.72399999999999998</v>
      </c>
      <c r="V14" s="33">
        <v>3.1E-2</v>
      </c>
      <c r="W14" s="33"/>
      <c r="X14" s="33"/>
      <c r="Y14" s="39"/>
      <c r="Z14" s="33">
        <v>0.25600000000000001</v>
      </c>
      <c r="AA14" s="33">
        <v>0.107</v>
      </c>
      <c r="AB14" s="33">
        <v>0.129</v>
      </c>
      <c r="AC14" s="33"/>
      <c r="AD14" s="33"/>
      <c r="AE14" s="8"/>
      <c r="AF14" s="33">
        <v>3.0000000000000001E-3</v>
      </c>
      <c r="AG14" s="33">
        <v>1E-3</v>
      </c>
      <c r="AH14" s="33">
        <v>8.0000000000000002E-3</v>
      </c>
      <c r="AI14" s="33"/>
      <c r="AJ14" s="33"/>
      <c r="AK14" s="8"/>
      <c r="AL14" s="33">
        <v>1E-3</v>
      </c>
      <c r="AM14" s="33">
        <v>0</v>
      </c>
      <c r="AN14" s="28" t="s">
        <v>130</v>
      </c>
      <c r="AO14" s="33"/>
      <c r="AP14" s="33"/>
      <c r="AQ14" s="8"/>
      <c r="AR14" s="28">
        <v>92.2</v>
      </c>
      <c r="AS14" s="28">
        <v>124.6</v>
      </c>
      <c r="AT14" s="28">
        <v>17.2</v>
      </c>
      <c r="AU14" s="28"/>
      <c r="AV14" s="28"/>
      <c r="AW14" s="28"/>
      <c r="AX14" s="33">
        <v>0.34899999999999998</v>
      </c>
      <c r="AY14" s="36">
        <v>0.35299999999999998</v>
      </c>
      <c r="AZ14" s="36">
        <v>0.85599999999999998</v>
      </c>
      <c r="BA14" s="8"/>
      <c r="BB14" s="8"/>
      <c r="BC14" s="8"/>
      <c r="BD14" s="33">
        <v>0.40899999999999997</v>
      </c>
      <c r="BE14" s="36">
        <v>0.34899999999999998</v>
      </c>
      <c r="BF14" s="36">
        <v>0.36399999999999999</v>
      </c>
      <c r="BG14" s="8"/>
      <c r="BH14" s="8"/>
      <c r="BI14" s="8"/>
      <c r="BJ14" s="33">
        <v>9.0999999999999998E-2</v>
      </c>
      <c r="BK14" s="36">
        <v>0.108</v>
      </c>
      <c r="BL14" s="24" t="s">
        <v>131</v>
      </c>
      <c r="BM14" s="8"/>
      <c r="BN14" s="8"/>
      <c r="BO14" s="8"/>
      <c r="BP14" s="28">
        <v>1</v>
      </c>
      <c r="BQ14" s="24">
        <v>1</v>
      </c>
      <c r="BR14" s="24">
        <v>2</v>
      </c>
      <c r="BS14" s="8"/>
      <c r="BT14" s="8"/>
      <c r="BU14" s="8"/>
      <c r="BV14" s="28" t="s">
        <v>132</v>
      </c>
      <c r="BW14" s="28" t="s">
        <v>133</v>
      </c>
      <c r="BX14" s="28" t="s">
        <v>48</v>
      </c>
      <c r="BY14" s="28"/>
      <c r="BZ14" s="8"/>
      <c r="CA14" s="8"/>
      <c r="CB14" s="28" t="s">
        <v>134</v>
      </c>
      <c r="CC14" s="28" t="s">
        <v>135</v>
      </c>
      <c r="CD14" s="13"/>
      <c r="CE14" s="13"/>
      <c r="CF14" s="13"/>
      <c r="CG14" s="13"/>
      <c r="CH14" s="28" t="s">
        <v>136</v>
      </c>
      <c r="CI14" s="13"/>
      <c r="CJ14" s="13"/>
      <c r="CK14" s="13"/>
      <c r="CL14" s="13"/>
      <c r="CM14" s="13"/>
      <c r="CN14" s="13"/>
      <c r="CO14" s="13"/>
    </row>
    <row r="15" spans="1:94" ht="17.25" customHeight="1">
      <c r="A15" s="47">
        <v>46001</v>
      </c>
      <c r="B15" s="30">
        <f t="shared" si="0"/>
        <v>9</v>
      </c>
      <c r="C15" s="48" t="s">
        <v>137</v>
      </c>
      <c r="D15" s="60" t="s">
        <v>138</v>
      </c>
      <c r="E15" s="13" t="s">
        <v>139</v>
      </c>
      <c r="F15" s="13"/>
      <c r="G15" s="28" t="s">
        <v>140</v>
      </c>
      <c r="H15" s="13" t="s">
        <v>72</v>
      </c>
      <c r="I15" s="13" t="s">
        <v>45</v>
      </c>
      <c r="J15" s="13" t="s">
        <v>46</v>
      </c>
      <c r="K15" s="13" t="s">
        <v>141</v>
      </c>
      <c r="L15" s="13">
        <v>3</v>
      </c>
      <c r="M15" s="32">
        <v>7.3099999999999998E-2</v>
      </c>
      <c r="N15" s="33">
        <v>0.80600000000000005</v>
      </c>
      <c r="O15" s="33">
        <v>0.82899999999999996</v>
      </c>
      <c r="P15" s="33"/>
      <c r="Q15" s="33"/>
      <c r="R15" s="33"/>
      <c r="S15" s="8"/>
      <c r="T15" s="33">
        <v>3.2000000000000001E-2</v>
      </c>
      <c r="U15" s="33">
        <v>2E-3</v>
      </c>
      <c r="V15" s="33"/>
      <c r="W15" s="33"/>
      <c r="X15" s="33"/>
      <c r="Y15" s="8"/>
      <c r="Z15" s="33">
        <v>0.113</v>
      </c>
      <c r="AA15" s="33">
        <v>7.6999999999999999E-2</v>
      </c>
      <c r="AB15" s="33"/>
      <c r="AC15" s="33"/>
      <c r="AD15" s="33"/>
      <c r="AE15" s="8"/>
      <c r="AF15" s="33">
        <v>4.3999999999999997E-2</v>
      </c>
      <c r="AG15" s="33">
        <v>8.5999999999999993E-2</v>
      </c>
      <c r="AH15" s="33"/>
      <c r="AI15" s="33"/>
      <c r="AJ15" s="33"/>
      <c r="AK15" s="8"/>
      <c r="AL15" s="33">
        <v>5.0000000000000001E-3</v>
      </c>
      <c r="AM15" s="33">
        <v>6.0000000000000001E-3</v>
      </c>
      <c r="AN15" s="33"/>
      <c r="AO15" s="33"/>
      <c r="AP15" s="33"/>
      <c r="AR15" s="28">
        <v>26.2</v>
      </c>
      <c r="AS15" s="28">
        <v>28.9</v>
      </c>
      <c r="AT15" s="28"/>
      <c r="AU15" s="28"/>
      <c r="AV15" s="28"/>
      <c r="AW15" s="28"/>
      <c r="AX15" s="33">
        <v>0.92500000000000004</v>
      </c>
      <c r="AY15" s="40">
        <v>0.93</v>
      </c>
      <c r="AZ15" s="8"/>
      <c r="BA15" s="8"/>
      <c r="BB15" s="8"/>
      <c r="BC15" s="8"/>
      <c r="BD15" s="33">
        <v>0.40500000000000003</v>
      </c>
      <c r="BE15" s="36">
        <v>0.34699999999999998</v>
      </c>
      <c r="BF15" s="8"/>
      <c r="BG15" s="8"/>
      <c r="BH15" s="8"/>
      <c r="BI15" s="8"/>
      <c r="BJ15" s="33">
        <v>6.4000000000000001E-2</v>
      </c>
      <c r="BK15" s="36">
        <v>6.0999999999999999E-2</v>
      </c>
      <c r="BL15" s="8"/>
      <c r="BM15" s="8"/>
      <c r="BN15" s="8"/>
      <c r="BO15" s="8"/>
      <c r="BP15" s="28">
        <v>18</v>
      </c>
      <c r="BQ15" s="24">
        <v>42</v>
      </c>
      <c r="BR15" s="8"/>
      <c r="BS15" s="8"/>
      <c r="BT15" s="8"/>
      <c r="BU15" s="8"/>
      <c r="BV15" s="28" t="s">
        <v>142</v>
      </c>
      <c r="BW15" s="28" t="s">
        <v>143</v>
      </c>
      <c r="BX15" s="28"/>
      <c r="BY15" s="28"/>
      <c r="BZ15" s="8"/>
      <c r="CA15" s="8"/>
      <c r="CB15" s="28" t="s">
        <v>144</v>
      </c>
      <c r="CC15" s="28" t="s">
        <v>145</v>
      </c>
      <c r="CD15" s="28"/>
      <c r="CE15" s="28"/>
      <c r="CF15" s="28"/>
      <c r="CG15" s="8"/>
      <c r="CH15" s="13"/>
      <c r="CI15" s="13"/>
      <c r="CJ15" s="13"/>
      <c r="CK15" s="13"/>
      <c r="CL15" s="13"/>
      <c r="CM15" s="13"/>
      <c r="CN15" s="13"/>
      <c r="CO15" s="13"/>
    </row>
    <row r="16" spans="1:94">
      <c r="A16" s="49">
        <v>45972</v>
      </c>
      <c r="B16" s="30">
        <f t="shared" si="0"/>
        <v>10</v>
      </c>
      <c r="C16" s="42" t="s">
        <v>146</v>
      </c>
      <c r="D16" s="13" t="s">
        <v>147</v>
      </c>
      <c r="E16" s="13" t="s">
        <v>148</v>
      </c>
      <c r="F16" s="13"/>
      <c r="G16" s="13" t="s">
        <v>149</v>
      </c>
      <c r="H16" s="13" t="s">
        <v>150</v>
      </c>
      <c r="I16" s="13" t="s">
        <v>45</v>
      </c>
      <c r="J16" s="13" t="s">
        <v>46</v>
      </c>
      <c r="K16" s="13" t="s">
        <v>151</v>
      </c>
      <c r="L16" s="13">
        <v>6</v>
      </c>
      <c r="M16" s="32">
        <v>0.10299999999999999</v>
      </c>
      <c r="N16" s="33">
        <v>0.94799999999999995</v>
      </c>
      <c r="O16" s="35">
        <v>0.93</v>
      </c>
      <c r="P16" s="13"/>
      <c r="Q16" s="13"/>
      <c r="R16" s="13"/>
      <c r="S16" s="13"/>
      <c r="T16" s="33">
        <v>2E-3</v>
      </c>
      <c r="U16" s="35">
        <v>0.01</v>
      </c>
      <c r="V16" s="13"/>
      <c r="W16" s="13"/>
      <c r="X16" s="13"/>
      <c r="Y16" s="13"/>
      <c r="Z16" s="33">
        <v>2.5000000000000001E-2</v>
      </c>
      <c r="AA16" s="33">
        <v>5.0999999999999997E-2</v>
      </c>
      <c r="AB16" s="13"/>
      <c r="AC16" s="13"/>
      <c r="AD16" s="13"/>
      <c r="AE16" s="13"/>
      <c r="AF16" s="33">
        <v>2.5000000000000001E-2</v>
      </c>
      <c r="AG16" s="28">
        <v>0</v>
      </c>
      <c r="AH16" s="13"/>
      <c r="AI16" s="13"/>
      <c r="AJ16" s="13"/>
      <c r="AK16" s="13"/>
      <c r="AL16" s="35">
        <v>0</v>
      </c>
      <c r="AM16" s="33">
        <v>1E-3</v>
      </c>
      <c r="AN16" s="13"/>
      <c r="AO16" s="13"/>
      <c r="AP16" s="13"/>
      <c r="AQ16" s="13"/>
      <c r="AR16" s="28">
        <v>8.3000000000000007</v>
      </c>
      <c r="AS16" s="28">
        <v>7.9</v>
      </c>
      <c r="AT16" s="13"/>
      <c r="AU16" s="13"/>
      <c r="AV16" s="13"/>
      <c r="AW16" s="13"/>
      <c r="AX16" s="33">
        <v>0.25900000000000001</v>
      </c>
      <c r="AY16" s="33">
        <v>0.26300000000000001</v>
      </c>
      <c r="AZ16" s="13"/>
      <c r="BA16" s="13"/>
      <c r="BB16" s="13"/>
      <c r="BC16" s="13"/>
      <c r="BD16" s="33">
        <v>0.24299999999999999</v>
      </c>
      <c r="BE16" s="33">
        <v>0.28699999999999998</v>
      </c>
      <c r="BF16" s="13"/>
      <c r="BG16" s="13"/>
      <c r="BH16" s="13"/>
      <c r="BI16" s="13"/>
      <c r="BJ16" s="33">
        <v>0.06</v>
      </c>
      <c r="BK16" s="33">
        <v>6.2E-2</v>
      </c>
      <c r="BL16" s="13"/>
      <c r="BM16" s="13"/>
      <c r="BN16" s="13"/>
      <c r="BO16" s="13"/>
      <c r="BP16" s="28">
        <v>14</v>
      </c>
      <c r="BQ16" s="28">
        <v>5</v>
      </c>
      <c r="BR16" s="13"/>
      <c r="BS16" s="13"/>
      <c r="BT16" s="13"/>
      <c r="BU16" s="13"/>
      <c r="BV16" s="28" t="s">
        <v>152</v>
      </c>
      <c r="BW16" s="28" t="s">
        <v>153</v>
      </c>
      <c r="BX16" s="13"/>
      <c r="BY16" s="13"/>
      <c r="BZ16" s="13"/>
      <c r="CA16" s="13"/>
      <c r="CB16" s="28" t="s">
        <v>154</v>
      </c>
      <c r="CC16" s="28" t="s">
        <v>155</v>
      </c>
      <c r="CD16" s="28"/>
      <c r="CE16" s="28"/>
      <c r="CF16" s="28"/>
      <c r="CG16" s="8"/>
      <c r="CH16" s="13"/>
      <c r="CI16" s="13"/>
      <c r="CJ16" s="13"/>
      <c r="CK16" s="13"/>
      <c r="CL16" s="13"/>
      <c r="CM16" s="13"/>
      <c r="CN16" s="13"/>
      <c r="CO16" s="13"/>
    </row>
    <row r="17" spans="1:93">
      <c r="A17" s="49">
        <v>45972</v>
      </c>
      <c r="B17" s="30">
        <f t="shared" si="0"/>
        <v>11</v>
      </c>
      <c r="C17" s="42" t="s">
        <v>156</v>
      </c>
      <c r="D17" s="13" t="s">
        <v>157</v>
      </c>
      <c r="E17" s="13" t="s">
        <v>158</v>
      </c>
      <c r="F17" s="13"/>
      <c r="G17" s="13" t="s">
        <v>159</v>
      </c>
      <c r="H17" s="13" t="s">
        <v>128</v>
      </c>
      <c r="I17" s="13" t="s">
        <v>45</v>
      </c>
      <c r="J17" s="13" t="s">
        <v>46</v>
      </c>
      <c r="K17" s="13" t="s">
        <v>160</v>
      </c>
      <c r="L17" s="13">
        <v>2</v>
      </c>
      <c r="M17" s="32">
        <v>5.5E-2</v>
      </c>
      <c r="N17" s="33">
        <v>0.94099999999999995</v>
      </c>
      <c r="O17" s="33">
        <v>0.97199999999999998</v>
      </c>
      <c r="P17" s="13"/>
      <c r="Q17" s="13"/>
      <c r="R17" s="13"/>
      <c r="S17" s="13"/>
      <c r="T17" s="35">
        <v>0</v>
      </c>
      <c r="U17" s="35">
        <v>0</v>
      </c>
      <c r="V17" s="13"/>
      <c r="W17" s="13"/>
      <c r="X17" s="13"/>
      <c r="Y17" s="13"/>
      <c r="Z17" s="33">
        <v>1.2E-2</v>
      </c>
      <c r="AA17" s="33">
        <v>1.7999999999999999E-2</v>
      </c>
      <c r="AB17" s="13"/>
      <c r="AC17" s="13"/>
      <c r="AD17" s="13"/>
      <c r="AE17" s="13"/>
      <c r="AF17" s="33">
        <v>3.9E-2</v>
      </c>
      <c r="AG17" s="33">
        <v>8.0000000000000002E-3</v>
      </c>
      <c r="AH17" s="13"/>
      <c r="AI17" s="13"/>
      <c r="AJ17" s="13"/>
      <c r="AK17" s="13"/>
      <c r="AL17" s="35">
        <v>0</v>
      </c>
      <c r="AM17" s="33">
        <v>2E-3</v>
      </c>
      <c r="AN17" s="13"/>
      <c r="AO17" s="13"/>
      <c r="AP17" s="13"/>
      <c r="AQ17" s="13"/>
      <c r="AR17" s="28">
        <v>12.7</v>
      </c>
      <c r="AS17" s="28">
        <v>4</v>
      </c>
      <c r="AT17" s="13"/>
      <c r="AU17" s="13"/>
      <c r="AV17" s="13"/>
      <c r="AW17" s="13"/>
      <c r="AX17" s="33">
        <v>0.86499999999999999</v>
      </c>
      <c r="AY17" s="33">
        <v>0.91800000000000004</v>
      </c>
      <c r="AZ17" s="13"/>
      <c r="BA17" s="13"/>
      <c r="BB17" s="13"/>
      <c r="BC17" s="13"/>
      <c r="BD17" s="33">
        <v>0.23100000000000001</v>
      </c>
      <c r="BE17" s="33">
        <v>0.21199999999999999</v>
      </c>
      <c r="BF17" s="13"/>
      <c r="BG17" s="13"/>
      <c r="BH17" s="13"/>
      <c r="BI17" s="13"/>
      <c r="BJ17" s="33">
        <v>5.8999999999999997E-2</v>
      </c>
      <c r="BK17" s="33">
        <v>0.06</v>
      </c>
      <c r="BL17" s="13"/>
      <c r="BM17" s="13"/>
      <c r="BN17" s="13"/>
      <c r="BO17" s="13"/>
      <c r="BP17" s="28">
        <v>14</v>
      </c>
      <c r="BQ17" s="28">
        <v>6</v>
      </c>
      <c r="BR17" s="13"/>
      <c r="BS17" s="13"/>
      <c r="BT17" s="13"/>
      <c r="BU17" s="13"/>
      <c r="BV17" s="28" t="s">
        <v>161</v>
      </c>
      <c r="BW17" s="28" t="s">
        <v>162</v>
      </c>
      <c r="BX17" s="13"/>
      <c r="BY17" s="13"/>
      <c r="BZ17" s="13"/>
      <c r="CA17" s="13"/>
      <c r="CB17" s="28" t="s">
        <v>163</v>
      </c>
      <c r="CC17" s="28" t="s">
        <v>164</v>
      </c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</row>
    <row r="18" spans="1:93">
      <c r="A18" s="49">
        <v>45972</v>
      </c>
      <c r="B18" s="30">
        <f t="shared" si="0"/>
        <v>12</v>
      </c>
      <c r="C18" s="31" t="s">
        <v>165</v>
      </c>
      <c r="D18" s="13" t="s">
        <v>166</v>
      </c>
      <c r="E18" s="13"/>
      <c r="F18" s="13" t="s">
        <v>167</v>
      </c>
      <c r="G18" s="13" t="s">
        <v>168</v>
      </c>
      <c r="H18" s="13" t="s">
        <v>128</v>
      </c>
      <c r="I18" s="13" t="s">
        <v>45</v>
      </c>
      <c r="J18" s="13" t="s">
        <v>46</v>
      </c>
      <c r="K18" s="13" t="s">
        <v>169</v>
      </c>
      <c r="L18" s="13">
        <v>4</v>
      </c>
      <c r="M18" s="32">
        <v>0.113</v>
      </c>
      <c r="N18" s="33">
        <v>0.80600000000000005</v>
      </c>
      <c r="O18" s="33">
        <v>0.77300000000000002</v>
      </c>
      <c r="P18" s="13"/>
      <c r="Q18" s="13"/>
      <c r="R18" s="13"/>
      <c r="S18" s="13"/>
      <c r="T18" s="35">
        <v>0.01</v>
      </c>
      <c r="U18" s="33">
        <v>2.7E-2</v>
      </c>
      <c r="V18" s="13"/>
      <c r="W18" s="13"/>
      <c r="X18" s="13"/>
      <c r="Y18" s="13"/>
      <c r="Z18" s="33">
        <v>8.2000000000000003E-2</v>
      </c>
      <c r="AA18" s="35">
        <v>0.13</v>
      </c>
      <c r="AB18" s="13"/>
      <c r="AC18" s="13"/>
      <c r="AD18" s="13"/>
      <c r="AE18" s="13"/>
      <c r="AF18" s="33">
        <v>6.4000000000000001E-2</v>
      </c>
      <c r="AG18" s="33">
        <v>6.9000000000000006E-2</v>
      </c>
      <c r="AH18" s="13"/>
      <c r="AI18" s="13"/>
      <c r="AJ18" s="13"/>
      <c r="AK18" s="13"/>
      <c r="AL18" s="33">
        <v>3.7999999999999999E-2</v>
      </c>
      <c r="AM18" s="33">
        <v>1E-3</v>
      </c>
      <c r="AN18" s="13"/>
      <c r="AO18" s="13"/>
      <c r="AP18" s="13"/>
      <c r="AQ18" s="13"/>
      <c r="AR18" s="28">
        <v>34.9</v>
      </c>
      <c r="AS18" s="28">
        <v>31.6</v>
      </c>
      <c r="AT18" s="13"/>
      <c r="AU18" s="13"/>
      <c r="AV18" s="13"/>
      <c r="AW18" s="13"/>
      <c r="AX18" s="33">
        <v>0.94699999999999995</v>
      </c>
      <c r="AY18" s="33">
        <v>0.89700000000000002</v>
      </c>
      <c r="AZ18" s="13"/>
      <c r="BA18" s="13"/>
      <c r="BB18" s="13"/>
      <c r="BC18" s="13"/>
      <c r="BD18" s="33">
        <v>0.38600000000000001</v>
      </c>
      <c r="BE18" s="33">
        <v>0.377</v>
      </c>
      <c r="BF18" s="13"/>
      <c r="BG18" s="13"/>
      <c r="BH18" s="13"/>
      <c r="BI18" s="13"/>
      <c r="BJ18" s="33">
        <v>0.06</v>
      </c>
      <c r="BK18" s="33">
        <v>6.4000000000000001E-2</v>
      </c>
      <c r="BL18" s="13"/>
      <c r="BM18" s="13"/>
      <c r="BN18" s="13"/>
      <c r="BO18" s="13"/>
      <c r="BP18" s="28">
        <v>28</v>
      </c>
      <c r="BQ18" s="28">
        <v>25</v>
      </c>
      <c r="BR18" s="13"/>
      <c r="BS18" s="13"/>
      <c r="BT18" s="13"/>
      <c r="BU18" s="13"/>
      <c r="BV18" s="28" t="s">
        <v>170</v>
      </c>
      <c r="BW18" s="28" t="s">
        <v>171</v>
      </c>
      <c r="BX18" s="13"/>
      <c r="BY18" s="13"/>
      <c r="BZ18" s="13"/>
      <c r="CA18" s="13"/>
      <c r="CB18" s="28" t="s">
        <v>172</v>
      </c>
      <c r="CC18" s="28" t="s">
        <v>173</v>
      </c>
      <c r="CD18" s="28"/>
      <c r="CE18" s="28"/>
      <c r="CF18" s="28"/>
      <c r="CG18" s="8"/>
      <c r="CH18" s="13"/>
      <c r="CI18" s="13"/>
      <c r="CJ18" s="13"/>
      <c r="CK18" s="13"/>
      <c r="CL18" s="13"/>
      <c r="CM18" s="13"/>
      <c r="CN18" s="13"/>
      <c r="CO18" s="13"/>
    </row>
    <row r="19" spans="1:93" ht="14.25" customHeight="1">
      <c r="A19" s="49">
        <v>46003</v>
      </c>
      <c r="B19" s="30">
        <f t="shared" si="0"/>
        <v>13</v>
      </c>
      <c r="C19" s="50" t="s">
        <v>174</v>
      </c>
      <c r="D19" s="60" t="s">
        <v>175</v>
      </c>
      <c r="E19" s="13" t="s">
        <v>176</v>
      </c>
      <c r="F19" s="13"/>
      <c r="G19" s="13" t="s">
        <v>177</v>
      </c>
      <c r="H19" s="13" t="s">
        <v>88</v>
      </c>
      <c r="I19" s="13" t="s">
        <v>45</v>
      </c>
      <c r="J19" s="13" t="s">
        <v>178</v>
      </c>
      <c r="K19" s="13" t="s">
        <v>179</v>
      </c>
      <c r="L19" s="13">
        <v>2</v>
      </c>
      <c r="M19" s="32">
        <v>9.1499999999999998E-2</v>
      </c>
      <c r="N19" s="33">
        <v>0.246</v>
      </c>
      <c r="O19" s="33">
        <v>0.51400000000000001</v>
      </c>
      <c r="P19" s="13"/>
      <c r="Q19" s="13"/>
      <c r="R19" s="13"/>
      <c r="S19" s="13"/>
      <c r="T19" s="33">
        <v>0.38900000000000001</v>
      </c>
      <c r="U19" s="33">
        <v>0.10199999999999999</v>
      </c>
      <c r="V19" s="13"/>
      <c r="W19" s="13"/>
      <c r="X19" s="13"/>
      <c r="Y19" s="13"/>
      <c r="Z19" s="33">
        <v>0.36499999999999999</v>
      </c>
      <c r="AA19" s="33">
        <v>0.376</v>
      </c>
      <c r="AB19" s="13"/>
      <c r="AC19" s="13"/>
      <c r="AD19" s="13"/>
      <c r="AE19" s="13"/>
      <c r="AF19" s="35">
        <v>0</v>
      </c>
      <c r="AG19" s="35">
        <v>0</v>
      </c>
      <c r="AH19" s="13"/>
      <c r="AI19" s="13"/>
      <c r="AJ19" s="13"/>
      <c r="AK19" s="13"/>
      <c r="AL19" s="35">
        <v>0</v>
      </c>
      <c r="AM19" s="33">
        <v>8.0000000000000002E-3</v>
      </c>
      <c r="AN19" s="13"/>
      <c r="AO19" s="13"/>
      <c r="AP19" s="13"/>
      <c r="AQ19" s="13"/>
      <c r="AR19" s="28">
        <v>91.4</v>
      </c>
      <c r="AS19" s="28">
        <v>48.8</v>
      </c>
      <c r="AT19" s="13"/>
      <c r="AU19" s="13"/>
      <c r="AV19" s="13"/>
      <c r="AW19" s="13"/>
      <c r="AX19" s="35">
        <v>0.55000000000000004</v>
      </c>
      <c r="AY19" s="33">
        <v>0.755</v>
      </c>
      <c r="AZ19" s="13"/>
      <c r="BA19" s="13"/>
      <c r="BB19" s="13"/>
      <c r="BC19" s="13"/>
      <c r="BD19" s="33">
        <v>0.26100000000000001</v>
      </c>
      <c r="BE19" s="35">
        <v>0.28000000000000003</v>
      </c>
      <c r="BF19" s="13"/>
      <c r="BG19" s="13"/>
      <c r="BH19" s="13"/>
      <c r="BI19" s="13"/>
      <c r="BJ19" s="33">
        <v>8.7999999999999995E-2</v>
      </c>
      <c r="BK19" s="33">
        <v>7.6999999999999999E-2</v>
      </c>
      <c r="BL19" s="13"/>
      <c r="BM19" s="13"/>
      <c r="BN19" s="13"/>
      <c r="BO19" s="13"/>
      <c r="BP19" s="28">
        <v>0</v>
      </c>
      <c r="BQ19" s="28">
        <v>2</v>
      </c>
      <c r="BR19" s="13"/>
      <c r="BS19" s="13"/>
      <c r="BT19" s="13"/>
      <c r="BU19" s="13"/>
      <c r="BV19" s="28">
        <v>0</v>
      </c>
      <c r="BW19" s="28" t="s">
        <v>180</v>
      </c>
      <c r="BX19" s="13"/>
      <c r="BY19" s="13"/>
      <c r="BZ19" s="13"/>
      <c r="CA19" s="13"/>
      <c r="CB19" s="28" t="s">
        <v>181</v>
      </c>
      <c r="CC19" s="28" t="s">
        <v>181</v>
      </c>
      <c r="CD19" s="28"/>
      <c r="CE19" s="28"/>
      <c r="CF19" s="28"/>
      <c r="CG19" s="8"/>
      <c r="CH19" s="28" t="s">
        <v>182</v>
      </c>
      <c r="CI19" s="13"/>
      <c r="CJ19" s="13"/>
      <c r="CK19" s="13"/>
      <c r="CL19" s="13"/>
      <c r="CM19" s="13"/>
      <c r="CN19" s="13"/>
      <c r="CO19" s="13"/>
    </row>
    <row r="20" spans="1:93">
      <c r="A20" s="47">
        <v>46006</v>
      </c>
      <c r="B20" s="30">
        <f t="shared" si="0"/>
        <v>14</v>
      </c>
      <c r="C20" s="31" t="s">
        <v>183</v>
      </c>
      <c r="D20" s="28" t="s">
        <v>184</v>
      </c>
      <c r="E20" s="13"/>
      <c r="F20" s="28" t="s">
        <v>185</v>
      </c>
      <c r="G20" s="28" t="s">
        <v>186</v>
      </c>
      <c r="H20" s="28" t="s">
        <v>72</v>
      </c>
      <c r="I20" s="13" t="s">
        <v>73</v>
      </c>
      <c r="J20" s="28" t="s">
        <v>46</v>
      </c>
      <c r="K20" s="28" t="s">
        <v>187</v>
      </c>
      <c r="L20" s="51">
        <v>45718</v>
      </c>
      <c r="M20" s="33">
        <v>9.4E-2</v>
      </c>
      <c r="N20" s="33">
        <v>0.77300000000000002</v>
      </c>
      <c r="O20" s="33">
        <v>0.88600000000000001</v>
      </c>
      <c r="P20" s="13"/>
      <c r="Q20" s="13"/>
      <c r="R20" s="13"/>
      <c r="S20" s="13"/>
      <c r="T20" s="33">
        <v>4.2000000000000003E-2</v>
      </c>
      <c r="U20" s="28">
        <v>1.6</v>
      </c>
      <c r="V20" s="13"/>
      <c r="W20" s="13"/>
      <c r="X20" s="13"/>
      <c r="Y20" s="13"/>
      <c r="Z20" s="33">
        <v>0.16400000000000001</v>
      </c>
      <c r="AA20" s="33">
        <v>9.4E-2</v>
      </c>
      <c r="AB20" s="13"/>
      <c r="AC20" s="13"/>
      <c r="AD20" s="13"/>
      <c r="AE20" s="13"/>
      <c r="AF20" s="35">
        <v>0.02</v>
      </c>
      <c r="AG20" s="33">
        <v>4.0000000000000001E-3</v>
      </c>
      <c r="AH20" s="13"/>
      <c r="AI20" s="13"/>
      <c r="AJ20" s="13"/>
      <c r="AK20" s="13"/>
      <c r="AL20" s="33">
        <v>1E-3</v>
      </c>
      <c r="AM20" s="28">
        <v>0</v>
      </c>
      <c r="AN20" s="13"/>
      <c r="AO20" s="13"/>
      <c r="AP20" s="13"/>
      <c r="AQ20" s="13"/>
      <c r="AR20" s="28">
        <v>24.9</v>
      </c>
      <c r="AS20" s="28">
        <v>11</v>
      </c>
      <c r="AT20" s="13"/>
      <c r="AU20" s="13"/>
      <c r="AV20" s="13"/>
      <c r="AW20" s="13"/>
      <c r="AX20" s="33">
        <v>0.96399999999999997</v>
      </c>
      <c r="AY20" s="33">
        <v>0.98199999999999998</v>
      </c>
      <c r="AZ20" s="13"/>
      <c r="BA20" s="13"/>
      <c r="BB20" s="13"/>
      <c r="BC20" s="13"/>
      <c r="BD20" s="33">
        <v>0.33800000000000002</v>
      </c>
      <c r="BE20" s="33">
        <v>0.27600000000000002</v>
      </c>
      <c r="BF20" s="13"/>
      <c r="BG20" s="13"/>
      <c r="BH20" s="13"/>
      <c r="BI20" s="13"/>
      <c r="BJ20" s="33">
        <v>6.8000000000000005E-2</v>
      </c>
      <c r="BK20" s="33">
        <v>6.5000000000000002E-2</v>
      </c>
      <c r="BL20" s="13"/>
      <c r="BM20" s="13"/>
      <c r="BN20" s="13"/>
      <c r="BO20" s="13"/>
      <c r="BP20" s="28">
        <v>8</v>
      </c>
      <c r="BQ20" s="28">
        <v>2</v>
      </c>
      <c r="BR20" s="13"/>
      <c r="BS20" s="13"/>
      <c r="BT20" s="13"/>
      <c r="BU20" s="13"/>
      <c r="BV20" s="28" t="s">
        <v>188</v>
      </c>
      <c r="BW20" s="28" t="s">
        <v>189</v>
      </c>
      <c r="BX20" s="13"/>
      <c r="BY20" s="13"/>
      <c r="BZ20" s="13"/>
      <c r="CA20" s="13"/>
      <c r="CB20" s="28" t="s">
        <v>190</v>
      </c>
      <c r="CC20" s="28" t="s">
        <v>191</v>
      </c>
      <c r="CD20" s="28"/>
      <c r="CE20" s="28"/>
      <c r="CF20" s="28"/>
      <c r="CG20" s="8"/>
      <c r="CH20" s="13"/>
      <c r="CI20" s="13"/>
      <c r="CJ20" s="13"/>
      <c r="CK20" s="13"/>
      <c r="CL20" s="13"/>
      <c r="CM20" s="13"/>
      <c r="CN20" s="13"/>
      <c r="CO20" s="13"/>
    </row>
    <row r="21" spans="1:93">
      <c r="A21" s="52">
        <v>46006</v>
      </c>
      <c r="B21" s="30">
        <f t="shared" si="0"/>
        <v>15</v>
      </c>
      <c r="C21" s="31" t="s">
        <v>192</v>
      </c>
      <c r="D21" s="28" t="s">
        <v>193</v>
      </c>
      <c r="E21" s="28" t="s">
        <v>194</v>
      </c>
      <c r="F21" s="13"/>
      <c r="G21" s="28" t="s">
        <v>195</v>
      </c>
      <c r="H21" s="28" t="s">
        <v>196</v>
      </c>
      <c r="I21" s="13" t="s">
        <v>45</v>
      </c>
      <c r="J21" s="28" t="s">
        <v>46</v>
      </c>
      <c r="K21" s="28" t="s">
        <v>197</v>
      </c>
      <c r="L21" s="28">
        <v>2</v>
      </c>
      <c r="M21" s="33">
        <v>8.6999999999999994E-2</v>
      </c>
      <c r="N21" s="33">
        <v>0.70599999999999996</v>
      </c>
      <c r="O21" s="35">
        <v>0.68</v>
      </c>
      <c r="P21" s="13"/>
      <c r="Q21" s="13"/>
      <c r="R21" s="13"/>
      <c r="S21" s="13"/>
      <c r="T21" s="33">
        <v>8.3000000000000004E-2</v>
      </c>
      <c r="U21" s="33">
        <v>8.1000000000000003E-2</v>
      </c>
      <c r="V21" s="13"/>
      <c r="W21" s="13"/>
      <c r="X21" s="13"/>
      <c r="Y21" s="13"/>
      <c r="Z21" s="33">
        <v>0.152</v>
      </c>
      <c r="AA21" s="33">
        <v>0.20599999999999999</v>
      </c>
      <c r="AB21" s="13"/>
      <c r="AC21" s="13"/>
      <c r="AD21" s="13"/>
      <c r="AE21" s="13"/>
      <c r="AF21" s="33">
        <v>5.8999999999999997E-2</v>
      </c>
      <c r="AG21" s="33">
        <v>3.1E-2</v>
      </c>
      <c r="AH21" s="13"/>
      <c r="AI21" s="13"/>
      <c r="AJ21" s="13"/>
      <c r="AK21" s="13"/>
      <c r="AL21" s="35">
        <v>0</v>
      </c>
      <c r="AM21" s="28">
        <v>0.2</v>
      </c>
      <c r="AN21" s="13"/>
      <c r="AO21" s="13"/>
      <c r="AP21" s="13"/>
      <c r="AQ21" s="13"/>
      <c r="AR21" s="28">
        <v>39.6</v>
      </c>
      <c r="AS21" s="28">
        <v>37.5</v>
      </c>
      <c r="AT21" s="13"/>
      <c r="AU21" s="13"/>
      <c r="AV21" s="13"/>
      <c r="AW21" s="13"/>
      <c r="AX21" s="33">
        <v>0.753</v>
      </c>
      <c r="AY21" s="33">
        <v>0.80300000000000005</v>
      </c>
      <c r="AZ21" s="13"/>
      <c r="BA21" s="13"/>
      <c r="BB21" s="13"/>
      <c r="BC21" s="13"/>
      <c r="BD21" s="33">
        <v>0.441</v>
      </c>
      <c r="BE21" s="33">
        <v>0.376</v>
      </c>
      <c r="BF21" s="13"/>
      <c r="BG21" s="13"/>
      <c r="BH21" s="13"/>
      <c r="BI21" s="13"/>
      <c r="BJ21" s="33">
        <v>6.8000000000000005E-2</v>
      </c>
      <c r="BK21" s="33">
        <v>7.0999999999999994E-2</v>
      </c>
      <c r="BL21" s="13"/>
      <c r="BM21" s="13"/>
      <c r="BN21" s="13"/>
      <c r="BO21" s="13"/>
      <c r="BP21" s="28">
        <v>24</v>
      </c>
      <c r="BQ21" s="28">
        <v>16</v>
      </c>
      <c r="BR21" s="13"/>
      <c r="BS21" s="13"/>
      <c r="BT21" s="13"/>
      <c r="BU21" s="13"/>
      <c r="BV21" s="28" t="s">
        <v>188</v>
      </c>
      <c r="BW21" s="28" t="s">
        <v>48</v>
      </c>
      <c r="BX21" s="13"/>
      <c r="BY21" s="13"/>
      <c r="BZ21" s="13"/>
      <c r="CA21" s="13"/>
      <c r="CB21" s="28" t="s">
        <v>198</v>
      </c>
      <c r="CC21" s="28" t="s">
        <v>199</v>
      </c>
      <c r="CD21" s="28"/>
      <c r="CE21" s="28"/>
      <c r="CF21" s="28"/>
      <c r="CG21" s="8"/>
      <c r="CH21" s="28" t="s">
        <v>200</v>
      </c>
      <c r="CI21" s="13"/>
      <c r="CJ21" s="13"/>
      <c r="CK21" s="13"/>
      <c r="CL21" s="13"/>
      <c r="CM21" s="13"/>
      <c r="CN21" s="13"/>
      <c r="CO21" s="13"/>
    </row>
    <row r="22" spans="1:93">
      <c r="A22" s="47">
        <v>46006</v>
      </c>
      <c r="B22" s="30">
        <f t="shared" si="0"/>
        <v>16</v>
      </c>
      <c r="C22" s="31" t="s">
        <v>201</v>
      </c>
      <c r="D22" s="24" t="s">
        <v>202</v>
      </c>
      <c r="E22" s="24" t="s">
        <v>203</v>
      </c>
      <c r="F22" s="8"/>
      <c r="G22" s="24" t="s">
        <v>204</v>
      </c>
      <c r="H22" s="24" t="s">
        <v>205</v>
      </c>
      <c r="I22" s="24" t="s">
        <v>45</v>
      </c>
      <c r="J22" s="24" t="s">
        <v>46</v>
      </c>
      <c r="K22" s="24" t="s">
        <v>206</v>
      </c>
      <c r="L22" s="24">
        <v>5</v>
      </c>
      <c r="M22" s="36">
        <v>0.107</v>
      </c>
      <c r="N22" s="33">
        <v>0.75700000000000001</v>
      </c>
      <c r="O22" s="33">
        <v>0.67100000000000004</v>
      </c>
      <c r="P22" s="13"/>
      <c r="Q22" s="13"/>
      <c r="R22" s="13"/>
      <c r="S22" s="13"/>
      <c r="T22" s="33">
        <v>2.5999999999999999E-2</v>
      </c>
      <c r="U22" s="33">
        <v>5.5E-2</v>
      </c>
      <c r="V22" s="13"/>
      <c r="W22" s="13"/>
      <c r="X22" s="13"/>
      <c r="Y22" s="13"/>
      <c r="Z22" s="33">
        <v>0.14899999999999999</v>
      </c>
      <c r="AA22" s="33">
        <v>0.20899999999999999</v>
      </c>
      <c r="AB22" s="13"/>
      <c r="AC22" s="13"/>
      <c r="AD22" s="13"/>
      <c r="AE22" s="13"/>
      <c r="AF22" s="33">
        <v>6.3E-2</v>
      </c>
      <c r="AG22" s="33">
        <v>5.3999999999999999E-2</v>
      </c>
      <c r="AH22" s="13"/>
      <c r="AI22" s="13"/>
      <c r="AJ22" s="13"/>
      <c r="AK22" s="13"/>
      <c r="AL22" s="33">
        <v>5.0000000000000001E-3</v>
      </c>
      <c r="AM22" s="33">
        <v>1.0999999999999999E-2</v>
      </c>
      <c r="AN22" s="13"/>
      <c r="AO22" s="13"/>
      <c r="AP22" s="13"/>
      <c r="AQ22" s="13"/>
      <c r="AR22" s="28">
        <v>32.700000000000003</v>
      </c>
      <c r="AS22" s="28">
        <v>41.8</v>
      </c>
      <c r="AT22" s="13"/>
      <c r="AU22" s="13"/>
      <c r="AV22" s="13"/>
      <c r="AW22" s="13"/>
      <c r="AX22" s="33">
        <v>0.72599999999999998</v>
      </c>
      <c r="AY22" s="33">
        <v>0.88400000000000001</v>
      </c>
      <c r="AZ22" s="13"/>
      <c r="BA22" s="13"/>
      <c r="BB22" s="13"/>
      <c r="BC22" s="13"/>
      <c r="BD22" s="33">
        <v>0.38900000000000001</v>
      </c>
      <c r="BE22" s="35">
        <v>0.4</v>
      </c>
      <c r="BF22" s="13"/>
      <c r="BG22" s="13"/>
      <c r="BH22" s="13"/>
      <c r="BI22" s="13"/>
      <c r="BJ22" s="33">
        <v>6.4000000000000001E-2</v>
      </c>
      <c r="BK22" s="33">
        <v>6.8000000000000005E-2</v>
      </c>
      <c r="BL22" s="13"/>
      <c r="BM22" s="13"/>
      <c r="BN22" s="13"/>
      <c r="BO22" s="13"/>
      <c r="BP22" s="28">
        <v>37</v>
      </c>
      <c r="BQ22" s="28">
        <v>25</v>
      </c>
      <c r="BR22" s="13"/>
      <c r="BS22" s="13"/>
      <c r="BT22" s="13"/>
      <c r="BU22" s="13"/>
      <c r="BV22" s="28" t="s">
        <v>207</v>
      </c>
      <c r="BW22" s="28" t="s">
        <v>208</v>
      </c>
      <c r="BX22" s="13"/>
      <c r="BY22" s="13"/>
      <c r="BZ22" s="13"/>
      <c r="CA22" s="13"/>
      <c r="CB22" s="28" t="s">
        <v>209</v>
      </c>
      <c r="CC22" s="28" t="s">
        <v>210</v>
      </c>
      <c r="CD22" s="28"/>
      <c r="CE22" s="28"/>
      <c r="CF22" s="28"/>
      <c r="CG22" s="8"/>
      <c r="CH22" s="13"/>
      <c r="CI22" s="13"/>
      <c r="CJ22" s="13"/>
      <c r="CK22" s="13"/>
      <c r="CL22" s="13"/>
      <c r="CM22" s="13"/>
      <c r="CN22" s="13"/>
      <c r="CO22" s="13"/>
    </row>
    <row r="23" spans="1:93" ht="15.75" customHeight="1">
      <c r="A23" s="47">
        <v>46008</v>
      </c>
      <c r="B23" s="30">
        <f t="shared" si="0"/>
        <v>17</v>
      </c>
      <c r="C23" s="41" t="s">
        <v>231</v>
      </c>
      <c r="D23" s="24" t="s">
        <v>232</v>
      </c>
      <c r="E23" s="8"/>
      <c r="F23" s="24" t="s">
        <v>233</v>
      </c>
      <c r="G23" s="24" t="s">
        <v>234</v>
      </c>
      <c r="H23" s="24" t="s">
        <v>58</v>
      </c>
      <c r="I23" s="24" t="s">
        <v>225</v>
      </c>
      <c r="J23" s="24" t="s">
        <v>46</v>
      </c>
      <c r="K23" s="24" t="s">
        <v>235</v>
      </c>
      <c r="L23" s="24">
        <v>3</v>
      </c>
      <c r="M23" s="36">
        <v>0.13100000000000001</v>
      </c>
      <c r="N23" s="36">
        <v>0.67200000000000004</v>
      </c>
      <c r="O23" s="36">
        <v>0.71599999999999997</v>
      </c>
      <c r="P23" s="8"/>
      <c r="Q23" s="8"/>
      <c r="R23" s="8"/>
      <c r="S23" s="8"/>
      <c r="T23" s="36">
        <v>5.3999999999999999E-2</v>
      </c>
      <c r="U23" s="36">
        <v>3.5000000000000003E-2</v>
      </c>
      <c r="V23" s="8"/>
      <c r="W23" s="8"/>
      <c r="X23" s="8"/>
      <c r="Y23" s="8"/>
      <c r="Z23" s="36">
        <v>0.26100000000000001</v>
      </c>
      <c r="AA23" s="36">
        <v>0.19700000000000001</v>
      </c>
      <c r="AB23" s="8"/>
      <c r="AC23" s="8"/>
      <c r="AD23" s="8"/>
      <c r="AE23" s="8"/>
      <c r="AF23" s="36">
        <v>1.2999999999999999E-2</v>
      </c>
      <c r="AG23" s="36">
        <v>2.9000000000000001E-2</v>
      </c>
      <c r="AH23" s="8"/>
      <c r="AI23" s="8"/>
      <c r="AJ23" s="8"/>
      <c r="AK23" s="8"/>
      <c r="AL23" s="40">
        <v>0</v>
      </c>
      <c r="AM23" s="36">
        <v>2.3E-2</v>
      </c>
      <c r="AN23" s="8"/>
      <c r="AO23" s="8"/>
      <c r="AP23" s="8"/>
      <c r="AQ23" s="8"/>
      <c r="AR23" s="24">
        <v>32.6</v>
      </c>
      <c r="AS23" s="24">
        <v>35.200000000000003</v>
      </c>
      <c r="AT23" s="8"/>
      <c r="AU23" s="8"/>
      <c r="AV23" s="8"/>
      <c r="AW23" s="8"/>
      <c r="AX23" s="40">
        <v>0.94</v>
      </c>
      <c r="AY23" s="36">
        <v>0.95399999999999996</v>
      </c>
      <c r="AZ23" s="8"/>
      <c r="BA23" s="8"/>
      <c r="BB23" s="8"/>
      <c r="BC23" s="8"/>
      <c r="BD23" s="40">
        <v>0.34</v>
      </c>
      <c r="BE23" s="40">
        <v>0.38</v>
      </c>
      <c r="BF23" s="8"/>
      <c r="BG23" s="8"/>
      <c r="BH23" s="8"/>
      <c r="BI23" s="8"/>
      <c r="BJ23" s="40">
        <v>7.0000000000000007E-2</v>
      </c>
      <c r="BK23" s="24" t="s">
        <v>236</v>
      </c>
      <c r="BL23" s="8"/>
      <c r="BM23" s="8"/>
      <c r="BN23" s="8"/>
      <c r="BO23" s="8"/>
      <c r="BP23" s="24">
        <v>4</v>
      </c>
      <c r="BQ23" s="24">
        <v>7</v>
      </c>
      <c r="BR23" s="8"/>
      <c r="BS23" s="8"/>
      <c r="BT23" s="8"/>
      <c r="BU23" s="8"/>
      <c r="BV23" s="24" t="s">
        <v>237</v>
      </c>
      <c r="BW23" s="24" t="s">
        <v>238</v>
      </c>
      <c r="BX23" s="8"/>
      <c r="BY23" s="8"/>
      <c r="BZ23" s="8"/>
      <c r="CA23" s="8"/>
      <c r="CB23" s="24" t="s">
        <v>239</v>
      </c>
      <c r="CC23" s="24" t="s">
        <v>239</v>
      </c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</row>
    <row r="24" spans="1:93" ht="15.75" customHeight="1">
      <c r="A24" s="47">
        <v>46008</v>
      </c>
      <c r="B24" s="30">
        <f t="shared" si="0"/>
        <v>18</v>
      </c>
      <c r="C24" s="42" t="s">
        <v>240</v>
      </c>
      <c r="D24" s="24" t="s">
        <v>241</v>
      </c>
      <c r="E24" s="8"/>
      <c r="F24" s="24" t="s">
        <v>242</v>
      </c>
      <c r="G24" s="24" t="s">
        <v>243</v>
      </c>
      <c r="H24" s="24" t="s">
        <v>58</v>
      </c>
      <c r="I24" s="24" t="s">
        <v>45</v>
      </c>
      <c r="J24" s="24" t="s">
        <v>46</v>
      </c>
      <c r="K24" s="24" t="s">
        <v>244</v>
      </c>
      <c r="L24" s="24">
        <v>3</v>
      </c>
      <c r="M24" s="36">
        <v>9.7000000000000003E-2</v>
      </c>
      <c r="N24" s="36">
        <v>0.78300000000000003</v>
      </c>
      <c r="O24" s="36">
        <v>0.77600000000000002</v>
      </c>
      <c r="P24" s="8"/>
      <c r="Q24" s="8"/>
      <c r="R24" s="8"/>
      <c r="S24" s="8"/>
      <c r="T24" s="36">
        <v>4.5999999999999999E-2</v>
      </c>
      <c r="U24" s="36">
        <v>5.0999999999999997E-2</v>
      </c>
      <c r="V24" s="8"/>
      <c r="W24" s="8"/>
      <c r="X24" s="8"/>
      <c r="Y24" s="8"/>
      <c r="Z24" s="36">
        <v>0.14699999999999999</v>
      </c>
      <c r="AA24" s="36">
        <v>9.9000000000000005E-2</v>
      </c>
      <c r="AB24" s="8"/>
      <c r="AC24" s="8"/>
      <c r="AD24" s="8"/>
      <c r="AE24" s="8"/>
      <c r="AF24" s="36">
        <v>2.3E-2</v>
      </c>
      <c r="AG24" s="36">
        <v>4.2000000000000003E-2</v>
      </c>
      <c r="AH24" s="8"/>
      <c r="AI24" s="8"/>
      <c r="AJ24" s="8"/>
      <c r="AK24" s="8"/>
      <c r="AL24" s="36">
        <v>1E-3</v>
      </c>
      <c r="AM24" s="36">
        <v>3.2000000000000001E-2</v>
      </c>
      <c r="AN24" s="8"/>
      <c r="AO24" s="8"/>
      <c r="AP24" s="8"/>
      <c r="AQ24" s="8"/>
      <c r="AR24" s="24">
        <v>24.9</v>
      </c>
      <c r="AS24" s="24">
        <v>35.799999999999997</v>
      </c>
      <c r="AT24" s="8"/>
      <c r="AU24" s="8"/>
      <c r="AV24" s="8"/>
      <c r="AW24" s="8"/>
      <c r="AX24" s="40">
        <v>0.98</v>
      </c>
      <c r="AY24" s="36">
        <v>0.98799999999999999</v>
      </c>
      <c r="AZ24" s="8"/>
      <c r="BA24" s="8"/>
      <c r="BB24" s="8"/>
      <c r="BC24" s="8"/>
      <c r="BD24" s="36">
        <v>0.377</v>
      </c>
      <c r="BE24" s="36">
        <v>0.433</v>
      </c>
      <c r="BF24" s="8"/>
      <c r="BG24" s="8"/>
      <c r="BH24" s="8"/>
      <c r="BI24" s="8"/>
      <c r="BJ24" s="36">
        <v>6.6000000000000003E-2</v>
      </c>
      <c r="BK24" s="24" t="s">
        <v>236</v>
      </c>
      <c r="BL24" s="8"/>
      <c r="BM24" s="8"/>
      <c r="BN24" s="8"/>
      <c r="BO24" s="8"/>
      <c r="BP24" s="24">
        <v>9</v>
      </c>
      <c r="BQ24" s="24">
        <v>11</v>
      </c>
      <c r="BR24" s="8"/>
      <c r="BS24" s="8"/>
      <c r="BT24" s="8"/>
      <c r="BU24" s="8"/>
      <c r="BV24" s="24" t="s">
        <v>142</v>
      </c>
      <c r="BW24" s="24" t="s">
        <v>245</v>
      </c>
      <c r="BX24" s="8"/>
      <c r="BY24" s="8"/>
      <c r="BZ24" s="8"/>
      <c r="CA24" s="8"/>
      <c r="CB24" s="24" t="s">
        <v>246</v>
      </c>
      <c r="CC24" s="24" t="s">
        <v>247</v>
      </c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</row>
    <row r="25" spans="1:93" ht="18" customHeight="1">
      <c r="A25" s="47">
        <v>6693422</v>
      </c>
      <c r="B25" s="30">
        <f t="shared" si="0"/>
        <v>19</v>
      </c>
      <c r="C25" s="42" t="s">
        <v>248</v>
      </c>
      <c r="D25" s="60" t="s">
        <v>249</v>
      </c>
      <c r="E25" s="8"/>
      <c r="F25" s="24" t="s">
        <v>250</v>
      </c>
      <c r="G25" s="24" t="s">
        <v>251</v>
      </c>
      <c r="H25" s="24" t="s">
        <v>205</v>
      </c>
      <c r="I25" s="24" t="s">
        <v>225</v>
      </c>
      <c r="J25" s="24" t="s">
        <v>46</v>
      </c>
      <c r="K25" s="24" t="s">
        <v>252</v>
      </c>
      <c r="L25" s="24">
        <v>3</v>
      </c>
      <c r="M25" s="36">
        <v>0.114</v>
      </c>
      <c r="N25" s="40">
        <v>0.45</v>
      </c>
      <c r="O25" s="8"/>
      <c r="P25" s="8"/>
      <c r="Q25" s="8"/>
      <c r="R25" s="8"/>
      <c r="S25" s="8"/>
      <c r="T25" s="36">
        <v>0.223</v>
      </c>
      <c r="U25" s="8"/>
      <c r="V25" s="8"/>
      <c r="W25" s="8"/>
      <c r="X25" s="8"/>
      <c r="Y25" s="8"/>
      <c r="Z25" s="36">
        <v>0.251</v>
      </c>
      <c r="AA25" s="8"/>
      <c r="AB25" s="8"/>
      <c r="AC25" s="8"/>
      <c r="AD25" s="8"/>
      <c r="AE25" s="8"/>
      <c r="AF25" s="36">
        <v>6.0999999999999999E-2</v>
      </c>
      <c r="AG25" s="8"/>
      <c r="AH25" s="8"/>
      <c r="AI25" s="8"/>
      <c r="AJ25" s="8"/>
      <c r="AK25" s="8"/>
      <c r="AL25" s="24">
        <v>1.5</v>
      </c>
      <c r="AM25" s="8"/>
      <c r="AN25" s="8"/>
      <c r="AO25" s="8"/>
      <c r="AP25" s="8"/>
      <c r="AQ25" s="8"/>
      <c r="AR25" s="24">
        <v>74.900000000000006</v>
      </c>
      <c r="AS25" s="8"/>
      <c r="AT25" s="8"/>
      <c r="AU25" s="8"/>
      <c r="AV25" s="8"/>
      <c r="AW25" s="8"/>
      <c r="AX25" s="36">
        <v>0.61299999999999999</v>
      </c>
      <c r="AY25" s="8"/>
      <c r="AZ25" s="8"/>
      <c r="BA25" s="8"/>
      <c r="BB25" s="8"/>
      <c r="BC25" s="8"/>
      <c r="BD25" s="36">
        <v>0.48599999999999999</v>
      </c>
      <c r="BE25" s="8"/>
      <c r="BF25" s="8"/>
      <c r="BG25" s="8"/>
      <c r="BH25" s="8"/>
      <c r="BI25" s="8"/>
      <c r="BJ25" s="36">
        <v>7.6999999999999999E-2</v>
      </c>
      <c r="BK25" s="8"/>
      <c r="BL25" s="8"/>
      <c r="BM25" s="8"/>
      <c r="BN25" s="8"/>
      <c r="BO25" s="8"/>
      <c r="BP25" s="24">
        <v>19</v>
      </c>
      <c r="BQ25" s="8"/>
      <c r="BR25" s="8"/>
      <c r="BS25" s="8"/>
      <c r="BT25" s="8"/>
      <c r="BU25" s="8"/>
      <c r="BV25" s="24" t="s">
        <v>253</v>
      </c>
      <c r="BW25" s="8"/>
      <c r="BX25" s="8"/>
      <c r="BY25" s="8"/>
      <c r="BZ25" s="8"/>
      <c r="CA25" s="8"/>
      <c r="CB25" s="24" t="s">
        <v>254</v>
      </c>
      <c r="CC25" s="8"/>
      <c r="CD25" s="8"/>
      <c r="CE25" s="8"/>
      <c r="CF25" s="8"/>
      <c r="CG25" s="8"/>
      <c r="CH25" s="24" t="s">
        <v>255</v>
      </c>
      <c r="CI25" s="8"/>
      <c r="CJ25" s="8"/>
      <c r="CK25" s="8"/>
      <c r="CL25" s="8"/>
      <c r="CM25" s="8"/>
      <c r="CN25" s="8"/>
      <c r="CO25" s="8"/>
    </row>
    <row r="26" spans="1:93" ht="15.75" customHeight="1">
      <c r="A26" s="47">
        <v>46009</v>
      </c>
      <c r="B26" s="30">
        <f t="shared" si="0"/>
        <v>20</v>
      </c>
      <c r="C26" s="42" t="s">
        <v>256</v>
      </c>
      <c r="D26" s="24" t="s">
        <v>257</v>
      </c>
      <c r="E26" s="8"/>
      <c r="F26" s="24" t="s">
        <v>258</v>
      </c>
      <c r="G26" s="24" t="s">
        <v>259</v>
      </c>
      <c r="H26" s="24" t="s">
        <v>196</v>
      </c>
      <c r="I26" s="24" t="s">
        <v>225</v>
      </c>
      <c r="J26" s="24" t="s">
        <v>46</v>
      </c>
      <c r="K26" s="24" t="s">
        <v>260</v>
      </c>
      <c r="L26" s="24">
        <v>3</v>
      </c>
      <c r="M26" s="36">
        <v>9.3700000000000006E-2</v>
      </c>
      <c r="N26" s="36">
        <v>0.51100000000000001</v>
      </c>
      <c r="O26" s="8"/>
      <c r="P26" s="8"/>
      <c r="Q26" s="8"/>
      <c r="R26" s="8"/>
      <c r="S26" s="8"/>
      <c r="T26" s="36">
        <v>7.5999999999999998E-2</v>
      </c>
      <c r="U26" s="8"/>
      <c r="V26" s="8"/>
      <c r="W26" s="8"/>
      <c r="X26" s="8"/>
      <c r="Y26" s="8"/>
      <c r="Z26" s="36">
        <v>0.20499999999999999</v>
      </c>
      <c r="AA26" s="8"/>
      <c r="AB26" s="8"/>
      <c r="AC26" s="8"/>
      <c r="AD26" s="8"/>
      <c r="AE26" s="8"/>
      <c r="AF26" s="36">
        <v>0.14899999999999999</v>
      </c>
      <c r="AG26" s="8"/>
      <c r="AH26" s="8"/>
      <c r="AI26" s="8"/>
      <c r="AJ26" s="8"/>
      <c r="AK26" s="8"/>
      <c r="AL26" s="36">
        <v>5.8999999999999997E-2</v>
      </c>
      <c r="AM26" s="8"/>
      <c r="AN26" s="8"/>
      <c r="AO26" s="8"/>
      <c r="AP26" s="8"/>
      <c r="AQ26" s="8"/>
      <c r="AR26" s="24">
        <v>82</v>
      </c>
      <c r="AS26" s="8"/>
      <c r="AT26" s="8"/>
      <c r="AU26" s="8"/>
      <c r="AV26" s="8"/>
      <c r="AW26" s="8"/>
      <c r="AX26" s="36">
        <v>0.996</v>
      </c>
      <c r="AY26" s="8"/>
      <c r="AZ26" s="8"/>
      <c r="BA26" s="8"/>
      <c r="BB26" s="8"/>
      <c r="BC26" s="8"/>
      <c r="BD26" s="24" t="s">
        <v>261</v>
      </c>
      <c r="BE26" s="8"/>
      <c r="BF26" s="8"/>
      <c r="BG26" s="8"/>
      <c r="BH26" s="8"/>
      <c r="BI26" s="8"/>
      <c r="BJ26" s="24" t="s">
        <v>236</v>
      </c>
      <c r="BK26" s="8"/>
      <c r="BL26" s="8"/>
      <c r="BM26" s="8"/>
      <c r="BN26" s="8"/>
      <c r="BO26" s="8"/>
      <c r="BP26" s="24">
        <v>6</v>
      </c>
      <c r="BQ26" s="8"/>
      <c r="BR26" s="8"/>
      <c r="BS26" s="8"/>
      <c r="BT26" s="8"/>
      <c r="BU26" s="8"/>
      <c r="BV26" s="24" t="s">
        <v>262</v>
      </c>
      <c r="BW26" s="8"/>
      <c r="BX26" s="8"/>
      <c r="BY26" s="8"/>
      <c r="BZ26" s="8"/>
      <c r="CA26" s="8"/>
      <c r="CB26" s="24" t="s">
        <v>263</v>
      </c>
      <c r="CC26" s="8"/>
      <c r="CD26" s="8"/>
      <c r="CE26" s="8"/>
      <c r="CF26" s="8"/>
      <c r="CG26" s="8"/>
      <c r="CH26" s="24" t="s">
        <v>264</v>
      </c>
      <c r="CI26" s="8"/>
      <c r="CJ26" s="8"/>
      <c r="CK26" s="8"/>
      <c r="CL26" s="8"/>
      <c r="CM26" s="8"/>
      <c r="CN26" s="8"/>
      <c r="CO26" s="8"/>
    </row>
    <row r="27" spans="1:93" ht="15.75" customHeight="1">
      <c r="A27" s="47">
        <v>46009</v>
      </c>
      <c r="B27" s="30">
        <f t="shared" si="0"/>
        <v>21</v>
      </c>
      <c r="C27" s="42" t="s">
        <v>265</v>
      </c>
      <c r="D27" s="24" t="s">
        <v>266</v>
      </c>
      <c r="E27" s="8"/>
      <c r="F27" s="24" t="s">
        <v>267</v>
      </c>
      <c r="G27" s="24" t="s">
        <v>268</v>
      </c>
      <c r="H27" s="24" t="s">
        <v>150</v>
      </c>
      <c r="I27" s="24" t="s">
        <v>225</v>
      </c>
      <c r="J27" s="24" t="s">
        <v>46</v>
      </c>
      <c r="K27" s="24" t="s">
        <v>269</v>
      </c>
      <c r="L27" s="24">
        <v>3</v>
      </c>
      <c r="M27" s="36">
        <v>0.107</v>
      </c>
      <c r="N27" s="36">
        <v>0.63500000000000001</v>
      </c>
      <c r="O27" s="36">
        <v>0.65800000000000003</v>
      </c>
      <c r="P27" s="8"/>
      <c r="Q27" s="8"/>
      <c r="R27" s="8"/>
      <c r="S27" s="8"/>
      <c r="T27" s="40">
        <v>0.11</v>
      </c>
      <c r="U27" s="36">
        <v>3.2000000000000001E-2</v>
      </c>
      <c r="V27" s="8"/>
      <c r="W27" s="8"/>
      <c r="X27" s="8"/>
      <c r="Y27" s="8"/>
      <c r="Z27" s="36">
        <v>0.16400000000000001</v>
      </c>
      <c r="AA27" s="40">
        <v>0.28999999999999998</v>
      </c>
      <c r="AB27" s="8"/>
      <c r="AC27" s="8"/>
      <c r="AD27" s="8"/>
      <c r="AE27" s="8"/>
      <c r="AF27" s="40">
        <v>0.09</v>
      </c>
      <c r="AG27" s="36">
        <v>1.9E-2</v>
      </c>
      <c r="AH27" s="8"/>
      <c r="AI27" s="8"/>
      <c r="AJ27" s="8"/>
      <c r="AK27" s="8"/>
      <c r="AL27" s="40">
        <v>0.01</v>
      </c>
      <c r="AM27" s="36">
        <v>1E-3</v>
      </c>
      <c r="AN27" s="8"/>
      <c r="AO27" s="8"/>
      <c r="AP27" s="8"/>
      <c r="AQ27" s="8"/>
      <c r="AR27" s="24">
        <v>52.6</v>
      </c>
      <c r="AS27" s="24">
        <v>33.200000000000003</v>
      </c>
      <c r="AT27" s="8"/>
      <c r="AU27" s="8"/>
      <c r="AV27" s="8"/>
      <c r="AW27" s="8"/>
      <c r="AX27" s="36">
        <v>0.79900000000000004</v>
      </c>
      <c r="AY27" s="36">
        <v>0.871</v>
      </c>
      <c r="AZ27" s="8"/>
      <c r="BA27" s="8"/>
      <c r="BB27" s="8"/>
      <c r="BC27" s="8"/>
      <c r="BD27" s="36">
        <v>0.503</v>
      </c>
      <c r="BE27" s="36">
        <v>0.32700000000000001</v>
      </c>
      <c r="BF27" s="8"/>
      <c r="BG27" s="8"/>
      <c r="BH27" s="8"/>
      <c r="BI27" s="8"/>
      <c r="BJ27" s="36">
        <v>6.9000000000000006E-2</v>
      </c>
      <c r="BK27" s="36">
        <v>7.0000000000000007E-2</v>
      </c>
      <c r="BL27" s="8"/>
      <c r="BM27" s="8"/>
      <c r="BN27" s="8"/>
      <c r="BO27" s="8"/>
      <c r="BP27" s="24">
        <v>28</v>
      </c>
      <c r="BQ27" s="24">
        <v>9</v>
      </c>
      <c r="BR27" s="8"/>
      <c r="BS27" s="8"/>
      <c r="BT27" s="8"/>
      <c r="BU27" s="8"/>
      <c r="BV27" s="24" t="s">
        <v>270</v>
      </c>
      <c r="BW27" s="24" t="s">
        <v>271</v>
      </c>
      <c r="BX27" s="8"/>
      <c r="BY27" s="8"/>
      <c r="BZ27" s="8"/>
      <c r="CA27" s="8"/>
      <c r="CB27" s="24" t="s">
        <v>272</v>
      </c>
      <c r="CC27" s="24" t="s">
        <v>272</v>
      </c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</row>
    <row r="28" spans="1:93" ht="16.5" customHeight="1">
      <c r="A28" s="47">
        <v>46009</v>
      </c>
      <c r="B28" s="30">
        <f t="shared" si="0"/>
        <v>22</v>
      </c>
      <c r="C28" s="42" t="s">
        <v>273</v>
      </c>
      <c r="D28" s="24" t="s">
        <v>274</v>
      </c>
      <c r="E28" s="8"/>
      <c r="F28" s="24" t="s">
        <v>275</v>
      </c>
      <c r="G28" s="24" t="s">
        <v>276</v>
      </c>
      <c r="H28" s="24" t="s">
        <v>150</v>
      </c>
      <c r="I28" s="24" t="s">
        <v>45</v>
      </c>
      <c r="J28" s="24" t="s">
        <v>46</v>
      </c>
      <c r="K28" s="24" t="s">
        <v>277</v>
      </c>
      <c r="L28" s="61">
        <v>45718</v>
      </c>
      <c r="M28" s="36">
        <v>8.8999999999999996E-2</v>
      </c>
      <c r="N28" s="40">
        <v>0.64</v>
      </c>
      <c r="O28" s="36">
        <v>0.78700000000000003</v>
      </c>
      <c r="P28" s="8"/>
      <c r="Q28" s="8"/>
      <c r="R28" s="8"/>
      <c r="S28" s="8"/>
      <c r="T28" s="40">
        <v>0.1</v>
      </c>
      <c r="U28" s="40">
        <v>0.03</v>
      </c>
      <c r="V28" s="8"/>
      <c r="W28" s="8"/>
      <c r="X28" s="8"/>
      <c r="Y28" s="8"/>
      <c r="Z28" s="40">
        <v>0.26</v>
      </c>
      <c r="AA28" s="36">
        <v>0.17599999999999999</v>
      </c>
      <c r="AB28" s="8"/>
      <c r="AC28" s="8"/>
      <c r="AD28" s="8"/>
      <c r="AE28" s="8"/>
      <c r="AF28" s="40">
        <v>0</v>
      </c>
      <c r="AG28" s="36">
        <v>7.0000000000000001E-3</v>
      </c>
      <c r="AH28" s="8"/>
      <c r="AI28" s="8"/>
      <c r="AJ28" s="8"/>
      <c r="AK28" s="8"/>
      <c r="AL28" s="40">
        <v>0</v>
      </c>
      <c r="AM28" s="40">
        <v>0</v>
      </c>
      <c r="AN28" s="8"/>
      <c r="AO28" s="8"/>
      <c r="AP28" s="8"/>
      <c r="AQ28" s="8"/>
      <c r="AR28" s="24">
        <v>36.799999999999997</v>
      </c>
      <c r="AS28" s="24">
        <v>20.6</v>
      </c>
      <c r="AT28" s="8"/>
      <c r="AU28" s="8"/>
      <c r="AV28" s="8"/>
      <c r="AW28" s="8"/>
      <c r="AX28" s="36">
        <v>0.75900000000000001</v>
      </c>
      <c r="AY28" s="36">
        <v>0.875</v>
      </c>
      <c r="AZ28" s="8"/>
      <c r="BA28" s="8"/>
      <c r="BB28" s="8"/>
      <c r="BC28" s="8"/>
      <c r="BD28" s="36">
        <v>0.38400000000000001</v>
      </c>
      <c r="BE28" s="36">
        <v>0.35699999999999998</v>
      </c>
      <c r="BF28" s="8"/>
      <c r="BG28" s="8"/>
      <c r="BH28" s="8"/>
      <c r="BI28" s="8"/>
      <c r="BJ28" s="36">
        <v>7.1999999999999995E-2</v>
      </c>
      <c r="BK28" s="36">
        <v>6.7000000000000004E-2</v>
      </c>
      <c r="BL28" s="8"/>
      <c r="BM28" s="8"/>
      <c r="BN28" s="8"/>
      <c r="BO28" s="8"/>
      <c r="BP28" s="24">
        <v>0</v>
      </c>
      <c r="BQ28" s="24">
        <v>2</v>
      </c>
      <c r="BR28" s="8"/>
      <c r="BS28" s="8"/>
      <c r="BT28" s="8"/>
      <c r="BU28" s="8"/>
      <c r="BV28" s="24" t="s">
        <v>112</v>
      </c>
      <c r="BW28" s="24" t="s">
        <v>161</v>
      </c>
      <c r="BX28" s="8"/>
      <c r="BY28" s="8"/>
      <c r="BZ28" s="8"/>
      <c r="CA28" s="8"/>
      <c r="CB28" s="24" t="s">
        <v>278</v>
      </c>
      <c r="CC28" s="24" t="s">
        <v>278</v>
      </c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</row>
    <row r="29" spans="1:93" ht="15.75" customHeight="1">
      <c r="A29" s="47">
        <v>46015</v>
      </c>
      <c r="B29" s="30">
        <f t="shared" si="0"/>
        <v>23</v>
      </c>
      <c r="C29" s="42" t="s">
        <v>279</v>
      </c>
      <c r="D29" s="24" t="s">
        <v>280</v>
      </c>
      <c r="E29" s="24" t="s">
        <v>281</v>
      </c>
      <c r="F29" s="8"/>
      <c r="G29" s="24" t="s">
        <v>282</v>
      </c>
      <c r="H29" s="24" t="s">
        <v>72</v>
      </c>
      <c r="I29" s="24" t="s">
        <v>45</v>
      </c>
      <c r="J29" s="24" t="s">
        <v>46</v>
      </c>
      <c r="K29" s="24" t="s">
        <v>283</v>
      </c>
      <c r="L29" s="24">
        <v>6</v>
      </c>
      <c r="M29" s="36">
        <v>6.8400000000000002E-2</v>
      </c>
      <c r="N29" s="36">
        <v>0.85799999999999998</v>
      </c>
      <c r="O29" s="8"/>
      <c r="P29" s="8"/>
      <c r="Q29" s="8"/>
      <c r="R29" s="8"/>
      <c r="S29" s="8"/>
      <c r="T29" s="36">
        <v>1.7000000000000001E-2</v>
      </c>
      <c r="U29" s="8"/>
      <c r="V29" s="8"/>
      <c r="W29" s="8"/>
      <c r="X29" s="8"/>
      <c r="Y29" s="8"/>
      <c r="Z29" s="36">
        <v>9.7000000000000003E-2</v>
      </c>
      <c r="AA29" s="8"/>
      <c r="AB29" s="8"/>
      <c r="AC29" s="8"/>
      <c r="AD29" s="8"/>
      <c r="AE29" s="8"/>
      <c r="AF29" s="36">
        <v>2.8000000000000001E-2</v>
      </c>
      <c r="AG29" s="8"/>
      <c r="AH29" s="8"/>
      <c r="AI29" s="8"/>
      <c r="AJ29" s="8"/>
      <c r="AK29" s="8"/>
      <c r="AL29" s="40">
        <v>0</v>
      </c>
      <c r="AM29" s="8"/>
      <c r="AN29" s="8"/>
      <c r="AO29" s="8"/>
      <c r="AP29" s="8"/>
      <c r="AQ29" s="8"/>
      <c r="AR29" s="24">
        <v>17.2</v>
      </c>
      <c r="AS29" s="8"/>
      <c r="AT29" s="8"/>
      <c r="AU29" s="8"/>
      <c r="AV29" s="8"/>
      <c r="AW29" s="8"/>
      <c r="AX29" s="36">
        <v>0.69499999999999995</v>
      </c>
      <c r="AY29" s="8"/>
      <c r="AZ29" s="8"/>
      <c r="BA29" s="8"/>
      <c r="BB29" s="8"/>
      <c r="BC29" s="8"/>
      <c r="BD29" s="36">
        <v>0.34100000000000003</v>
      </c>
      <c r="BE29" s="8"/>
      <c r="BF29" s="8"/>
      <c r="BG29" s="8"/>
      <c r="BH29" s="8"/>
      <c r="BI29" s="8"/>
      <c r="BJ29" s="36">
        <v>6.3E-2</v>
      </c>
      <c r="BK29" s="8"/>
      <c r="BL29" s="8"/>
      <c r="BM29" s="8"/>
      <c r="BN29" s="8"/>
      <c r="BO29" s="8"/>
      <c r="BP29" s="24">
        <v>18</v>
      </c>
      <c r="BQ29" s="8"/>
      <c r="BR29" s="8"/>
      <c r="BS29" s="8"/>
      <c r="BT29" s="8"/>
      <c r="BU29" s="8"/>
      <c r="BV29" s="24" t="s">
        <v>284</v>
      </c>
      <c r="BW29" s="8"/>
      <c r="BX29" s="8"/>
      <c r="BY29" s="8"/>
      <c r="BZ29" s="8"/>
      <c r="CA29" s="8"/>
      <c r="CB29" s="24" t="s">
        <v>285</v>
      </c>
      <c r="CC29" s="8"/>
      <c r="CD29" s="8"/>
      <c r="CE29" s="8"/>
      <c r="CF29" s="8"/>
      <c r="CG29" s="8"/>
      <c r="CH29" s="24" t="s">
        <v>286</v>
      </c>
      <c r="CI29" s="8"/>
      <c r="CJ29" s="8"/>
      <c r="CK29" s="8"/>
      <c r="CL29" s="8"/>
      <c r="CM29" s="8"/>
      <c r="CN29" s="8"/>
      <c r="CO29" s="8"/>
    </row>
    <row r="30" spans="1:93" ht="15.75" customHeight="1">
      <c r="A30" s="52">
        <v>46013</v>
      </c>
      <c r="B30" s="30">
        <f t="shared" si="0"/>
        <v>24</v>
      </c>
      <c r="C30" s="42" t="s">
        <v>287</v>
      </c>
      <c r="D30" s="24" t="s">
        <v>288</v>
      </c>
      <c r="E30" s="24" t="s">
        <v>289</v>
      </c>
      <c r="F30" s="8"/>
      <c r="G30" s="24" t="s">
        <v>290</v>
      </c>
      <c r="H30" s="24" t="s">
        <v>128</v>
      </c>
      <c r="I30" s="24" t="s">
        <v>45</v>
      </c>
      <c r="J30" s="24" t="s">
        <v>46</v>
      </c>
      <c r="K30" s="24" t="s">
        <v>291</v>
      </c>
      <c r="L30" s="61">
        <v>45718</v>
      </c>
      <c r="M30" s="36">
        <v>9.6699999999999994E-2</v>
      </c>
      <c r="N30" s="40">
        <v>0.56999999999999995</v>
      </c>
      <c r="O30" s="8"/>
      <c r="P30" s="8"/>
      <c r="Q30" s="8"/>
      <c r="R30" s="8"/>
      <c r="S30" s="8"/>
      <c r="T30" s="36">
        <v>8.5999999999999993E-2</v>
      </c>
      <c r="U30" s="8"/>
      <c r="V30" s="8"/>
      <c r="W30" s="8"/>
      <c r="X30" s="8"/>
      <c r="Y30" s="8"/>
      <c r="Z30" s="36">
        <v>0.14899999999999999</v>
      </c>
      <c r="AA30" s="8"/>
      <c r="AB30" s="8"/>
      <c r="AC30" s="8"/>
      <c r="AD30" s="8"/>
      <c r="AE30" s="8"/>
      <c r="AF30" s="36">
        <v>4.0000000000000001E-3</v>
      </c>
      <c r="AG30" s="8"/>
      <c r="AH30" s="8"/>
      <c r="AI30" s="8"/>
      <c r="AJ30" s="8"/>
      <c r="AK30" s="8"/>
      <c r="AL30" s="36">
        <v>0.191</v>
      </c>
      <c r="AM30" s="8"/>
      <c r="AN30" s="8"/>
      <c r="AO30" s="8"/>
      <c r="AP30" s="8"/>
      <c r="AQ30" s="8"/>
      <c r="AR30" s="24">
        <v>83.9</v>
      </c>
      <c r="AS30" s="8"/>
      <c r="AT30" s="8"/>
      <c r="AU30" s="8"/>
      <c r="AV30" s="8"/>
      <c r="AW30" s="8"/>
      <c r="AX30" s="36">
        <v>0.79900000000000004</v>
      </c>
      <c r="AY30" s="8"/>
      <c r="AZ30" s="8"/>
      <c r="BA30" s="8"/>
      <c r="BB30" s="8"/>
      <c r="BC30" s="8"/>
      <c r="BD30" s="36">
        <v>0.55600000000000005</v>
      </c>
      <c r="BE30" s="8"/>
      <c r="BF30" s="8"/>
      <c r="BG30" s="8"/>
      <c r="BH30" s="8"/>
      <c r="BI30" s="8"/>
      <c r="BJ30" s="36">
        <v>6.5000000000000002E-2</v>
      </c>
      <c r="BK30" s="8"/>
      <c r="BL30" s="8"/>
      <c r="BM30" s="8"/>
      <c r="BN30" s="8"/>
      <c r="BO30" s="8"/>
      <c r="BP30" s="24">
        <v>2</v>
      </c>
      <c r="BQ30" s="8"/>
      <c r="BR30" s="8"/>
      <c r="BS30" s="8"/>
      <c r="BT30" s="8"/>
      <c r="BU30" s="8"/>
      <c r="BV30" s="24" t="s">
        <v>292</v>
      </c>
      <c r="BW30" s="8"/>
      <c r="BX30" s="8"/>
      <c r="BY30" s="8"/>
      <c r="BZ30" s="8"/>
      <c r="CA30" s="8"/>
      <c r="CB30" s="24" t="s">
        <v>293</v>
      </c>
      <c r="CC30" s="8"/>
      <c r="CD30" s="8"/>
      <c r="CE30" s="8"/>
      <c r="CF30" s="8"/>
      <c r="CG30" s="8"/>
      <c r="CH30" s="24" t="s">
        <v>294</v>
      </c>
      <c r="CI30" s="8"/>
      <c r="CJ30" s="8"/>
      <c r="CK30" s="8"/>
      <c r="CL30" s="8"/>
      <c r="CM30" s="8"/>
      <c r="CN30" s="8"/>
      <c r="CO30" s="8"/>
    </row>
    <row r="31" spans="1:93" ht="15.75" customHeight="1">
      <c r="A31" s="52">
        <v>46013</v>
      </c>
      <c r="B31" s="30">
        <f t="shared" si="0"/>
        <v>25</v>
      </c>
      <c r="C31" s="42" t="s">
        <v>295</v>
      </c>
      <c r="D31" s="24" t="s">
        <v>296</v>
      </c>
      <c r="E31" s="8"/>
      <c r="F31" s="24" t="s">
        <v>297</v>
      </c>
      <c r="G31" s="24" t="s">
        <v>298</v>
      </c>
      <c r="H31" s="24" t="s">
        <v>88</v>
      </c>
      <c r="I31" s="24" t="s">
        <v>225</v>
      </c>
      <c r="J31" s="24" t="s">
        <v>46</v>
      </c>
      <c r="K31" s="24" t="s">
        <v>299</v>
      </c>
      <c r="L31" s="24">
        <v>6</v>
      </c>
      <c r="M31" s="36">
        <v>0.127</v>
      </c>
      <c r="N31" s="36">
        <v>0.51300000000000001</v>
      </c>
      <c r="O31" s="8"/>
      <c r="P31" s="8"/>
      <c r="Q31" s="8"/>
      <c r="R31" s="8"/>
      <c r="S31" s="8"/>
      <c r="T31" s="36">
        <v>0.122</v>
      </c>
      <c r="U31" s="8"/>
      <c r="V31" s="8"/>
      <c r="W31" s="8"/>
      <c r="X31" s="8"/>
      <c r="Y31" s="8"/>
      <c r="Z31" s="36">
        <v>0.36499999999999999</v>
      </c>
      <c r="AA31" s="8"/>
      <c r="AB31" s="8"/>
      <c r="AC31" s="8"/>
      <c r="AD31" s="8"/>
      <c r="AE31" s="8"/>
      <c r="AF31" s="24">
        <v>0</v>
      </c>
      <c r="AG31" s="8"/>
      <c r="AH31" s="8"/>
      <c r="AI31" s="8"/>
      <c r="AJ31" s="8"/>
      <c r="AK31" s="8"/>
      <c r="AL31" s="24">
        <v>0</v>
      </c>
      <c r="AM31" s="8"/>
      <c r="AN31" s="8"/>
      <c r="AO31" s="8"/>
      <c r="AP31" s="8"/>
      <c r="AQ31" s="8"/>
      <c r="AR31" s="24">
        <v>48.7</v>
      </c>
      <c r="AS31" s="8"/>
      <c r="AT31" s="8"/>
      <c r="AU31" s="8"/>
      <c r="AV31" s="8"/>
      <c r="AW31" s="8"/>
      <c r="AX31" s="36">
        <v>0.81899999999999995</v>
      </c>
      <c r="AY31" s="8"/>
      <c r="AZ31" s="8"/>
      <c r="BA31" s="8"/>
      <c r="BB31" s="8"/>
      <c r="BC31" s="8"/>
      <c r="BD31" s="36">
        <v>0.311</v>
      </c>
      <c r="BE31" s="8"/>
      <c r="BF31" s="8"/>
      <c r="BG31" s="8"/>
      <c r="BH31" s="8"/>
      <c r="BI31" s="8"/>
      <c r="BJ31" s="36">
        <v>7.6999999999999999E-2</v>
      </c>
      <c r="BK31" s="8"/>
      <c r="BL31" s="8"/>
      <c r="BM31" s="8"/>
      <c r="BN31" s="8"/>
      <c r="BO31" s="8"/>
      <c r="BP31" s="24">
        <v>0</v>
      </c>
      <c r="BQ31" s="8"/>
      <c r="BR31" s="8"/>
      <c r="BS31" s="8"/>
      <c r="BT31" s="8"/>
      <c r="BU31" s="8"/>
      <c r="BV31" s="24" t="s">
        <v>112</v>
      </c>
      <c r="BW31" s="8"/>
      <c r="BX31" s="8"/>
      <c r="BY31" s="8"/>
      <c r="BZ31" s="8"/>
      <c r="CA31" s="8"/>
      <c r="CB31" s="24" t="s">
        <v>300</v>
      </c>
      <c r="CC31" s="8"/>
      <c r="CD31" s="8"/>
      <c r="CE31" s="8"/>
      <c r="CF31" s="8"/>
      <c r="CG31" s="8"/>
      <c r="CH31" s="24" t="s">
        <v>301</v>
      </c>
      <c r="CI31" s="8"/>
      <c r="CJ31" s="8"/>
      <c r="CK31" s="8"/>
      <c r="CL31" s="8"/>
      <c r="CM31" s="8"/>
      <c r="CN31" s="8"/>
      <c r="CO31" s="8"/>
    </row>
    <row r="32" spans="1:93" ht="15.75" customHeight="1">
      <c r="A32" s="52">
        <v>46013</v>
      </c>
      <c r="B32" s="30">
        <f t="shared" si="0"/>
        <v>26</v>
      </c>
      <c r="C32" s="42" t="s">
        <v>302</v>
      </c>
      <c r="D32" s="24" t="s">
        <v>303</v>
      </c>
      <c r="E32" s="8"/>
      <c r="F32" s="24" t="s">
        <v>304</v>
      </c>
      <c r="G32" s="24" t="s">
        <v>305</v>
      </c>
      <c r="H32" s="24" t="s">
        <v>128</v>
      </c>
      <c r="I32" s="24" t="s">
        <v>45</v>
      </c>
      <c r="J32" s="24" t="s">
        <v>46</v>
      </c>
      <c r="K32" s="24" t="s">
        <v>306</v>
      </c>
      <c r="L32" s="24">
        <v>2</v>
      </c>
      <c r="M32" s="36">
        <v>0.112</v>
      </c>
      <c r="N32" s="36">
        <v>0.68600000000000005</v>
      </c>
      <c r="O32" s="8"/>
      <c r="P32" s="8"/>
      <c r="Q32" s="8"/>
      <c r="R32" s="8"/>
      <c r="S32" s="8"/>
      <c r="T32" s="36">
        <v>8.1000000000000003E-2</v>
      </c>
      <c r="U32" s="8"/>
      <c r="V32" s="8"/>
      <c r="W32" s="8"/>
      <c r="X32" s="8"/>
      <c r="Y32" s="8"/>
      <c r="Z32" s="36">
        <v>0.217</v>
      </c>
      <c r="AA32" s="8"/>
      <c r="AB32" s="8"/>
      <c r="AC32" s="8"/>
      <c r="AD32" s="8"/>
      <c r="AE32" s="8"/>
      <c r="AF32" s="24">
        <v>1.3</v>
      </c>
      <c r="AG32" s="8"/>
      <c r="AH32" s="8"/>
      <c r="AI32" s="8"/>
      <c r="AJ32" s="8"/>
      <c r="AK32" s="8"/>
      <c r="AL32" s="24">
        <v>0.3</v>
      </c>
      <c r="AM32" s="8"/>
      <c r="AN32" s="8"/>
      <c r="AO32" s="8"/>
      <c r="AP32" s="8"/>
      <c r="AQ32" s="8"/>
      <c r="AR32" s="24">
        <v>34.299999999999997</v>
      </c>
      <c r="AS32" s="8"/>
      <c r="AT32" s="8"/>
      <c r="AU32" s="8"/>
      <c r="AV32" s="8"/>
      <c r="AW32" s="8"/>
      <c r="AX32" s="36">
        <v>0.185</v>
      </c>
      <c r="AY32" s="8"/>
      <c r="AZ32" s="8"/>
      <c r="BA32" s="8"/>
      <c r="BB32" s="8"/>
      <c r="BC32" s="8"/>
      <c r="BD32" s="36">
        <v>0.38800000000000001</v>
      </c>
      <c r="BE32" s="8"/>
      <c r="BF32" s="8"/>
      <c r="BG32" s="8"/>
      <c r="BH32" s="8"/>
      <c r="BI32" s="8"/>
      <c r="BJ32" s="36">
        <v>6.9000000000000006E-2</v>
      </c>
      <c r="BK32" s="8"/>
      <c r="BL32" s="8"/>
      <c r="BM32" s="8"/>
      <c r="BN32" s="8"/>
      <c r="BO32" s="8"/>
      <c r="BP32" s="24">
        <v>5</v>
      </c>
      <c r="BQ32" s="8"/>
      <c r="BR32" s="8"/>
      <c r="BS32" s="8"/>
      <c r="BT32" s="8"/>
      <c r="BU32" s="8"/>
      <c r="BV32" s="24" t="s">
        <v>307</v>
      </c>
      <c r="BW32" s="8"/>
      <c r="BX32" s="8"/>
      <c r="BY32" s="8"/>
      <c r="BZ32" s="8"/>
      <c r="CA32" s="8"/>
      <c r="CB32" s="24" t="s">
        <v>308</v>
      </c>
      <c r="CC32" s="8"/>
      <c r="CD32" s="8"/>
      <c r="CE32" s="8"/>
      <c r="CF32" s="8"/>
      <c r="CG32" s="8"/>
      <c r="CH32" s="24" t="s">
        <v>309</v>
      </c>
      <c r="CI32" s="8"/>
      <c r="CJ32" s="8"/>
      <c r="CK32" s="8"/>
      <c r="CL32" s="8"/>
      <c r="CM32" s="8"/>
      <c r="CN32" s="8"/>
      <c r="CO32" s="8"/>
    </row>
    <row r="33" spans="1:93" ht="15.75" customHeight="1">
      <c r="A33" s="47">
        <v>46014</v>
      </c>
      <c r="B33" s="30">
        <f t="shared" si="0"/>
        <v>27</v>
      </c>
      <c r="C33" s="42" t="s">
        <v>310</v>
      </c>
      <c r="D33" s="24" t="s">
        <v>311</v>
      </c>
      <c r="E33" s="8"/>
      <c r="F33" s="24" t="s">
        <v>312</v>
      </c>
      <c r="G33" s="24" t="s">
        <v>313</v>
      </c>
      <c r="H33" s="24" t="s">
        <v>314</v>
      </c>
      <c r="I33" s="24" t="s">
        <v>45</v>
      </c>
      <c r="J33" s="24" t="s">
        <v>46</v>
      </c>
      <c r="K33" s="24" t="s">
        <v>315</v>
      </c>
      <c r="L33" s="61">
        <v>45718</v>
      </c>
      <c r="M33" s="36">
        <v>9.3299999999999994E-2</v>
      </c>
      <c r="N33" s="36">
        <v>0.68700000000000006</v>
      </c>
      <c r="O33" s="8"/>
      <c r="P33" s="8"/>
      <c r="Q33" s="8"/>
      <c r="R33" s="8"/>
      <c r="S33" s="8"/>
      <c r="T33" s="36">
        <v>6.9000000000000006E-2</v>
      </c>
      <c r="U33" s="8"/>
      <c r="V33" s="8"/>
      <c r="W33" s="8"/>
      <c r="X33" s="8"/>
      <c r="Y33" s="8"/>
      <c r="Z33" s="36">
        <v>0.221</v>
      </c>
      <c r="AA33" s="8"/>
      <c r="AB33" s="8"/>
      <c r="AC33" s="8"/>
      <c r="AD33" s="8"/>
      <c r="AE33" s="8"/>
      <c r="AF33" s="36">
        <v>1.2999999999999999E-2</v>
      </c>
      <c r="AG33" s="8"/>
      <c r="AH33" s="8"/>
      <c r="AI33" s="8"/>
      <c r="AJ33" s="8"/>
      <c r="AK33" s="8"/>
      <c r="AL33" s="40">
        <v>0.01</v>
      </c>
      <c r="AM33" s="8"/>
      <c r="AN33" s="8"/>
      <c r="AO33" s="8"/>
      <c r="AP33" s="8"/>
      <c r="AQ33" s="8"/>
      <c r="AR33" s="24">
        <v>34.799999999999997</v>
      </c>
      <c r="AS33" s="8"/>
      <c r="AT33" s="8"/>
      <c r="AU33" s="8"/>
      <c r="AV33" s="8"/>
      <c r="AW33" s="8"/>
      <c r="AX33" s="36">
        <v>0.97099999999999997</v>
      </c>
      <c r="AY33" s="8"/>
      <c r="AZ33" s="8"/>
      <c r="BA33" s="8"/>
      <c r="BB33" s="8"/>
      <c r="BC33" s="8"/>
      <c r="BD33" s="40">
        <v>0.39</v>
      </c>
      <c r="BE33" s="8"/>
      <c r="BF33" s="8"/>
      <c r="BG33" s="8"/>
      <c r="BH33" s="8"/>
      <c r="BI33" s="8"/>
      <c r="BJ33" s="40">
        <v>7.0000000000000007E-2</v>
      </c>
      <c r="BK33" s="8"/>
      <c r="BL33" s="8"/>
      <c r="BM33" s="8"/>
      <c r="BN33" s="8"/>
      <c r="BO33" s="8"/>
      <c r="BP33" s="24">
        <v>8</v>
      </c>
      <c r="BQ33" s="8"/>
      <c r="BR33" s="8"/>
      <c r="BS33" s="8"/>
      <c r="BT33" s="8"/>
      <c r="BU33" s="8"/>
      <c r="BV33" s="24" t="s">
        <v>316</v>
      </c>
      <c r="BW33" s="8"/>
      <c r="BX33" s="8"/>
      <c r="BY33" s="8"/>
      <c r="BZ33" s="8"/>
      <c r="CA33" s="8"/>
      <c r="CB33" s="24" t="s">
        <v>317</v>
      </c>
      <c r="CC33" s="8"/>
      <c r="CD33" s="8"/>
      <c r="CE33" s="8"/>
      <c r="CF33" s="8"/>
      <c r="CG33" s="8"/>
      <c r="CH33" s="24" t="s">
        <v>318</v>
      </c>
      <c r="CI33" s="8"/>
      <c r="CJ33" s="8"/>
      <c r="CK33" s="8"/>
      <c r="CL33" s="8"/>
      <c r="CM33" s="8"/>
      <c r="CN33" s="8"/>
      <c r="CO33" s="8"/>
    </row>
    <row r="34" spans="1:93" ht="15.75" customHeight="1">
      <c r="A34" s="47">
        <v>46015</v>
      </c>
      <c r="B34" s="30">
        <f t="shared" si="0"/>
        <v>28</v>
      </c>
      <c r="C34" s="42" t="s">
        <v>319</v>
      </c>
      <c r="D34" s="24" t="s">
        <v>320</v>
      </c>
      <c r="E34" s="8"/>
      <c r="F34" s="24" t="s">
        <v>321</v>
      </c>
      <c r="G34" s="24" t="s">
        <v>322</v>
      </c>
      <c r="H34" s="24" t="s">
        <v>323</v>
      </c>
      <c r="I34" s="24" t="s">
        <v>45</v>
      </c>
      <c r="J34" s="24" t="s">
        <v>46</v>
      </c>
      <c r="K34" s="24" t="s">
        <v>324</v>
      </c>
      <c r="L34" s="61">
        <v>45718</v>
      </c>
      <c r="M34" s="36">
        <v>0.109</v>
      </c>
      <c r="N34" s="36">
        <v>0.54300000000000004</v>
      </c>
      <c r="O34" s="8"/>
      <c r="P34" s="8"/>
      <c r="Q34" s="8"/>
      <c r="R34" s="8"/>
      <c r="S34" s="8"/>
      <c r="T34" s="40">
        <v>0.11</v>
      </c>
      <c r="U34" s="8"/>
      <c r="V34" s="8"/>
      <c r="W34" s="8"/>
      <c r="X34" s="8"/>
      <c r="Y34" s="8"/>
      <c r="Z34" s="36">
        <v>0.34399999999999997</v>
      </c>
      <c r="AA34" s="8"/>
      <c r="AB34" s="8"/>
      <c r="AC34" s="8"/>
      <c r="AD34" s="8"/>
      <c r="AE34" s="8"/>
      <c r="AF34" s="36">
        <v>3.0000000000000001E-3</v>
      </c>
      <c r="AG34" s="8"/>
      <c r="AH34" s="8"/>
      <c r="AI34" s="8"/>
      <c r="AJ34" s="8"/>
      <c r="AK34" s="8"/>
      <c r="AL34" s="40">
        <v>0</v>
      </c>
      <c r="AM34" s="8"/>
      <c r="AN34" s="8"/>
      <c r="AO34" s="8"/>
      <c r="AP34" s="8"/>
      <c r="AQ34" s="8"/>
      <c r="AR34" s="24">
        <v>45.8</v>
      </c>
      <c r="AS34" s="8"/>
      <c r="AT34" s="8"/>
      <c r="AU34" s="8"/>
      <c r="AV34" s="8"/>
      <c r="AW34" s="8"/>
      <c r="AX34" s="36">
        <v>0.98199999999999998</v>
      </c>
      <c r="AY34" s="8"/>
      <c r="AZ34" s="8"/>
      <c r="BA34" s="8"/>
      <c r="BB34" s="8"/>
      <c r="BC34" s="8"/>
      <c r="BD34" s="36">
        <v>0.28599999999999998</v>
      </c>
      <c r="BE34" s="8"/>
      <c r="BF34" s="8"/>
      <c r="BG34" s="8"/>
      <c r="BH34" s="8"/>
      <c r="BI34" s="8"/>
      <c r="BJ34" s="36">
        <v>7.6999999999999999E-2</v>
      </c>
      <c r="BK34" s="8"/>
      <c r="BL34" s="8"/>
      <c r="BM34" s="8"/>
      <c r="BN34" s="8"/>
      <c r="BO34" s="8"/>
      <c r="BP34" s="24">
        <v>1</v>
      </c>
      <c r="BQ34" s="8"/>
      <c r="BR34" s="8"/>
      <c r="BS34" s="8"/>
      <c r="BT34" s="8"/>
      <c r="BU34" s="8"/>
      <c r="BV34" s="24" t="s">
        <v>325</v>
      </c>
      <c r="BW34" s="8"/>
      <c r="BX34" s="8"/>
      <c r="BY34" s="8"/>
      <c r="BZ34" s="8"/>
      <c r="CA34" s="8"/>
      <c r="CB34" s="24" t="s">
        <v>326</v>
      </c>
      <c r="CC34" s="8"/>
      <c r="CD34" s="8"/>
      <c r="CE34" s="8"/>
      <c r="CF34" s="8"/>
      <c r="CG34" s="8"/>
      <c r="CH34" s="24" t="s">
        <v>327</v>
      </c>
      <c r="CI34" s="8"/>
      <c r="CJ34" s="8"/>
      <c r="CK34" s="8"/>
      <c r="CL34" s="8"/>
      <c r="CM34" s="8"/>
      <c r="CN34" s="8"/>
      <c r="CO34" s="8"/>
    </row>
    <row r="35" spans="1:93" ht="15.75" customHeight="1">
      <c r="A35" s="47">
        <v>46017</v>
      </c>
      <c r="B35" s="30">
        <f t="shared" si="0"/>
        <v>29</v>
      </c>
      <c r="C35" s="42" t="s">
        <v>328</v>
      </c>
      <c r="D35" s="24" t="s">
        <v>329</v>
      </c>
      <c r="E35" s="24" t="s">
        <v>330</v>
      </c>
      <c r="F35" s="8"/>
      <c r="G35" s="24" t="s">
        <v>331</v>
      </c>
      <c r="H35" s="24" t="s">
        <v>88</v>
      </c>
      <c r="I35" s="24" t="s">
        <v>332</v>
      </c>
      <c r="J35" s="24" t="s">
        <v>46</v>
      </c>
      <c r="K35" s="24" t="s">
        <v>333</v>
      </c>
      <c r="L35" s="61">
        <v>46083</v>
      </c>
      <c r="M35" s="36">
        <v>0.89400000000000002</v>
      </c>
      <c r="N35" s="36"/>
      <c r="O35" s="8"/>
      <c r="P35" s="8"/>
      <c r="Q35" s="8"/>
      <c r="R35" s="8"/>
      <c r="S35" s="8"/>
      <c r="T35" s="36">
        <v>3.0000000000000001E-3</v>
      </c>
      <c r="U35" s="36"/>
      <c r="V35" s="8"/>
      <c r="W35" s="8"/>
      <c r="X35" s="8"/>
      <c r="Y35" s="8"/>
      <c r="Z35" s="40">
        <v>7.0000000000000007E-2</v>
      </c>
      <c r="AA35" s="40"/>
      <c r="AB35" s="8"/>
      <c r="AC35" s="8"/>
      <c r="AD35" s="8"/>
      <c r="AE35" s="8"/>
      <c r="AF35" s="36">
        <v>2.8000000000000001E-2</v>
      </c>
      <c r="AG35" s="8"/>
      <c r="AH35" s="8"/>
      <c r="AI35" s="8"/>
      <c r="AJ35" s="8"/>
      <c r="AK35" s="8"/>
      <c r="AL35" s="36">
        <v>5.0000000000000001E-3</v>
      </c>
      <c r="AM35" s="8"/>
      <c r="AN35" s="8"/>
      <c r="AO35" s="8"/>
      <c r="AP35" s="8"/>
      <c r="AQ35" s="8"/>
      <c r="AR35" s="24">
        <v>14.3</v>
      </c>
      <c r="AS35" s="8"/>
      <c r="AT35" s="8"/>
      <c r="AU35" s="8"/>
      <c r="AV35" s="8"/>
      <c r="AW35" s="8"/>
      <c r="AX35" s="40">
        <v>0.26</v>
      </c>
      <c r="AY35" s="8"/>
      <c r="AZ35" s="8"/>
      <c r="BA35" s="8"/>
      <c r="BB35" s="8"/>
      <c r="BC35" s="8"/>
      <c r="BD35" s="36">
        <v>0.28699999999999998</v>
      </c>
      <c r="BE35" s="8"/>
      <c r="BF35" s="8"/>
      <c r="BG35" s="8"/>
      <c r="BH35" s="8"/>
      <c r="BI35" s="8"/>
      <c r="BJ35" s="36">
        <v>6.2E-2</v>
      </c>
      <c r="BK35" s="8"/>
      <c r="BL35" s="8"/>
      <c r="BM35" s="8"/>
      <c r="BN35" s="8"/>
      <c r="BO35" s="8"/>
      <c r="BP35" s="24">
        <v>11</v>
      </c>
      <c r="BQ35" s="8"/>
      <c r="BR35" s="8"/>
      <c r="BS35" s="8"/>
      <c r="BT35" s="8"/>
      <c r="BU35" s="8"/>
      <c r="BV35" s="24" t="s">
        <v>325</v>
      </c>
      <c r="BW35" s="8"/>
      <c r="BX35" s="8"/>
      <c r="BY35" s="8"/>
      <c r="BZ35" s="8"/>
      <c r="CA35" s="8"/>
      <c r="CB35" s="24" t="s">
        <v>334</v>
      </c>
      <c r="CC35" s="8"/>
      <c r="CD35" s="8"/>
      <c r="CE35" s="8"/>
      <c r="CF35" s="8"/>
      <c r="CG35" s="8"/>
      <c r="CH35" s="8"/>
    </row>
    <row r="36" spans="1:93" ht="15.75" customHeight="1">
      <c r="A36" s="24" t="s">
        <v>335</v>
      </c>
      <c r="B36" s="30">
        <f t="shared" si="0"/>
        <v>30</v>
      </c>
      <c r="C36" s="42" t="s">
        <v>336</v>
      </c>
      <c r="D36" s="24" t="s">
        <v>337</v>
      </c>
      <c r="E36" s="24" t="s">
        <v>338</v>
      </c>
      <c r="F36" s="8"/>
      <c r="G36" s="24" t="s">
        <v>339</v>
      </c>
      <c r="H36" s="24" t="s">
        <v>58</v>
      </c>
      <c r="I36" s="24" t="s">
        <v>73</v>
      </c>
      <c r="J36" s="24" t="s">
        <v>340</v>
      </c>
      <c r="K36" s="24" t="s">
        <v>341</v>
      </c>
      <c r="L36" s="61">
        <v>46083</v>
      </c>
      <c r="M36" s="36">
        <v>0.109</v>
      </c>
      <c r="N36" s="36">
        <v>0.41399999999999998</v>
      </c>
      <c r="O36" s="8"/>
      <c r="P36" s="8"/>
      <c r="Q36" s="8"/>
      <c r="R36" s="8"/>
      <c r="S36" s="8"/>
      <c r="T36" s="36">
        <v>0.27700000000000002</v>
      </c>
      <c r="U36" s="8"/>
      <c r="V36" s="8"/>
      <c r="W36" s="8"/>
      <c r="X36" s="8"/>
      <c r="Y36" s="8"/>
      <c r="Z36" s="36">
        <v>0.28899999999999998</v>
      </c>
      <c r="AA36" s="8"/>
      <c r="AB36" s="8"/>
      <c r="AC36" s="8"/>
      <c r="AD36" s="8"/>
      <c r="AE36" s="8"/>
      <c r="AF36" s="40">
        <v>0.02</v>
      </c>
      <c r="AG36" s="8"/>
      <c r="AH36" s="8"/>
      <c r="AI36" s="8"/>
      <c r="AJ36" s="8"/>
      <c r="AK36" s="8"/>
      <c r="AL36" s="40">
        <v>0</v>
      </c>
      <c r="AM36" s="8"/>
      <c r="AN36" s="8"/>
      <c r="AO36" s="8"/>
      <c r="AP36" s="8"/>
      <c r="AQ36" s="8"/>
      <c r="AR36" s="24">
        <v>72.2</v>
      </c>
      <c r="AS36" s="8"/>
      <c r="AT36" s="8"/>
      <c r="AU36" s="8"/>
      <c r="AV36" s="8"/>
      <c r="AW36" s="8"/>
      <c r="AX36" s="36">
        <v>0.72699999999999998</v>
      </c>
      <c r="AY36" s="8"/>
      <c r="AZ36" s="8"/>
      <c r="BA36" s="8"/>
      <c r="BB36" s="8"/>
      <c r="BC36" s="8"/>
      <c r="BD36" s="36">
        <v>0.41599999999999998</v>
      </c>
      <c r="BE36" s="8"/>
      <c r="BF36" s="8"/>
      <c r="BG36" s="8"/>
      <c r="BH36" s="8"/>
      <c r="BI36" s="8"/>
      <c r="BJ36" s="36">
        <v>0.08</v>
      </c>
      <c r="BK36" s="8"/>
      <c r="BL36" s="8"/>
      <c r="BM36" s="8"/>
      <c r="BN36" s="8"/>
      <c r="BO36" s="8"/>
      <c r="BP36" s="24">
        <v>7</v>
      </c>
      <c r="BQ36" s="8"/>
      <c r="BR36" s="8"/>
      <c r="BS36" s="8"/>
      <c r="BT36" s="8"/>
      <c r="BU36" s="8"/>
      <c r="BV36" s="24" t="s">
        <v>316</v>
      </c>
      <c r="BW36" s="8"/>
      <c r="BX36" s="8"/>
      <c r="BY36" s="8"/>
      <c r="BZ36" s="8"/>
      <c r="CA36" s="8"/>
      <c r="CB36" s="24" t="s">
        <v>342</v>
      </c>
      <c r="CC36" s="24" t="s">
        <v>343</v>
      </c>
      <c r="CD36" s="8"/>
      <c r="CE36" s="8"/>
      <c r="CF36" s="8"/>
      <c r="CG36" s="8"/>
      <c r="CH36" s="8"/>
    </row>
    <row r="37" spans="1:93" ht="15.75" customHeight="1">
      <c r="A37" s="62">
        <v>45665</v>
      </c>
      <c r="B37" s="30">
        <f t="shared" si="0"/>
        <v>31</v>
      </c>
      <c r="C37" s="31" t="s">
        <v>344</v>
      </c>
      <c r="D37" s="24" t="s">
        <v>345</v>
      </c>
      <c r="E37" s="8"/>
      <c r="F37" s="8"/>
      <c r="G37" s="24" t="s">
        <v>346</v>
      </c>
      <c r="H37" s="24" t="s">
        <v>323</v>
      </c>
      <c r="I37" s="24" t="s">
        <v>45</v>
      </c>
      <c r="J37" s="24" t="s">
        <v>46</v>
      </c>
      <c r="K37" s="24" t="s">
        <v>347</v>
      </c>
      <c r="L37" s="24">
        <v>6</v>
      </c>
      <c r="M37" s="36">
        <v>9.1200000000000003E-2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</row>
    <row r="38" spans="1:93" ht="15.75" customHeight="1">
      <c r="A38" s="63">
        <v>46036</v>
      </c>
      <c r="B38" s="30">
        <f t="shared" si="0"/>
        <v>32</v>
      </c>
      <c r="C38" s="65" t="s">
        <v>348</v>
      </c>
      <c r="D38" s="66" t="s">
        <v>349</v>
      </c>
      <c r="F38" s="66" t="s">
        <v>350</v>
      </c>
      <c r="G38" s="66" t="s">
        <v>351</v>
      </c>
      <c r="H38" s="66" t="s">
        <v>323</v>
      </c>
      <c r="I38" s="66" t="s">
        <v>73</v>
      </c>
      <c r="J38" s="66" t="s">
        <v>340</v>
      </c>
      <c r="K38" s="66" t="s">
        <v>352</v>
      </c>
    </row>
    <row r="39" spans="1:93" ht="15.75" customHeight="1">
      <c r="A39" s="63">
        <v>46037</v>
      </c>
      <c r="B39" s="30">
        <f t="shared" si="0"/>
        <v>33</v>
      </c>
      <c r="C39" s="65" t="s">
        <v>353</v>
      </c>
      <c r="D39" s="66" t="s">
        <v>354</v>
      </c>
      <c r="F39" s="66" t="s">
        <v>355</v>
      </c>
      <c r="G39" s="66" t="s">
        <v>356</v>
      </c>
      <c r="H39" s="66" t="s">
        <v>58</v>
      </c>
      <c r="I39" s="66" t="s">
        <v>73</v>
      </c>
      <c r="J39" s="66" t="s">
        <v>46</v>
      </c>
      <c r="K39" s="66" t="s">
        <v>357</v>
      </c>
    </row>
    <row r="40" spans="1:93" s="94" customFormat="1" ht="15.75" customHeight="1">
      <c r="A40" s="63">
        <v>46041</v>
      </c>
      <c r="B40" s="64">
        <v>36</v>
      </c>
      <c r="C40" s="64" t="s">
        <v>481</v>
      </c>
      <c r="D40" s="66" t="s">
        <v>482</v>
      </c>
      <c r="F40" s="66" t="s">
        <v>483</v>
      </c>
      <c r="G40" s="66" t="s">
        <v>484</v>
      </c>
      <c r="H40" s="66" t="s">
        <v>485</v>
      </c>
      <c r="I40" s="66" t="s">
        <v>73</v>
      </c>
      <c r="J40" s="66" t="s">
        <v>46</v>
      </c>
      <c r="K40" s="66" t="s">
        <v>486</v>
      </c>
      <c r="L40" s="80">
        <v>46115</v>
      </c>
      <c r="M40" s="78">
        <v>8.0600000000000005E-2</v>
      </c>
    </row>
    <row r="41" spans="1:93" ht="15.75" customHeight="1">
      <c r="B41" s="1"/>
      <c r="C41" s="1"/>
    </row>
    <row r="42" spans="1:93" ht="15.75" customHeight="1">
      <c r="B42" s="1"/>
      <c r="C42" s="1"/>
    </row>
    <row r="43" spans="1:93" ht="15.75" customHeight="1">
      <c r="B43" s="1"/>
      <c r="C43" s="1"/>
    </row>
    <row r="44" spans="1:93" ht="15.75" customHeight="1">
      <c r="B44" s="1"/>
      <c r="C44" s="1"/>
    </row>
    <row r="45" spans="1:93" ht="15.75" customHeight="1">
      <c r="B45" s="1"/>
      <c r="C45" s="1"/>
    </row>
    <row r="46" spans="1:93" ht="15.75" customHeight="1">
      <c r="B46" s="1"/>
      <c r="C46" s="1"/>
    </row>
    <row r="47" spans="1:93" ht="15.75" customHeight="1">
      <c r="A47" t="s">
        <v>422</v>
      </c>
      <c r="B47" s="1">
        <v>23</v>
      </c>
      <c r="C47" s="1"/>
    </row>
    <row r="48" spans="1:93" ht="15.75" customHeight="1">
      <c r="A48" t="s">
        <v>423</v>
      </c>
      <c r="B48" s="1">
        <v>13</v>
      </c>
      <c r="C48" s="1"/>
    </row>
    <row r="49" spans="1:3" ht="15.75" customHeight="1">
      <c r="A49" t="s">
        <v>424</v>
      </c>
      <c r="B49" s="1">
        <f>+B47+B48</f>
        <v>36</v>
      </c>
      <c r="C49" s="1"/>
    </row>
    <row r="50" spans="1:3" ht="15.75" customHeight="1">
      <c r="B50" s="1"/>
      <c r="C50" s="1"/>
    </row>
    <row r="51" spans="1:3" ht="15.75" customHeight="1">
      <c r="B51" s="1"/>
      <c r="C51" s="1"/>
    </row>
    <row r="52" spans="1:3" ht="15.75" customHeight="1">
      <c r="B52" s="1"/>
      <c r="C52" s="1"/>
    </row>
    <row r="53" spans="1:3" ht="15.75" customHeight="1">
      <c r="B53" s="1"/>
      <c r="C53" s="1"/>
    </row>
    <row r="54" spans="1:3" ht="15.75" customHeight="1">
      <c r="A54" t="s">
        <v>425</v>
      </c>
      <c r="B54" s="1" t="s">
        <v>495</v>
      </c>
      <c r="C54" s="1"/>
    </row>
    <row r="55" spans="1:3" ht="15.75" customHeight="1">
      <c r="A55" t="s">
        <v>426</v>
      </c>
      <c r="B55" s="1">
        <v>8</v>
      </c>
      <c r="C55" s="1"/>
    </row>
    <row r="56" spans="1:3" ht="15.75" customHeight="1">
      <c r="A56" t="s">
        <v>427</v>
      </c>
      <c r="B56" s="1">
        <v>19</v>
      </c>
      <c r="C56" s="1"/>
    </row>
    <row r="57" spans="1:3" ht="15.75" customHeight="1">
      <c r="A57" t="s">
        <v>428</v>
      </c>
      <c r="B57" s="1">
        <v>9</v>
      </c>
      <c r="C57" s="1"/>
    </row>
    <row r="58" spans="1:3" ht="15.75" customHeight="1">
      <c r="A58" t="s">
        <v>424</v>
      </c>
      <c r="B58" s="1">
        <f>+B55+B56+B57</f>
        <v>36</v>
      </c>
      <c r="C58" s="1"/>
    </row>
    <row r="59" spans="1:3" ht="15.75" customHeight="1">
      <c r="B59" s="1"/>
      <c r="C59" s="1"/>
    </row>
    <row r="60" spans="1:3" ht="15.75" customHeight="1">
      <c r="B60" s="1"/>
      <c r="C60" s="1"/>
    </row>
    <row r="61" spans="1:3" ht="15.75" customHeight="1">
      <c r="A61" t="s">
        <v>429</v>
      </c>
      <c r="B61" s="1"/>
      <c r="C61" s="1"/>
    </row>
    <row r="62" spans="1:3" ht="15.75" customHeight="1">
      <c r="A62" t="s">
        <v>430</v>
      </c>
      <c r="B62" s="1">
        <v>19</v>
      </c>
      <c r="C62" s="1"/>
    </row>
    <row r="63" spans="1:3" ht="15.75" customHeight="1">
      <c r="A63" t="s">
        <v>431</v>
      </c>
      <c r="B63" s="1">
        <v>2</v>
      </c>
      <c r="C63" s="1"/>
    </row>
    <row r="64" spans="1:3" ht="15.75" customHeight="1">
      <c r="A64" t="s">
        <v>432</v>
      </c>
      <c r="B64" s="1">
        <v>3</v>
      </c>
      <c r="C64" s="1"/>
    </row>
    <row r="65" spans="1:3" ht="15.75" customHeight="1">
      <c r="A65" t="s">
        <v>433</v>
      </c>
      <c r="B65" s="1">
        <v>5</v>
      </c>
      <c r="C65" s="1"/>
    </row>
    <row r="66" spans="1:3" ht="15.75" customHeight="1">
      <c r="A66" t="s">
        <v>434</v>
      </c>
      <c r="B66" s="1">
        <v>1</v>
      </c>
      <c r="C66" s="1"/>
    </row>
    <row r="67" spans="1:3" ht="15.75" customHeight="1">
      <c r="A67" t="s">
        <v>435</v>
      </c>
      <c r="B67" s="1">
        <v>4</v>
      </c>
      <c r="C67" s="1"/>
    </row>
    <row r="68" spans="1:3" ht="15.75" customHeight="1">
      <c r="A68" t="s">
        <v>436</v>
      </c>
      <c r="B68" s="1">
        <v>1</v>
      </c>
      <c r="C68" s="1"/>
    </row>
    <row r="69" spans="1:3" ht="15.75" customHeight="1">
      <c r="A69" t="s">
        <v>437</v>
      </c>
      <c r="B69" s="1">
        <v>1</v>
      </c>
      <c r="C69" s="1"/>
    </row>
    <row r="70" spans="1:3" ht="15.75" customHeight="1">
      <c r="A70" t="s">
        <v>424</v>
      </c>
      <c r="B70" s="1">
        <f>SUM(B62:B69)</f>
        <v>36</v>
      </c>
      <c r="C70" s="1"/>
    </row>
    <row r="71" spans="1:3" ht="15.75" customHeight="1">
      <c r="B71" s="1"/>
      <c r="C71" s="1"/>
    </row>
    <row r="72" spans="1:3" ht="15.75" customHeight="1">
      <c r="B72" s="1"/>
      <c r="C72" s="1"/>
    </row>
    <row r="73" spans="1:3" ht="15.75" customHeight="1">
      <c r="B73" s="1"/>
      <c r="C73" s="1"/>
    </row>
    <row r="74" spans="1:3" ht="15.75" customHeight="1">
      <c r="A74" t="s">
        <v>491</v>
      </c>
      <c r="B74" s="1" t="s">
        <v>495</v>
      </c>
      <c r="C74" s="1"/>
    </row>
    <row r="75" spans="1:3" ht="15.75" customHeight="1">
      <c r="A75" s="94" t="s">
        <v>426</v>
      </c>
      <c r="B75" s="1">
        <v>5</v>
      </c>
      <c r="C75" s="1"/>
    </row>
    <row r="76" spans="1:3" ht="15.75" customHeight="1">
      <c r="A76" s="94" t="s">
        <v>427</v>
      </c>
      <c r="B76" s="1">
        <v>13</v>
      </c>
      <c r="C76" s="1"/>
    </row>
    <row r="77" spans="1:3" ht="15.75" customHeight="1">
      <c r="A77" s="94" t="s">
        <v>428</v>
      </c>
      <c r="B77" s="1">
        <v>5</v>
      </c>
      <c r="C77" s="1"/>
    </row>
    <row r="78" spans="1:3" ht="15.75" customHeight="1">
      <c r="A78" s="94" t="s">
        <v>424</v>
      </c>
      <c r="B78" s="1">
        <f>SUM(B75:B77)</f>
        <v>23</v>
      </c>
      <c r="C78" s="1"/>
    </row>
    <row r="79" spans="1:3" ht="15.75" customHeight="1">
      <c r="B79" s="1"/>
      <c r="C79" s="1"/>
    </row>
    <row r="80" spans="1:3" ht="15.75" customHeight="1">
      <c r="C80" s="1"/>
    </row>
    <row r="81" spans="1:3" ht="15.75" customHeight="1">
      <c r="C81" s="1"/>
    </row>
    <row r="82" spans="1:3" ht="15.75" customHeight="1">
      <c r="A82" s="94" t="s">
        <v>492</v>
      </c>
      <c r="B82" s="1" t="s">
        <v>495</v>
      </c>
      <c r="C82" s="1"/>
    </row>
    <row r="83" spans="1:3" ht="15.75" customHeight="1">
      <c r="A83" s="94" t="s">
        <v>426</v>
      </c>
      <c r="B83" s="1">
        <v>3</v>
      </c>
      <c r="C83" s="1"/>
    </row>
    <row r="84" spans="1:3" ht="15.75" customHeight="1">
      <c r="A84" s="94" t="s">
        <v>427</v>
      </c>
      <c r="B84" s="1">
        <v>6</v>
      </c>
      <c r="C84" s="1"/>
    </row>
    <row r="85" spans="1:3" ht="15.75" customHeight="1">
      <c r="A85" s="94" t="s">
        <v>428</v>
      </c>
      <c r="B85" s="1">
        <v>4</v>
      </c>
      <c r="C85" s="1"/>
    </row>
    <row r="86" spans="1:3" ht="15.75" customHeight="1">
      <c r="A86" s="98" t="s">
        <v>424</v>
      </c>
      <c r="B86" s="1">
        <f>SUM(B83:B85)</f>
        <v>13</v>
      </c>
      <c r="C86" s="1"/>
    </row>
    <row r="87" spans="1:3" ht="15.75" customHeight="1">
      <c r="B87" s="1"/>
      <c r="C87" s="1"/>
    </row>
    <row r="88" spans="1:3" ht="15.75" customHeight="1">
      <c r="B88" s="1"/>
      <c r="C88" s="1"/>
    </row>
    <row r="89" spans="1:3" ht="15.75" customHeight="1">
      <c r="B89" s="1"/>
      <c r="C89" s="1"/>
    </row>
    <row r="90" spans="1:3" ht="15.75" customHeight="1">
      <c r="B90" s="1"/>
      <c r="C90" s="1"/>
    </row>
    <row r="91" spans="1:3" ht="15.75" customHeight="1">
      <c r="B91" s="1"/>
      <c r="C91" s="1"/>
    </row>
    <row r="92" spans="1:3" ht="15.75" customHeight="1">
      <c r="B92" s="1"/>
      <c r="C92" s="1"/>
    </row>
    <row r="93" spans="1:3" ht="15.75" customHeight="1">
      <c r="B93" s="1"/>
      <c r="C93" s="1"/>
    </row>
    <row r="94" spans="1:3" ht="15.75" customHeight="1">
      <c r="B94" s="1"/>
      <c r="C94" s="1"/>
    </row>
    <row r="95" spans="1:3" ht="15.75" customHeight="1">
      <c r="B95" s="1"/>
      <c r="C95" s="1"/>
    </row>
    <row r="96" spans="1:3" ht="15.75" customHeight="1">
      <c r="B96" s="1"/>
      <c r="C96" s="1"/>
    </row>
    <row r="97" spans="2:3" ht="15.75" customHeight="1">
      <c r="B97" s="1"/>
      <c r="C97" s="1"/>
    </row>
    <row r="98" spans="2:3" ht="15.75" customHeight="1">
      <c r="B98" s="1"/>
      <c r="C98" s="1"/>
    </row>
    <row r="99" spans="2:3" ht="15.75" customHeight="1">
      <c r="B99" s="1"/>
      <c r="C99" s="1"/>
    </row>
    <row r="100" spans="2:3" ht="15.75" customHeight="1">
      <c r="B100" s="1"/>
      <c r="C100" s="1"/>
    </row>
    <row r="101" spans="2:3" ht="15.75" customHeight="1">
      <c r="B101" s="1"/>
      <c r="C101" s="1"/>
    </row>
    <row r="102" spans="2:3" ht="15.75" customHeight="1">
      <c r="B102" s="1"/>
      <c r="C102" s="1"/>
    </row>
    <row r="103" spans="2:3" ht="15.75" customHeight="1">
      <c r="B103" s="1"/>
      <c r="C103" s="1"/>
    </row>
    <row r="104" spans="2:3" ht="15.75" customHeight="1">
      <c r="B104" s="1"/>
      <c r="C104" s="1"/>
    </row>
    <row r="105" spans="2:3" ht="15.75" customHeight="1">
      <c r="B105" s="1"/>
      <c r="C105" s="1"/>
    </row>
    <row r="106" spans="2:3" ht="15.75" customHeight="1">
      <c r="B106" s="1"/>
      <c r="C106" s="1"/>
    </row>
    <row r="107" spans="2:3" ht="15.75" customHeight="1">
      <c r="B107" s="1"/>
      <c r="C107" s="1"/>
    </row>
    <row r="108" spans="2:3" ht="15.75" customHeight="1">
      <c r="B108" s="1"/>
      <c r="C108" s="1"/>
    </row>
    <row r="109" spans="2:3" ht="15.75" customHeight="1">
      <c r="B109" s="1"/>
      <c r="C109" s="1"/>
    </row>
    <row r="110" spans="2:3" ht="15.75" customHeight="1">
      <c r="B110" s="1"/>
      <c r="C110" s="1"/>
    </row>
    <row r="111" spans="2:3" ht="15.75" customHeight="1">
      <c r="B111" s="1"/>
      <c r="C111" s="1"/>
    </row>
    <row r="112" spans="2:3" ht="15.75" customHeight="1">
      <c r="B112" s="1"/>
      <c r="C112" s="1"/>
    </row>
    <row r="113" spans="2:3" ht="15.75" customHeight="1">
      <c r="B113" s="1"/>
      <c r="C113" s="1"/>
    </row>
    <row r="114" spans="2:3" ht="15.75" customHeight="1">
      <c r="B114" s="1"/>
      <c r="C114" s="1"/>
    </row>
    <row r="115" spans="2:3" ht="15.75" customHeight="1">
      <c r="B115" s="1"/>
      <c r="C115" s="1"/>
    </row>
    <row r="116" spans="2:3" ht="15.75" customHeight="1">
      <c r="B116" s="1"/>
      <c r="C116" s="1"/>
    </row>
    <row r="117" spans="2:3" ht="15.75" customHeight="1">
      <c r="B117" s="1"/>
      <c r="C117" s="1"/>
    </row>
    <row r="118" spans="2:3" ht="15.75" customHeight="1">
      <c r="B118" s="1"/>
      <c r="C118" s="1"/>
    </row>
    <row r="119" spans="2:3" ht="15.75" customHeight="1">
      <c r="B119" s="1"/>
      <c r="C119" s="1"/>
    </row>
    <row r="120" spans="2:3" ht="15.75" customHeight="1">
      <c r="B120" s="1"/>
      <c r="C120" s="1"/>
    </row>
    <row r="121" spans="2:3" ht="15.75" customHeight="1">
      <c r="B121" s="1"/>
      <c r="C121" s="1"/>
    </row>
    <row r="122" spans="2:3" ht="15.75" customHeight="1">
      <c r="B122" s="1"/>
      <c r="C122" s="1"/>
    </row>
    <row r="123" spans="2:3" ht="15.75" customHeight="1">
      <c r="B123" s="1"/>
      <c r="C123" s="1"/>
    </row>
    <row r="124" spans="2:3" ht="15.75" customHeight="1">
      <c r="B124" s="1"/>
      <c r="C124" s="1"/>
    </row>
    <row r="125" spans="2:3" ht="15.75" customHeight="1">
      <c r="B125" s="1"/>
      <c r="C125" s="1"/>
    </row>
    <row r="126" spans="2:3" ht="15.75" customHeight="1">
      <c r="B126" s="1"/>
      <c r="C126" s="1"/>
    </row>
    <row r="127" spans="2:3" ht="15.75" customHeight="1">
      <c r="B127" s="1"/>
      <c r="C127" s="1"/>
    </row>
    <row r="128" spans="2:3" ht="15.75" customHeight="1">
      <c r="B128" s="1"/>
      <c r="C128" s="1"/>
    </row>
    <row r="129" spans="2:3" ht="15.75" customHeight="1">
      <c r="B129" s="1"/>
      <c r="C129" s="1"/>
    </row>
    <row r="130" spans="2:3" ht="15.75" customHeight="1">
      <c r="B130" s="1"/>
      <c r="C130" s="1"/>
    </row>
    <row r="131" spans="2:3" ht="15.75" customHeight="1">
      <c r="B131" s="1"/>
      <c r="C131" s="1"/>
    </row>
    <row r="132" spans="2:3" ht="15.75" customHeight="1">
      <c r="B132" s="1"/>
      <c r="C132" s="1"/>
    </row>
    <row r="133" spans="2:3" ht="15.75" customHeight="1">
      <c r="B133" s="1"/>
      <c r="C133" s="1"/>
    </row>
    <row r="134" spans="2:3" ht="15.75" customHeight="1">
      <c r="B134" s="1"/>
      <c r="C134" s="1"/>
    </row>
    <row r="135" spans="2:3" ht="15.75" customHeight="1">
      <c r="B135" s="1"/>
      <c r="C135" s="1"/>
    </row>
    <row r="136" spans="2:3" ht="15.75" customHeight="1">
      <c r="B136" s="1"/>
      <c r="C136" s="1"/>
    </row>
    <row r="137" spans="2:3" ht="15.75" customHeight="1">
      <c r="B137" s="1"/>
      <c r="C137" s="1"/>
    </row>
    <row r="138" spans="2:3" ht="15.75" customHeight="1">
      <c r="B138" s="1"/>
      <c r="C138" s="1"/>
    </row>
    <row r="139" spans="2:3" ht="15.75" customHeight="1">
      <c r="B139" s="1"/>
      <c r="C139" s="1"/>
    </row>
    <row r="140" spans="2:3" ht="15.75" customHeight="1">
      <c r="B140" s="1"/>
      <c r="C140" s="1"/>
    </row>
    <row r="141" spans="2:3" ht="15.75" customHeight="1">
      <c r="B141" s="1"/>
      <c r="C141" s="1"/>
    </row>
    <row r="142" spans="2:3" ht="15.75" customHeight="1">
      <c r="B142" s="1"/>
      <c r="C142" s="1"/>
    </row>
    <row r="143" spans="2:3" ht="15.75" customHeight="1">
      <c r="B143" s="1"/>
      <c r="C143" s="1"/>
    </row>
    <row r="144" spans="2:3" ht="15.75" customHeight="1">
      <c r="B144" s="1"/>
      <c r="C144" s="1"/>
    </row>
    <row r="145" spans="2:3" ht="15.75" customHeight="1">
      <c r="B145" s="1"/>
      <c r="C145" s="1"/>
    </row>
    <row r="146" spans="2:3" ht="15.75" customHeight="1">
      <c r="B146" s="1"/>
      <c r="C146" s="1"/>
    </row>
    <row r="147" spans="2:3" ht="15.75" customHeight="1">
      <c r="B147" s="1"/>
      <c r="C147" s="1"/>
    </row>
    <row r="148" spans="2:3" ht="15.75" customHeight="1">
      <c r="B148" s="1"/>
      <c r="C148" s="1"/>
    </row>
    <row r="149" spans="2:3" ht="15.75" customHeight="1">
      <c r="B149" s="1"/>
      <c r="C149" s="1"/>
    </row>
    <row r="150" spans="2:3" ht="15.75" customHeight="1">
      <c r="B150" s="1"/>
      <c r="C150" s="1"/>
    </row>
    <row r="151" spans="2:3" ht="15.75" customHeight="1">
      <c r="B151" s="1"/>
      <c r="C151" s="1"/>
    </row>
    <row r="152" spans="2:3" ht="15.75" customHeight="1">
      <c r="B152" s="1"/>
      <c r="C152" s="1"/>
    </row>
    <row r="153" spans="2:3" ht="15.75" customHeight="1">
      <c r="B153" s="1"/>
      <c r="C153" s="1"/>
    </row>
    <row r="154" spans="2:3" ht="15.75" customHeight="1">
      <c r="B154" s="1"/>
      <c r="C154" s="1"/>
    </row>
    <row r="155" spans="2:3" ht="15.75" customHeight="1">
      <c r="B155" s="1"/>
      <c r="C155" s="1"/>
    </row>
    <row r="156" spans="2:3" ht="15.75" customHeight="1">
      <c r="B156" s="1"/>
      <c r="C156" s="1"/>
    </row>
    <row r="157" spans="2:3" ht="15.75" customHeight="1">
      <c r="B157" s="1"/>
      <c r="C157" s="1"/>
    </row>
    <row r="158" spans="2:3" ht="15.75" customHeight="1">
      <c r="B158" s="1"/>
      <c r="C158" s="1"/>
    </row>
    <row r="159" spans="2:3" ht="15.75" customHeight="1">
      <c r="B159" s="1"/>
      <c r="C159" s="1"/>
    </row>
    <row r="160" spans="2:3" ht="15.75" customHeight="1">
      <c r="B160" s="1"/>
      <c r="C160" s="1"/>
    </row>
    <row r="161" spans="2:3" ht="15.75" customHeight="1">
      <c r="B161" s="1"/>
      <c r="C161" s="1"/>
    </row>
    <row r="162" spans="2:3" ht="15.75" customHeight="1">
      <c r="B162" s="1"/>
      <c r="C162" s="1"/>
    </row>
    <row r="163" spans="2:3" ht="15.75" customHeight="1">
      <c r="B163" s="1"/>
      <c r="C163" s="1"/>
    </row>
    <row r="164" spans="2:3" ht="15.75" customHeight="1">
      <c r="B164" s="1"/>
      <c r="C164" s="1"/>
    </row>
    <row r="165" spans="2:3" ht="15.75" customHeight="1">
      <c r="B165" s="1"/>
      <c r="C165" s="1"/>
    </row>
    <row r="166" spans="2:3" ht="15.75" customHeight="1">
      <c r="B166" s="1"/>
      <c r="C166" s="1"/>
    </row>
    <row r="167" spans="2:3" ht="15.75" customHeight="1">
      <c r="B167" s="1"/>
      <c r="C167" s="1"/>
    </row>
    <row r="168" spans="2:3" ht="15.75" customHeight="1">
      <c r="B168" s="1"/>
      <c r="C168" s="1"/>
    </row>
    <row r="169" spans="2:3" ht="15.75" customHeight="1">
      <c r="B169" s="1"/>
      <c r="C169" s="1"/>
    </row>
    <row r="170" spans="2:3" ht="15.75" customHeight="1">
      <c r="B170" s="1"/>
      <c r="C170" s="1"/>
    </row>
    <row r="171" spans="2:3" ht="15.75" customHeight="1">
      <c r="B171" s="1"/>
      <c r="C171" s="1"/>
    </row>
    <row r="172" spans="2:3" ht="15.75" customHeight="1">
      <c r="B172" s="1"/>
      <c r="C172" s="1"/>
    </row>
    <row r="173" spans="2:3" ht="15.75" customHeight="1">
      <c r="B173" s="1"/>
      <c r="C173" s="1"/>
    </row>
    <row r="174" spans="2:3" ht="15.75" customHeight="1">
      <c r="B174" s="1"/>
      <c r="C174" s="1"/>
    </row>
    <row r="175" spans="2:3" ht="15.75" customHeight="1">
      <c r="B175" s="1"/>
      <c r="C175" s="1"/>
    </row>
    <row r="176" spans="2:3" ht="15.75" customHeight="1">
      <c r="B176" s="1"/>
      <c r="C176" s="1"/>
    </row>
    <row r="177" spans="2:3" ht="15.75" customHeight="1">
      <c r="B177" s="1"/>
      <c r="C177" s="1"/>
    </row>
    <row r="178" spans="2:3" ht="15.75" customHeight="1">
      <c r="B178" s="1"/>
      <c r="C178" s="1"/>
    </row>
    <row r="179" spans="2:3" ht="15.75" customHeight="1">
      <c r="B179" s="1"/>
      <c r="C179" s="1"/>
    </row>
    <row r="180" spans="2:3" ht="15.75" customHeight="1">
      <c r="B180" s="1"/>
      <c r="C180" s="1"/>
    </row>
    <row r="181" spans="2:3" ht="15.75" customHeight="1">
      <c r="B181" s="1"/>
      <c r="C181" s="1"/>
    </row>
    <row r="182" spans="2:3" ht="15.75" customHeight="1">
      <c r="B182" s="1"/>
      <c r="C182" s="1"/>
    </row>
    <row r="183" spans="2:3" ht="15.75" customHeight="1">
      <c r="B183" s="1"/>
      <c r="C183" s="1"/>
    </row>
    <row r="184" spans="2:3" ht="15.75" customHeight="1">
      <c r="B184" s="1"/>
      <c r="C184" s="1"/>
    </row>
    <row r="185" spans="2:3" ht="15.75" customHeight="1">
      <c r="B185" s="1"/>
      <c r="C185" s="1"/>
    </row>
    <row r="186" spans="2:3" ht="15.75" customHeight="1">
      <c r="B186" s="1"/>
      <c r="C186" s="1"/>
    </row>
    <row r="187" spans="2:3" ht="15.75" customHeight="1">
      <c r="B187" s="1"/>
      <c r="C187" s="1"/>
    </row>
    <row r="188" spans="2:3" ht="15.75" customHeight="1">
      <c r="B188" s="1"/>
      <c r="C188" s="1"/>
    </row>
    <row r="189" spans="2:3" ht="15.75" customHeight="1">
      <c r="B189" s="1"/>
      <c r="C189" s="1"/>
    </row>
    <row r="190" spans="2:3" ht="15.75" customHeight="1">
      <c r="B190" s="1"/>
      <c r="C190" s="1"/>
    </row>
    <row r="191" spans="2:3" ht="15.75" customHeight="1">
      <c r="B191" s="1"/>
      <c r="C191" s="1"/>
    </row>
    <row r="192" spans="2:3" ht="15.75" customHeight="1">
      <c r="B192" s="1"/>
      <c r="C192" s="1"/>
    </row>
    <row r="193" spans="2:3" ht="15.75" customHeight="1">
      <c r="B193" s="1"/>
      <c r="C193" s="1"/>
    </row>
    <row r="194" spans="2:3" ht="15.75" customHeight="1">
      <c r="B194" s="1"/>
      <c r="C194" s="1"/>
    </row>
    <row r="195" spans="2:3" ht="15.75" customHeight="1">
      <c r="B195" s="1"/>
      <c r="C195" s="1"/>
    </row>
    <row r="196" spans="2:3" ht="15.75" customHeight="1">
      <c r="B196" s="1"/>
      <c r="C196" s="1"/>
    </row>
    <row r="197" spans="2:3" ht="15.75" customHeight="1">
      <c r="B197" s="1"/>
      <c r="C197" s="1"/>
    </row>
    <row r="198" spans="2:3" ht="15.75" customHeight="1">
      <c r="B198" s="1"/>
      <c r="C198" s="1"/>
    </row>
    <row r="199" spans="2:3" ht="15.75" customHeight="1">
      <c r="B199" s="1"/>
      <c r="C199" s="1"/>
    </row>
    <row r="200" spans="2:3" ht="15.75" customHeight="1">
      <c r="B200" s="1"/>
      <c r="C200" s="1"/>
    </row>
    <row r="201" spans="2:3" ht="15.75" customHeight="1">
      <c r="B201" s="1"/>
      <c r="C201" s="1"/>
    </row>
    <row r="202" spans="2:3" ht="15.75" customHeight="1">
      <c r="B202" s="1"/>
      <c r="C202" s="1"/>
    </row>
    <row r="203" spans="2:3" ht="15.75" customHeight="1">
      <c r="B203" s="1"/>
      <c r="C203" s="1"/>
    </row>
    <row r="204" spans="2:3" ht="15.75" customHeight="1">
      <c r="B204" s="1"/>
      <c r="C204" s="1"/>
    </row>
    <row r="205" spans="2:3" ht="15.75" customHeight="1">
      <c r="B205" s="1"/>
      <c r="C205" s="1"/>
    </row>
    <row r="206" spans="2:3" ht="15.75" customHeight="1">
      <c r="B206" s="1"/>
      <c r="C206" s="1"/>
    </row>
    <row r="207" spans="2:3" ht="15.75" customHeight="1">
      <c r="B207" s="1"/>
      <c r="C207" s="1"/>
    </row>
    <row r="208" spans="2:3" ht="15.75" customHeight="1">
      <c r="B208" s="1"/>
      <c r="C208" s="1"/>
    </row>
    <row r="209" spans="2:3" ht="15.75" customHeight="1">
      <c r="B209" s="1"/>
      <c r="C209" s="1"/>
    </row>
    <row r="210" spans="2:3" ht="15.75" customHeight="1">
      <c r="B210" s="1"/>
      <c r="C210" s="1"/>
    </row>
    <row r="211" spans="2:3" ht="15.75" customHeight="1">
      <c r="B211" s="1"/>
      <c r="C211" s="1"/>
    </row>
    <row r="212" spans="2:3" ht="15.75" customHeight="1">
      <c r="B212" s="1"/>
      <c r="C212" s="1"/>
    </row>
    <row r="213" spans="2:3" ht="15.75" customHeight="1">
      <c r="B213" s="1"/>
      <c r="C213" s="1"/>
    </row>
    <row r="214" spans="2:3" ht="15.75" customHeight="1">
      <c r="B214" s="1"/>
      <c r="C214" s="1"/>
    </row>
    <row r="215" spans="2:3" ht="15.75" customHeight="1">
      <c r="B215" s="1"/>
      <c r="C215" s="1"/>
    </row>
    <row r="216" spans="2:3" ht="15.75" customHeight="1">
      <c r="B216" s="1"/>
      <c r="C216" s="1"/>
    </row>
    <row r="217" spans="2:3" ht="15.75" customHeight="1">
      <c r="B217" s="1"/>
      <c r="C217" s="1"/>
    </row>
    <row r="218" spans="2:3" ht="15.75" customHeight="1">
      <c r="B218" s="1"/>
      <c r="C218" s="1"/>
    </row>
    <row r="219" spans="2:3" ht="15.75" customHeight="1">
      <c r="B219" s="1"/>
      <c r="C219" s="1"/>
    </row>
    <row r="220" spans="2:3" ht="15.75" customHeight="1">
      <c r="B220" s="1"/>
      <c r="C220" s="1"/>
    </row>
    <row r="221" spans="2:3" ht="15.75" customHeight="1">
      <c r="B221" s="1"/>
      <c r="C221" s="1"/>
    </row>
    <row r="222" spans="2:3" ht="15.75" customHeight="1">
      <c r="B222" s="1"/>
      <c r="C222" s="1"/>
    </row>
    <row r="223" spans="2:3" ht="15.75" customHeight="1">
      <c r="B223" s="1"/>
      <c r="C223" s="1"/>
    </row>
    <row r="224" spans="2:3" ht="15.75" customHeight="1">
      <c r="B224" s="1"/>
      <c r="C224" s="1"/>
    </row>
    <row r="225" spans="2:3" ht="15.75" customHeight="1">
      <c r="B225" s="1"/>
      <c r="C225" s="1"/>
    </row>
    <row r="226" spans="2:3" ht="15.75" customHeight="1">
      <c r="B226" s="1"/>
      <c r="C226" s="1"/>
    </row>
    <row r="227" spans="2:3" ht="15.75" customHeight="1">
      <c r="B227" s="1"/>
      <c r="C227" s="1"/>
    </row>
    <row r="228" spans="2:3" ht="15.75" customHeight="1">
      <c r="B228" s="1"/>
      <c r="C228" s="1"/>
    </row>
    <row r="229" spans="2:3" ht="15.75" customHeight="1">
      <c r="B229" s="1"/>
      <c r="C229" s="1"/>
    </row>
    <row r="230" spans="2:3" ht="15.75" customHeight="1">
      <c r="B230" s="1"/>
      <c r="C230" s="1"/>
    </row>
    <row r="231" spans="2:3" ht="15.75" customHeight="1">
      <c r="B231" s="1"/>
      <c r="C231" s="1"/>
    </row>
    <row r="232" spans="2:3" ht="15.75" customHeight="1">
      <c r="B232" s="1"/>
      <c r="C232" s="1"/>
    </row>
    <row r="233" spans="2:3" ht="15.75" customHeight="1">
      <c r="B233" s="1"/>
      <c r="C233" s="1"/>
    </row>
    <row r="234" spans="2:3" ht="15.75" customHeight="1">
      <c r="B234" s="1"/>
      <c r="C234" s="1"/>
    </row>
    <row r="235" spans="2:3" ht="15.75" customHeight="1">
      <c r="B235" s="1"/>
      <c r="C235" s="1"/>
    </row>
    <row r="236" spans="2:3" ht="15.75" customHeight="1">
      <c r="B236" s="1"/>
      <c r="C236" s="1"/>
    </row>
    <row r="237" spans="2:3" ht="15.75" customHeight="1">
      <c r="B237" s="1"/>
      <c r="C237" s="1"/>
    </row>
    <row r="238" spans="2:3" ht="15.75" customHeight="1">
      <c r="B238" s="1"/>
      <c r="C238" s="1"/>
    </row>
    <row r="239" spans="2:3" ht="15.75" customHeight="1">
      <c r="B239" s="1"/>
      <c r="C239" s="1"/>
    </row>
    <row r="240" spans="2:3" ht="15.75" customHeight="1">
      <c r="B240" s="1"/>
      <c r="C240" s="1"/>
    </row>
    <row r="241" spans="2:3" ht="15.75" customHeight="1">
      <c r="B241" s="1"/>
      <c r="C241" s="1"/>
    </row>
    <row r="242" spans="2:3" ht="15.75" customHeight="1">
      <c r="B242" s="1"/>
      <c r="C242" s="1"/>
    </row>
    <row r="243" spans="2:3" ht="15.75" customHeight="1">
      <c r="B243" s="1"/>
      <c r="C243" s="1"/>
    </row>
    <row r="244" spans="2:3" ht="15.75" customHeight="1">
      <c r="B244" s="1"/>
      <c r="C244" s="1"/>
    </row>
    <row r="245" spans="2:3" ht="15.75" customHeight="1">
      <c r="B245" s="1"/>
      <c r="C245" s="1"/>
    </row>
    <row r="246" spans="2:3" ht="15.75" customHeight="1">
      <c r="B246" s="1"/>
      <c r="C246" s="1"/>
    </row>
    <row r="247" spans="2:3" ht="15.75" customHeight="1">
      <c r="B247" s="1"/>
      <c r="C247" s="1"/>
    </row>
    <row r="248" spans="2:3" ht="15.75" customHeight="1">
      <c r="B248" s="1"/>
      <c r="C248" s="1"/>
    </row>
    <row r="249" spans="2:3" ht="15.75" customHeight="1">
      <c r="B249" s="1"/>
      <c r="C249" s="1"/>
    </row>
    <row r="250" spans="2:3" ht="15.75" customHeight="1">
      <c r="B250" s="1"/>
      <c r="C250" s="1"/>
    </row>
    <row r="251" spans="2:3" ht="15.75" customHeight="1">
      <c r="B251" s="1"/>
      <c r="C251" s="1"/>
    </row>
    <row r="252" spans="2:3" ht="15.75" customHeight="1">
      <c r="B252" s="1"/>
      <c r="C252" s="1"/>
    </row>
    <row r="253" spans="2:3" ht="15.75" customHeight="1">
      <c r="B253" s="1"/>
      <c r="C253" s="1"/>
    </row>
    <row r="254" spans="2:3" ht="15.75" customHeight="1">
      <c r="B254" s="1"/>
      <c r="C254" s="1"/>
    </row>
    <row r="255" spans="2:3" ht="15.75" customHeight="1">
      <c r="B255" s="1"/>
      <c r="C255" s="1"/>
    </row>
    <row r="256" spans="2:3" ht="15.75" customHeight="1">
      <c r="B256" s="1"/>
      <c r="C256" s="1"/>
    </row>
    <row r="257" spans="2:3" ht="15.75" customHeight="1">
      <c r="B257" s="1"/>
      <c r="C257" s="1"/>
    </row>
    <row r="258" spans="2:3" ht="15.75" customHeight="1">
      <c r="B258" s="1"/>
      <c r="C258" s="1"/>
    </row>
    <row r="259" spans="2:3" ht="15.75" customHeight="1">
      <c r="B259" s="1"/>
      <c r="C259" s="1"/>
    </row>
    <row r="260" spans="2:3" ht="15.75" customHeight="1">
      <c r="B260" s="1"/>
      <c r="C260" s="1"/>
    </row>
    <row r="261" spans="2:3" ht="15.75" customHeight="1">
      <c r="B261" s="1"/>
      <c r="C261" s="1"/>
    </row>
    <row r="262" spans="2:3" ht="15.75" customHeight="1">
      <c r="B262" s="1"/>
      <c r="C262" s="1"/>
    </row>
    <row r="263" spans="2:3" ht="15.75" customHeight="1">
      <c r="B263" s="1"/>
      <c r="C263" s="1"/>
    </row>
    <row r="264" spans="2:3" ht="15.75" customHeight="1">
      <c r="B264" s="1"/>
      <c r="C264" s="1"/>
    </row>
    <row r="265" spans="2:3" ht="15.75" customHeight="1">
      <c r="B265" s="1"/>
      <c r="C265" s="1"/>
    </row>
    <row r="266" spans="2:3" ht="15.75" customHeight="1">
      <c r="B266" s="1"/>
      <c r="C266" s="1"/>
    </row>
    <row r="267" spans="2:3" ht="15.75" customHeight="1">
      <c r="B267" s="1"/>
      <c r="C267" s="1"/>
    </row>
    <row r="268" spans="2:3" ht="15.75" customHeight="1">
      <c r="B268" s="1"/>
      <c r="C268" s="1"/>
    </row>
    <row r="269" spans="2:3" ht="15.75" customHeight="1">
      <c r="B269" s="1"/>
      <c r="C269" s="1"/>
    </row>
    <row r="270" spans="2:3" ht="15.75" customHeight="1">
      <c r="B270" s="1"/>
      <c r="C270" s="1"/>
    </row>
    <row r="271" spans="2:3" ht="15.75" customHeight="1">
      <c r="B271" s="1"/>
      <c r="C271" s="1"/>
    </row>
    <row r="272" spans="2:3" ht="15.75" customHeight="1">
      <c r="B272" s="1"/>
      <c r="C272" s="1"/>
    </row>
    <row r="273" spans="2:3" ht="15.75" customHeight="1">
      <c r="B273" s="1"/>
      <c r="C273" s="1"/>
    </row>
    <row r="274" spans="2:3" ht="15.75" customHeight="1">
      <c r="B274" s="1"/>
      <c r="C274" s="1"/>
    </row>
    <row r="275" spans="2:3" ht="15.75" customHeight="1">
      <c r="B275" s="1"/>
      <c r="C275" s="1"/>
    </row>
    <row r="276" spans="2:3" ht="15.75" customHeight="1">
      <c r="B276" s="1"/>
      <c r="C276" s="1"/>
    </row>
    <row r="277" spans="2:3" ht="15.75" customHeight="1">
      <c r="B277" s="1"/>
      <c r="C277" s="1"/>
    </row>
    <row r="278" spans="2:3" ht="15.75" customHeight="1">
      <c r="B278" s="1"/>
      <c r="C278" s="1"/>
    </row>
    <row r="279" spans="2:3" ht="15.75" customHeight="1">
      <c r="B279" s="1"/>
      <c r="C279" s="1"/>
    </row>
    <row r="280" spans="2:3" ht="15.75" customHeight="1">
      <c r="B280" s="1"/>
      <c r="C280" s="1"/>
    </row>
    <row r="281" spans="2:3" ht="15.75" customHeight="1">
      <c r="B281" s="1"/>
      <c r="C281" s="1"/>
    </row>
    <row r="282" spans="2:3" ht="15.75" customHeight="1">
      <c r="B282" s="1"/>
      <c r="C282" s="1"/>
    </row>
    <row r="283" spans="2:3" ht="15.75" customHeight="1">
      <c r="B283" s="1"/>
      <c r="C283" s="1"/>
    </row>
    <row r="284" spans="2:3" ht="15.75" customHeight="1">
      <c r="B284" s="1"/>
      <c r="C284" s="1"/>
    </row>
    <row r="285" spans="2:3" ht="15.75" customHeight="1">
      <c r="B285" s="1"/>
      <c r="C285" s="1"/>
    </row>
    <row r="286" spans="2:3" ht="15.75" customHeight="1">
      <c r="B286" s="1"/>
      <c r="C286" s="1"/>
    </row>
    <row r="287" spans="2:3" ht="15.75" customHeight="1">
      <c r="B287" s="1"/>
      <c r="C287" s="1"/>
    </row>
    <row r="288" spans="2:3" ht="15.75" customHeight="1">
      <c r="B288" s="1"/>
      <c r="C288" s="1"/>
    </row>
    <row r="289" spans="2:3" ht="15.75" customHeight="1">
      <c r="B289" s="1"/>
      <c r="C289" s="1"/>
    </row>
    <row r="290" spans="2:3" ht="15.75" customHeight="1">
      <c r="B290" s="1"/>
      <c r="C290" s="1"/>
    </row>
    <row r="291" spans="2:3" ht="15.75" customHeight="1">
      <c r="B291" s="1"/>
      <c r="C291" s="1"/>
    </row>
    <row r="292" spans="2:3" ht="15.75" customHeight="1">
      <c r="B292" s="1"/>
      <c r="C292" s="1"/>
    </row>
    <row r="293" spans="2:3" ht="15.75" customHeight="1">
      <c r="B293" s="1"/>
      <c r="C293" s="1"/>
    </row>
    <row r="294" spans="2:3" ht="15.75" customHeight="1">
      <c r="B294" s="1"/>
      <c r="C294" s="1"/>
    </row>
    <row r="295" spans="2:3" ht="15.75" customHeight="1">
      <c r="B295" s="1"/>
      <c r="C295" s="1"/>
    </row>
    <row r="296" spans="2:3" ht="15.75" customHeight="1">
      <c r="B296" s="1"/>
      <c r="C296" s="1"/>
    </row>
    <row r="297" spans="2:3" ht="15.75" customHeight="1">
      <c r="B297" s="1"/>
      <c r="C297" s="1"/>
    </row>
    <row r="298" spans="2:3" ht="15.75" customHeight="1">
      <c r="B298" s="1"/>
      <c r="C298" s="1"/>
    </row>
    <row r="299" spans="2:3" ht="15.75" customHeight="1">
      <c r="B299" s="1"/>
      <c r="C299" s="1"/>
    </row>
    <row r="300" spans="2:3" ht="15.75" customHeight="1">
      <c r="B300" s="1"/>
      <c r="C300" s="1"/>
    </row>
    <row r="301" spans="2:3" ht="15.75" customHeight="1">
      <c r="B301" s="1"/>
      <c r="C301" s="1"/>
    </row>
    <row r="302" spans="2:3" ht="15.75" customHeight="1">
      <c r="B302" s="1"/>
      <c r="C302" s="1"/>
    </row>
    <row r="303" spans="2:3" ht="15.75" customHeight="1">
      <c r="B303" s="1"/>
      <c r="C303" s="1"/>
    </row>
    <row r="304" spans="2:3" ht="15.75" customHeight="1">
      <c r="B304" s="1"/>
      <c r="C304" s="1"/>
    </row>
    <row r="305" spans="2:3" ht="15.75" customHeight="1">
      <c r="B305" s="1"/>
      <c r="C305" s="1"/>
    </row>
    <row r="306" spans="2:3" ht="15.75" customHeight="1">
      <c r="B306" s="1"/>
      <c r="C306" s="1"/>
    </row>
    <row r="307" spans="2:3" ht="15.75" customHeight="1">
      <c r="B307" s="1"/>
      <c r="C307" s="1"/>
    </row>
    <row r="308" spans="2:3" ht="15.75" customHeight="1">
      <c r="B308" s="1"/>
      <c r="C308" s="1"/>
    </row>
    <row r="309" spans="2:3" ht="15.75" customHeight="1">
      <c r="B309" s="1"/>
      <c r="C309" s="1"/>
    </row>
    <row r="310" spans="2:3" ht="15.75" customHeight="1">
      <c r="B310" s="1"/>
      <c r="C310" s="1"/>
    </row>
    <row r="311" spans="2:3" ht="15.75" customHeight="1">
      <c r="B311" s="1"/>
      <c r="C311" s="1"/>
    </row>
    <row r="312" spans="2:3" ht="15.75" customHeight="1">
      <c r="B312" s="1"/>
      <c r="C312" s="1"/>
    </row>
    <row r="313" spans="2:3" ht="15.75" customHeight="1">
      <c r="B313" s="1"/>
      <c r="C313" s="1"/>
    </row>
    <row r="314" spans="2:3" ht="15.75" customHeight="1">
      <c r="B314" s="1"/>
      <c r="C314" s="1"/>
    </row>
    <row r="315" spans="2:3" ht="15.75" customHeight="1">
      <c r="B315" s="1"/>
      <c r="C315" s="1"/>
    </row>
    <row r="316" spans="2:3" ht="15.75" customHeight="1">
      <c r="B316" s="1"/>
      <c r="C316" s="1"/>
    </row>
    <row r="317" spans="2:3" ht="15.75" customHeight="1">
      <c r="B317" s="1"/>
      <c r="C317" s="1"/>
    </row>
    <row r="318" spans="2:3" ht="15.75" customHeight="1">
      <c r="B318" s="1"/>
      <c r="C318" s="1"/>
    </row>
    <row r="319" spans="2:3" ht="15.75" customHeight="1">
      <c r="B319" s="1"/>
      <c r="C319" s="1"/>
    </row>
    <row r="320" spans="2:3" ht="15.75" customHeight="1">
      <c r="B320" s="1"/>
      <c r="C320" s="1"/>
    </row>
    <row r="321" spans="2:3" ht="15.75" customHeight="1">
      <c r="B321" s="1"/>
      <c r="C321" s="1"/>
    </row>
    <row r="322" spans="2:3" ht="15.75" customHeight="1">
      <c r="B322" s="1"/>
      <c r="C322" s="1"/>
    </row>
    <row r="323" spans="2:3" ht="15.75" customHeight="1">
      <c r="B323" s="1"/>
      <c r="C323" s="1"/>
    </row>
    <row r="324" spans="2:3" ht="15.75" customHeight="1">
      <c r="B324" s="1"/>
      <c r="C324" s="1"/>
    </row>
    <row r="325" spans="2:3" ht="15.75" customHeight="1">
      <c r="B325" s="1"/>
      <c r="C325" s="1"/>
    </row>
    <row r="326" spans="2:3" ht="15.75" customHeight="1">
      <c r="B326" s="1"/>
      <c r="C326" s="1"/>
    </row>
    <row r="327" spans="2:3" ht="15.75" customHeight="1">
      <c r="B327" s="1"/>
      <c r="C327" s="1"/>
    </row>
    <row r="328" spans="2:3" ht="15.75" customHeight="1">
      <c r="B328" s="1"/>
      <c r="C328" s="1"/>
    </row>
    <row r="329" spans="2:3" ht="15.75" customHeight="1">
      <c r="B329" s="1"/>
      <c r="C329" s="1"/>
    </row>
    <row r="330" spans="2:3" ht="15.75" customHeight="1">
      <c r="B330" s="1"/>
      <c r="C330" s="1"/>
    </row>
    <row r="331" spans="2:3" ht="15.75" customHeight="1">
      <c r="B331" s="1"/>
      <c r="C331" s="1"/>
    </row>
    <row r="332" spans="2:3" ht="15.75" customHeight="1">
      <c r="B332" s="1"/>
      <c r="C332" s="1"/>
    </row>
    <row r="333" spans="2:3" ht="15.75" customHeight="1">
      <c r="B333" s="1"/>
      <c r="C333" s="1"/>
    </row>
    <row r="334" spans="2:3" ht="15.75" customHeight="1">
      <c r="B334" s="1"/>
      <c r="C334" s="1"/>
    </row>
    <row r="335" spans="2:3" ht="15.75" customHeight="1">
      <c r="B335" s="1"/>
      <c r="C335" s="1"/>
    </row>
    <row r="336" spans="2:3" ht="15.75" customHeight="1">
      <c r="B336" s="1"/>
      <c r="C336" s="1"/>
    </row>
    <row r="337" spans="2:3" ht="15.75" customHeight="1">
      <c r="B337" s="1"/>
      <c r="C337" s="1"/>
    </row>
    <row r="338" spans="2:3" ht="15.75" customHeight="1">
      <c r="B338" s="1"/>
      <c r="C338" s="1"/>
    </row>
    <row r="339" spans="2:3" ht="15.75" customHeight="1">
      <c r="B339" s="1"/>
      <c r="C339" s="1"/>
    </row>
    <row r="340" spans="2:3" ht="15.75" customHeight="1">
      <c r="B340" s="1"/>
      <c r="C340" s="1"/>
    </row>
    <row r="341" spans="2:3" ht="15.75" customHeight="1">
      <c r="B341" s="1"/>
      <c r="C341" s="1"/>
    </row>
    <row r="342" spans="2:3" ht="15.75" customHeight="1">
      <c r="B342" s="1"/>
      <c r="C342" s="1"/>
    </row>
    <row r="343" spans="2:3" ht="15.75" customHeight="1">
      <c r="B343" s="1"/>
      <c r="C343" s="1"/>
    </row>
    <row r="344" spans="2:3" ht="15.75" customHeight="1">
      <c r="B344" s="1"/>
      <c r="C344" s="1"/>
    </row>
    <row r="345" spans="2:3" ht="15.75" customHeight="1">
      <c r="B345" s="1"/>
      <c r="C345" s="1"/>
    </row>
    <row r="346" spans="2:3" ht="15.75" customHeight="1">
      <c r="B346" s="1"/>
      <c r="C346" s="1"/>
    </row>
    <row r="347" spans="2:3" ht="15.75" customHeight="1">
      <c r="B347" s="1"/>
      <c r="C347" s="1"/>
    </row>
    <row r="348" spans="2:3" ht="15.75" customHeight="1">
      <c r="B348" s="1"/>
      <c r="C348" s="1"/>
    </row>
    <row r="349" spans="2:3" ht="15.75" customHeight="1">
      <c r="B349" s="1"/>
      <c r="C349" s="1"/>
    </row>
    <row r="350" spans="2:3" ht="15.75" customHeight="1">
      <c r="B350" s="1"/>
      <c r="C350" s="1"/>
    </row>
    <row r="351" spans="2:3" ht="15.75" customHeight="1">
      <c r="B351" s="1"/>
      <c r="C351" s="1"/>
    </row>
    <row r="352" spans="2:3" ht="15.75" customHeight="1">
      <c r="B352" s="1"/>
      <c r="C352" s="1"/>
    </row>
    <row r="353" spans="2:3" ht="15.75" customHeight="1">
      <c r="B353" s="1"/>
      <c r="C353" s="1"/>
    </row>
    <row r="354" spans="2:3" ht="15.75" customHeight="1">
      <c r="B354" s="1"/>
      <c r="C354" s="1"/>
    </row>
    <row r="355" spans="2:3" ht="15.75" customHeight="1">
      <c r="B355" s="1"/>
      <c r="C355" s="1"/>
    </row>
    <row r="356" spans="2:3" ht="15.75" customHeight="1">
      <c r="B356" s="1"/>
      <c r="C356" s="1"/>
    </row>
    <row r="357" spans="2:3" ht="15.75" customHeight="1">
      <c r="B357" s="1"/>
      <c r="C357" s="1"/>
    </row>
    <row r="358" spans="2:3" ht="15.75" customHeight="1">
      <c r="B358" s="1"/>
      <c r="C358" s="1"/>
    </row>
    <row r="359" spans="2:3" ht="15.75" customHeight="1">
      <c r="B359" s="1"/>
      <c r="C359" s="1"/>
    </row>
    <row r="360" spans="2:3" ht="15.75" customHeight="1">
      <c r="B360" s="1"/>
      <c r="C360" s="1"/>
    </row>
    <row r="361" spans="2:3" ht="15.75" customHeight="1">
      <c r="B361" s="1"/>
      <c r="C361" s="1"/>
    </row>
    <row r="362" spans="2:3" ht="15.75" customHeight="1">
      <c r="B362" s="1"/>
      <c r="C362" s="1"/>
    </row>
    <row r="363" spans="2:3" ht="15.75" customHeight="1">
      <c r="B363" s="1"/>
      <c r="C363" s="1"/>
    </row>
    <row r="364" spans="2:3" ht="15.75" customHeight="1">
      <c r="B364" s="1"/>
      <c r="C364" s="1"/>
    </row>
    <row r="365" spans="2:3" ht="15.75" customHeight="1">
      <c r="B365" s="1"/>
      <c r="C365" s="1"/>
    </row>
    <row r="366" spans="2:3" ht="15.75" customHeight="1">
      <c r="B366" s="1"/>
      <c r="C366" s="1"/>
    </row>
    <row r="367" spans="2:3" ht="15.75" customHeight="1">
      <c r="B367" s="1"/>
      <c r="C367" s="1"/>
    </row>
    <row r="368" spans="2:3" ht="15.75" customHeight="1">
      <c r="B368" s="1"/>
      <c r="C368" s="1"/>
    </row>
    <row r="369" spans="2:3" ht="15.75" customHeight="1">
      <c r="B369" s="1"/>
      <c r="C369" s="1"/>
    </row>
    <row r="370" spans="2:3" ht="15.75" customHeight="1">
      <c r="B370" s="1"/>
      <c r="C370" s="1"/>
    </row>
    <row r="371" spans="2:3" ht="15.75" customHeight="1">
      <c r="B371" s="1"/>
      <c r="C371" s="1"/>
    </row>
    <row r="372" spans="2:3" ht="15.75" customHeight="1">
      <c r="B372" s="1"/>
      <c r="C372" s="1"/>
    </row>
    <row r="373" spans="2:3" ht="15.75" customHeight="1">
      <c r="B373" s="1"/>
      <c r="C373" s="1"/>
    </row>
    <row r="374" spans="2:3" ht="15.75" customHeight="1">
      <c r="B374" s="1"/>
      <c r="C374" s="1"/>
    </row>
    <row r="375" spans="2:3" ht="15.75" customHeight="1">
      <c r="B375" s="1"/>
      <c r="C375" s="1"/>
    </row>
    <row r="376" spans="2:3" ht="15.75" customHeight="1">
      <c r="B376" s="1"/>
      <c r="C376" s="1"/>
    </row>
    <row r="377" spans="2:3" ht="15.75" customHeight="1">
      <c r="B377" s="1"/>
      <c r="C377" s="1"/>
    </row>
    <row r="378" spans="2:3" ht="15.75" customHeight="1">
      <c r="B378" s="1"/>
      <c r="C378" s="1"/>
    </row>
    <row r="379" spans="2:3" ht="15.75" customHeight="1">
      <c r="B379" s="1"/>
      <c r="C379" s="1"/>
    </row>
    <row r="380" spans="2:3" ht="15.75" customHeight="1">
      <c r="B380" s="1"/>
      <c r="C380" s="1"/>
    </row>
    <row r="381" spans="2:3" ht="15.75" customHeight="1">
      <c r="B381" s="1"/>
      <c r="C381" s="1"/>
    </row>
    <row r="382" spans="2:3" ht="15.75" customHeight="1">
      <c r="B382" s="1"/>
      <c r="C382" s="1"/>
    </row>
    <row r="383" spans="2:3" ht="15.75" customHeight="1">
      <c r="B383" s="1"/>
      <c r="C383" s="1"/>
    </row>
    <row r="384" spans="2:3" ht="15.75" customHeight="1">
      <c r="B384" s="1"/>
      <c r="C384" s="1"/>
    </row>
    <row r="385" spans="2:3" ht="15.75" customHeight="1">
      <c r="B385" s="1"/>
      <c r="C385" s="1"/>
    </row>
    <row r="386" spans="2:3" ht="15.75" customHeight="1">
      <c r="B386" s="1"/>
      <c r="C386" s="1"/>
    </row>
    <row r="387" spans="2:3" ht="15.75" customHeight="1">
      <c r="B387" s="1"/>
      <c r="C387" s="1"/>
    </row>
    <row r="388" spans="2:3" ht="15.75" customHeight="1">
      <c r="B388" s="1"/>
      <c r="C388" s="1"/>
    </row>
    <row r="389" spans="2:3" ht="15.75" customHeight="1">
      <c r="B389" s="1"/>
      <c r="C389" s="1"/>
    </row>
    <row r="390" spans="2:3" ht="15.75" customHeight="1">
      <c r="B390" s="1"/>
      <c r="C390" s="1"/>
    </row>
    <row r="391" spans="2:3" ht="15.75" customHeight="1">
      <c r="B391" s="1"/>
      <c r="C391" s="1"/>
    </row>
    <row r="392" spans="2:3" ht="15.75" customHeight="1">
      <c r="B392" s="1"/>
      <c r="C392" s="1"/>
    </row>
    <row r="393" spans="2:3" ht="15.75" customHeight="1">
      <c r="B393" s="1"/>
      <c r="C393" s="1"/>
    </row>
    <row r="394" spans="2:3" ht="15.75" customHeight="1">
      <c r="B394" s="1"/>
      <c r="C394" s="1"/>
    </row>
    <row r="395" spans="2:3" ht="15.75" customHeight="1">
      <c r="B395" s="1"/>
      <c r="C395" s="1"/>
    </row>
    <row r="396" spans="2:3" ht="15.75" customHeight="1">
      <c r="B396" s="1"/>
      <c r="C396" s="1"/>
    </row>
    <row r="397" spans="2:3" ht="15.75" customHeight="1">
      <c r="B397" s="1"/>
      <c r="C397" s="1"/>
    </row>
    <row r="398" spans="2:3" ht="15.75" customHeight="1">
      <c r="B398" s="1"/>
      <c r="C398" s="1"/>
    </row>
    <row r="399" spans="2:3" ht="15.75" customHeight="1">
      <c r="B399" s="1"/>
      <c r="C399" s="1"/>
    </row>
    <row r="400" spans="2:3" ht="15.75" customHeight="1">
      <c r="B400" s="1"/>
      <c r="C400" s="1"/>
    </row>
    <row r="401" spans="2:3" ht="15.75" customHeight="1">
      <c r="B401" s="1"/>
      <c r="C401" s="1"/>
    </row>
    <row r="402" spans="2:3" ht="15.75" customHeight="1">
      <c r="B402" s="1"/>
      <c r="C402" s="1"/>
    </row>
    <row r="403" spans="2:3" ht="15.75" customHeight="1">
      <c r="B403" s="1"/>
      <c r="C403" s="1"/>
    </row>
    <row r="404" spans="2:3" ht="15.75" customHeight="1">
      <c r="B404" s="1"/>
      <c r="C404" s="1"/>
    </row>
    <row r="405" spans="2:3" ht="15.75" customHeight="1">
      <c r="B405" s="1"/>
      <c r="C405" s="1"/>
    </row>
    <row r="406" spans="2:3" ht="15.75" customHeight="1">
      <c r="B406" s="1"/>
      <c r="C406" s="1"/>
    </row>
    <row r="407" spans="2:3" ht="15.75" customHeight="1">
      <c r="B407" s="1"/>
      <c r="C407" s="1"/>
    </row>
    <row r="408" spans="2:3" ht="15.75" customHeight="1">
      <c r="B408" s="1"/>
      <c r="C408" s="1"/>
    </row>
    <row r="409" spans="2:3" ht="15.75" customHeight="1">
      <c r="B409" s="1"/>
      <c r="C409" s="1"/>
    </row>
    <row r="410" spans="2:3" ht="15.75" customHeight="1">
      <c r="B410" s="1"/>
      <c r="C410" s="1"/>
    </row>
    <row r="411" spans="2:3" ht="15.75" customHeight="1">
      <c r="B411" s="1"/>
      <c r="C411" s="1"/>
    </row>
    <row r="412" spans="2:3" ht="15.75" customHeight="1">
      <c r="B412" s="1"/>
      <c r="C412" s="1"/>
    </row>
    <row r="413" spans="2:3" ht="15.75" customHeight="1">
      <c r="B413" s="1"/>
      <c r="C413" s="1"/>
    </row>
    <row r="414" spans="2:3" ht="15.75" customHeight="1">
      <c r="B414" s="1"/>
      <c r="C414" s="1"/>
    </row>
    <row r="415" spans="2:3" ht="15.75" customHeight="1">
      <c r="B415" s="1"/>
      <c r="C415" s="1"/>
    </row>
    <row r="416" spans="2:3" ht="15.75" customHeight="1">
      <c r="B416" s="1"/>
      <c r="C416" s="1"/>
    </row>
    <row r="417" spans="2:3" ht="15.75" customHeight="1">
      <c r="B417" s="1"/>
      <c r="C417" s="1"/>
    </row>
    <row r="418" spans="2:3" ht="15.75" customHeight="1">
      <c r="B418" s="1"/>
      <c r="C418" s="1"/>
    </row>
    <row r="419" spans="2:3" ht="15.75" customHeight="1">
      <c r="B419" s="1"/>
      <c r="C419" s="1"/>
    </row>
    <row r="420" spans="2:3" ht="15.75" customHeight="1">
      <c r="B420" s="1"/>
      <c r="C420" s="1"/>
    </row>
    <row r="421" spans="2:3" ht="15.75" customHeight="1">
      <c r="B421" s="1"/>
      <c r="C421" s="1"/>
    </row>
    <row r="422" spans="2:3" ht="15.75" customHeight="1">
      <c r="B422" s="1"/>
      <c r="C422" s="1"/>
    </row>
    <row r="423" spans="2:3" ht="15.75" customHeight="1">
      <c r="B423" s="1"/>
      <c r="C423" s="1"/>
    </row>
    <row r="424" spans="2:3" ht="15.75" customHeight="1">
      <c r="B424" s="1"/>
      <c r="C424" s="1"/>
    </row>
    <row r="425" spans="2:3" ht="15.75" customHeight="1">
      <c r="B425" s="1"/>
      <c r="C425" s="1"/>
    </row>
    <row r="426" spans="2:3" ht="15.75" customHeight="1">
      <c r="B426" s="1"/>
      <c r="C426" s="1"/>
    </row>
    <row r="427" spans="2:3" ht="15.75" customHeight="1">
      <c r="B427" s="1"/>
      <c r="C427" s="1"/>
    </row>
    <row r="428" spans="2:3" ht="15.75" customHeight="1">
      <c r="B428" s="1"/>
      <c r="C428" s="1"/>
    </row>
    <row r="429" spans="2:3" ht="15.75" customHeight="1">
      <c r="B429" s="1"/>
      <c r="C429" s="1"/>
    </row>
    <row r="430" spans="2:3" ht="15.75" customHeight="1">
      <c r="B430" s="1"/>
      <c r="C430" s="1"/>
    </row>
    <row r="431" spans="2:3" ht="15.75" customHeight="1">
      <c r="B431" s="1"/>
      <c r="C431" s="1"/>
    </row>
    <row r="432" spans="2:3" ht="15.75" customHeight="1">
      <c r="B432" s="1"/>
      <c r="C432" s="1"/>
    </row>
    <row r="433" spans="2:3" ht="15.75" customHeight="1">
      <c r="B433" s="1"/>
      <c r="C433" s="1"/>
    </row>
    <row r="434" spans="2:3" ht="15.75" customHeight="1">
      <c r="B434" s="1"/>
      <c r="C434" s="1"/>
    </row>
    <row r="435" spans="2:3" ht="15.75" customHeight="1">
      <c r="B435" s="1"/>
      <c r="C435" s="1"/>
    </row>
    <row r="436" spans="2:3" ht="15.75" customHeight="1">
      <c r="B436" s="1"/>
      <c r="C436" s="1"/>
    </row>
    <row r="437" spans="2:3" ht="15.75" customHeight="1">
      <c r="B437" s="1"/>
      <c r="C437" s="1"/>
    </row>
    <row r="438" spans="2:3" ht="15.75" customHeight="1">
      <c r="B438" s="1"/>
      <c r="C438" s="1"/>
    </row>
    <row r="439" spans="2:3" ht="15.75" customHeight="1">
      <c r="B439" s="1"/>
      <c r="C439" s="1"/>
    </row>
    <row r="440" spans="2:3" ht="15.75" customHeight="1">
      <c r="B440" s="1"/>
      <c r="C440" s="1"/>
    </row>
    <row r="441" spans="2:3" ht="15.75" customHeight="1">
      <c r="B441" s="1"/>
      <c r="C441" s="1"/>
    </row>
    <row r="442" spans="2:3" ht="15.75" customHeight="1">
      <c r="B442" s="1"/>
      <c r="C442" s="1"/>
    </row>
    <row r="443" spans="2:3" ht="15.75" customHeight="1">
      <c r="B443" s="1"/>
      <c r="C443" s="1"/>
    </row>
    <row r="444" spans="2:3" ht="15.75" customHeight="1">
      <c r="B444" s="1"/>
      <c r="C444" s="1"/>
    </row>
    <row r="445" spans="2:3" ht="15.75" customHeight="1">
      <c r="B445" s="1"/>
      <c r="C445" s="1"/>
    </row>
    <row r="446" spans="2:3" ht="15.75" customHeight="1">
      <c r="B446" s="1"/>
      <c r="C446" s="1"/>
    </row>
    <row r="447" spans="2:3" ht="15.75" customHeight="1">
      <c r="B447" s="1"/>
      <c r="C447" s="1"/>
    </row>
    <row r="448" spans="2:3" ht="15.75" customHeight="1">
      <c r="B448" s="1"/>
      <c r="C448" s="1"/>
    </row>
    <row r="449" spans="2:3" ht="15.75" customHeight="1">
      <c r="B449" s="1"/>
      <c r="C449" s="1"/>
    </row>
    <row r="450" spans="2:3" ht="15.75" customHeight="1">
      <c r="B450" s="1"/>
      <c r="C450" s="1"/>
    </row>
    <row r="451" spans="2:3" ht="15.75" customHeight="1">
      <c r="B451" s="1"/>
      <c r="C451" s="1"/>
    </row>
    <row r="452" spans="2:3" ht="15.75" customHeight="1">
      <c r="B452" s="1"/>
      <c r="C452" s="1"/>
    </row>
    <row r="453" spans="2:3" ht="15.75" customHeight="1">
      <c r="B453" s="1"/>
      <c r="C453" s="1"/>
    </row>
    <row r="454" spans="2:3" ht="15.75" customHeight="1">
      <c r="B454" s="1"/>
      <c r="C454" s="1"/>
    </row>
    <row r="455" spans="2:3" ht="15.75" customHeight="1">
      <c r="B455" s="1"/>
      <c r="C455" s="1"/>
    </row>
    <row r="456" spans="2:3" ht="15.75" customHeight="1">
      <c r="B456" s="1"/>
      <c r="C456" s="1"/>
    </row>
    <row r="457" spans="2:3" ht="15.75" customHeight="1">
      <c r="B457" s="1"/>
      <c r="C457" s="1"/>
    </row>
    <row r="458" spans="2:3" ht="15.75" customHeight="1">
      <c r="B458" s="1"/>
      <c r="C458" s="1"/>
    </row>
    <row r="459" spans="2:3" ht="15.75" customHeight="1">
      <c r="B459" s="1"/>
      <c r="C459" s="1"/>
    </row>
    <row r="460" spans="2:3" ht="15.75" customHeight="1">
      <c r="B460" s="1"/>
      <c r="C460" s="1"/>
    </row>
    <row r="461" spans="2:3" ht="15.75" customHeight="1">
      <c r="B461" s="1"/>
      <c r="C461" s="1"/>
    </row>
    <row r="462" spans="2:3" ht="15.75" customHeight="1">
      <c r="B462" s="1"/>
      <c r="C462" s="1"/>
    </row>
    <row r="463" spans="2:3" ht="15.75" customHeight="1">
      <c r="B463" s="1"/>
      <c r="C463" s="1"/>
    </row>
    <row r="464" spans="2:3" ht="15.75" customHeight="1">
      <c r="B464" s="1"/>
      <c r="C464" s="1"/>
    </row>
    <row r="465" spans="2:3" ht="15.75" customHeight="1">
      <c r="B465" s="1"/>
      <c r="C465" s="1"/>
    </row>
    <row r="466" spans="2:3" ht="15.75" customHeight="1">
      <c r="B466" s="1"/>
      <c r="C466" s="1"/>
    </row>
    <row r="467" spans="2:3" ht="15.75" customHeight="1">
      <c r="B467" s="1"/>
      <c r="C467" s="1"/>
    </row>
    <row r="468" spans="2:3" ht="15.75" customHeight="1">
      <c r="B468" s="1"/>
      <c r="C468" s="1"/>
    </row>
    <row r="469" spans="2:3" ht="15.75" customHeight="1">
      <c r="B469" s="1"/>
      <c r="C469" s="1"/>
    </row>
    <row r="470" spans="2:3" ht="15.75" customHeight="1">
      <c r="B470" s="1"/>
      <c r="C470" s="1"/>
    </row>
    <row r="471" spans="2:3" ht="15.75" customHeight="1">
      <c r="B471" s="1"/>
      <c r="C471" s="1"/>
    </row>
    <row r="472" spans="2:3" ht="15.75" customHeight="1">
      <c r="B472" s="1"/>
      <c r="C472" s="1"/>
    </row>
    <row r="473" spans="2:3" ht="15.75" customHeight="1">
      <c r="B473" s="1"/>
      <c r="C473" s="1"/>
    </row>
    <row r="474" spans="2:3" ht="15.75" customHeight="1">
      <c r="B474" s="1"/>
      <c r="C474" s="1"/>
    </row>
    <row r="475" spans="2:3" ht="15.75" customHeight="1">
      <c r="B475" s="1"/>
      <c r="C475" s="1"/>
    </row>
    <row r="476" spans="2:3" ht="15.75" customHeight="1">
      <c r="B476" s="1"/>
      <c r="C476" s="1"/>
    </row>
    <row r="477" spans="2:3" ht="15.75" customHeight="1">
      <c r="B477" s="1"/>
      <c r="C477" s="1"/>
    </row>
    <row r="478" spans="2:3" ht="15.75" customHeight="1">
      <c r="B478" s="1"/>
      <c r="C478" s="1"/>
    </row>
    <row r="479" spans="2:3" ht="15.75" customHeight="1">
      <c r="B479" s="1"/>
      <c r="C479" s="1"/>
    </row>
    <row r="480" spans="2:3" ht="15.75" customHeight="1">
      <c r="B480" s="1"/>
      <c r="C480" s="1"/>
    </row>
    <row r="481" spans="2:3" ht="15.75" customHeight="1">
      <c r="B481" s="1"/>
      <c r="C481" s="1"/>
    </row>
    <row r="482" spans="2:3" ht="15.75" customHeight="1">
      <c r="B482" s="1"/>
      <c r="C482" s="1"/>
    </row>
    <row r="483" spans="2:3" ht="15.75" customHeight="1">
      <c r="B483" s="1"/>
      <c r="C483" s="1"/>
    </row>
    <row r="484" spans="2:3" ht="15.75" customHeight="1">
      <c r="B484" s="1"/>
      <c r="C484" s="1"/>
    </row>
    <row r="485" spans="2:3" ht="15.75" customHeight="1">
      <c r="B485" s="1"/>
      <c r="C485" s="1"/>
    </row>
    <row r="486" spans="2:3" ht="15.75" customHeight="1">
      <c r="B486" s="1"/>
      <c r="C486" s="1"/>
    </row>
    <row r="487" spans="2:3" ht="15.75" customHeight="1">
      <c r="B487" s="1"/>
      <c r="C487" s="1"/>
    </row>
    <row r="488" spans="2:3" ht="15.75" customHeight="1">
      <c r="B488" s="1"/>
      <c r="C488" s="1"/>
    </row>
    <row r="489" spans="2:3" ht="15.75" customHeight="1">
      <c r="B489" s="1"/>
      <c r="C489" s="1"/>
    </row>
    <row r="490" spans="2:3" ht="15.75" customHeight="1">
      <c r="B490" s="1"/>
      <c r="C490" s="1"/>
    </row>
    <row r="491" spans="2:3" ht="15.75" customHeight="1">
      <c r="B491" s="1"/>
      <c r="C491" s="1"/>
    </row>
    <row r="492" spans="2:3" ht="15.75" customHeight="1">
      <c r="B492" s="1"/>
      <c r="C492" s="1"/>
    </row>
    <row r="493" spans="2:3" ht="15.75" customHeight="1">
      <c r="B493" s="1"/>
      <c r="C493" s="1"/>
    </row>
    <row r="494" spans="2:3" ht="15.75" customHeight="1">
      <c r="B494" s="1"/>
      <c r="C494" s="1"/>
    </row>
    <row r="495" spans="2:3" ht="15.75" customHeight="1">
      <c r="B495" s="1"/>
      <c r="C495" s="1"/>
    </row>
    <row r="496" spans="2:3" ht="15.75" customHeight="1">
      <c r="B496" s="1"/>
      <c r="C496" s="1"/>
    </row>
    <row r="497" spans="2:3" ht="15.75" customHeight="1">
      <c r="B497" s="1"/>
      <c r="C497" s="1"/>
    </row>
    <row r="498" spans="2:3" ht="15.75" customHeight="1">
      <c r="B498" s="1"/>
      <c r="C498" s="1"/>
    </row>
    <row r="499" spans="2:3" ht="15.75" customHeight="1">
      <c r="B499" s="1"/>
      <c r="C499" s="1"/>
    </row>
    <row r="500" spans="2:3" ht="15.75" customHeight="1">
      <c r="B500" s="1"/>
      <c r="C500" s="1"/>
    </row>
    <row r="501" spans="2:3" ht="15.75" customHeight="1">
      <c r="B501" s="1"/>
      <c r="C501" s="1"/>
    </row>
    <row r="502" spans="2:3" ht="15.75" customHeight="1">
      <c r="B502" s="1"/>
      <c r="C502" s="1"/>
    </row>
    <row r="503" spans="2:3" ht="15.75" customHeight="1">
      <c r="B503" s="1"/>
      <c r="C503" s="1"/>
    </row>
    <row r="504" spans="2:3" ht="15.75" customHeight="1">
      <c r="B504" s="1"/>
      <c r="C504" s="1"/>
    </row>
    <row r="505" spans="2:3" ht="15.75" customHeight="1">
      <c r="B505" s="1"/>
      <c r="C505" s="1"/>
    </row>
    <row r="506" spans="2:3" ht="15.75" customHeight="1">
      <c r="B506" s="1"/>
      <c r="C506" s="1"/>
    </row>
    <row r="507" spans="2:3" ht="15.75" customHeight="1">
      <c r="B507" s="1"/>
      <c r="C507" s="1"/>
    </row>
    <row r="508" spans="2:3" ht="15.75" customHeight="1">
      <c r="B508" s="1"/>
      <c r="C508" s="1"/>
    </row>
    <row r="509" spans="2:3" ht="15.75" customHeight="1">
      <c r="B509" s="1"/>
      <c r="C509" s="1"/>
    </row>
    <row r="510" spans="2:3" ht="15.75" customHeight="1">
      <c r="B510" s="1"/>
      <c r="C510" s="1"/>
    </row>
    <row r="511" spans="2:3" ht="15.75" customHeight="1">
      <c r="B511" s="1"/>
      <c r="C511" s="1"/>
    </row>
    <row r="512" spans="2:3" ht="15.75" customHeight="1">
      <c r="B512" s="1"/>
      <c r="C512" s="1"/>
    </row>
    <row r="513" spans="2:3" ht="15.75" customHeight="1">
      <c r="B513" s="1"/>
      <c r="C513" s="1"/>
    </row>
    <row r="514" spans="2:3" ht="15.75" customHeight="1">
      <c r="B514" s="1"/>
      <c r="C514" s="1"/>
    </row>
    <row r="515" spans="2:3" ht="15.75" customHeight="1">
      <c r="B515" s="1"/>
      <c r="C515" s="1"/>
    </row>
    <row r="516" spans="2:3" ht="15.75" customHeight="1">
      <c r="B516" s="1"/>
      <c r="C516" s="1"/>
    </row>
    <row r="517" spans="2:3" ht="15.75" customHeight="1">
      <c r="B517" s="1"/>
      <c r="C517" s="1"/>
    </row>
    <row r="518" spans="2:3" ht="15.75" customHeight="1">
      <c r="B518" s="1"/>
      <c r="C518" s="1"/>
    </row>
    <row r="519" spans="2:3" ht="15.75" customHeight="1">
      <c r="B519" s="1"/>
      <c r="C519" s="1"/>
    </row>
    <row r="520" spans="2:3" ht="15.75" customHeight="1">
      <c r="B520" s="1"/>
      <c r="C520" s="1"/>
    </row>
    <row r="521" spans="2:3" ht="15.75" customHeight="1">
      <c r="B521" s="1"/>
      <c r="C521" s="1"/>
    </row>
    <row r="522" spans="2:3" ht="15.75" customHeight="1">
      <c r="B522" s="1"/>
      <c r="C522" s="1"/>
    </row>
    <row r="523" spans="2:3" ht="15.75" customHeight="1">
      <c r="B523" s="1"/>
      <c r="C523" s="1"/>
    </row>
    <row r="524" spans="2:3" ht="15.75" customHeight="1">
      <c r="B524" s="1"/>
      <c r="C524" s="1"/>
    </row>
    <row r="525" spans="2:3" ht="15.75" customHeight="1">
      <c r="B525" s="1"/>
      <c r="C525" s="1"/>
    </row>
    <row r="526" spans="2:3" ht="15.75" customHeight="1">
      <c r="B526" s="1"/>
      <c r="C526" s="1"/>
    </row>
    <row r="527" spans="2:3" ht="15.75" customHeight="1">
      <c r="B527" s="1"/>
      <c r="C527" s="1"/>
    </row>
    <row r="528" spans="2:3" ht="15.75" customHeight="1">
      <c r="B528" s="1"/>
      <c r="C528" s="1"/>
    </row>
    <row r="529" spans="2:3" ht="15.75" customHeight="1">
      <c r="B529" s="1"/>
      <c r="C529" s="1"/>
    </row>
    <row r="530" spans="2:3" ht="15.75" customHeight="1">
      <c r="B530" s="1"/>
      <c r="C530" s="1"/>
    </row>
    <row r="531" spans="2:3" ht="15.75" customHeight="1">
      <c r="B531" s="1"/>
      <c r="C531" s="1"/>
    </row>
    <row r="532" spans="2:3" ht="15.75" customHeight="1">
      <c r="B532" s="1"/>
      <c r="C532" s="1"/>
    </row>
    <row r="533" spans="2:3" ht="15.75" customHeight="1">
      <c r="B533" s="1"/>
      <c r="C533" s="1"/>
    </row>
    <row r="534" spans="2:3" ht="15.75" customHeight="1">
      <c r="B534" s="1"/>
      <c r="C534" s="1"/>
    </row>
    <row r="535" spans="2:3" ht="15.75" customHeight="1">
      <c r="B535" s="1"/>
      <c r="C535" s="1"/>
    </row>
    <row r="536" spans="2:3" ht="15.75" customHeight="1">
      <c r="B536" s="1"/>
      <c r="C536" s="1"/>
    </row>
    <row r="537" spans="2:3" ht="15.75" customHeight="1">
      <c r="B537" s="1"/>
      <c r="C537" s="1"/>
    </row>
    <row r="538" spans="2:3" ht="15.75" customHeight="1">
      <c r="B538" s="1"/>
      <c r="C538" s="1"/>
    </row>
    <row r="539" spans="2:3" ht="15.75" customHeight="1">
      <c r="B539" s="1"/>
      <c r="C539" s="1"/>
    </row>
    <row r="540" spans="2:3" ht="15.75" customHeight="1">
      <c r="B540" s="1"/>
      <c r="C540" s="1"/>
    </row>
    <row r="541" spans="2:3" ht="15.75" customHeight="1">
      <c r="B541" s="1"/>
      <c r="C541" s="1"/>
    </row>
    <row r="542" spans="2:3" ht="15.75" customHeight="1">
      <c r="B542" s="1"/>
      <c r="C542" s="1"/>
    </row>
    <row r="543" spans="2:3" ht="15.75" customHeight="1">
      <c r="B543" s="1"/>
      <c r="C543" s="1"/>
    </row>
    <row r="544" spans="2:3" ht="15.75" customHeight="1">
      <c r="B544" s="1"/>
      <c r="C544" s="1"/>
    </row>
    <row r="545" spans="2:3" ht="15.75" customHeight="1">
      <c r="B545" s="1"/>
      <c r="C545" s="1"/>
    </row>
    <row r="546" spans="2:3" ht="15.75" customHeight="1">
      <c r="B546" s="1"/>
      <c r="C546" s="1"/>
    </row>
    <row r="547" spans="2:3" ht="15.75" customHeight="1">
      <c r="B547" s="1"/>
      <c r="C547" s="1"/>
    </row>
    <row r="548" spans="2:3" ht="15.75" customHeight="1">
      <c r="B548" s="1"/>
      <c r="C548" s="1"/>
    </row>
    <row r="549" spans="2:3" ht="15.75" customHeight="1">
      <c r="B549" s="1"/>
      <c r="C549" s="1"/>
    </row>
    <row r="550" spans="2:3" ht="15.75" customHeight="1">
      <c r="B550" s="1"/>
      <c r="C550" s="1"/>
    </row>
    <row r="551" spans="2:3" ht="15.75" customHeight="1">
      <c r="B551" s="1"/>
      <c r="C551" s="1"/>
    </row>
    <row r="552" spans="2:3" ht="15.75" customHeight="1">
      <c r="B552" s="1"/>
      <c r="C552" s="1"/>
    </row>
    <row r="553" spans="2:3" ht="15.75" customHeight="1">
      <c r="B553" s="1"/>
      <c r="C553" s="1"/>
    </row>
    <row r="554" spans="2:3" ht="15.75" customHeight="1">
      <c r="B554" s="1"/>
      <c r="C554" s="1"/>
    </row>
    <row r="555" spans="2:3" ht="15.75" customHeight="1">
      <c r="B555" s="1"/>
      <c r="C555" s="1"/>
    </row>
    <row r="556" spans="2:3" ht="15.75" customHeight="1">
      <c r="B556" s="1"/>
      <c r="C556" s="1"/>
    </row>
    <row r="557" spans="2:3" ht="15.75" customHeight="1">
      <c r="B557" s="1"/>
      <c r="C557" s="1"/>
    </row>
    <row r="558" spans="2:3" ht="15.75" customHeight="1">
      <c r="B558" s="1"/>
      <c r="C558" s="1"/>
    </row>
    <row r="559" spans="2:3" ht="15.75" customHeight="1">
      <c r="B559" s="1"/>
      <c r="C559" s="1"/>
    </row>
    <row r="560" spans="2:3" ht="15.75" customHeight="1">
      <c r="B560" s="1"/>
      <c r="C560" s="1"/>
    </row>
    <row r="561" spans="2:3" ht="15.75" customHeight="1">
      <c r="B561" s="1"/>
      <c r="C561" s="1"/>
    </row>
    <row r="562" spans="2:3" ht="15.75" customHeight="1">
      <c r="B562" s="1"/>
      <c r="C562" s="1"/>
    </row>
    <row r="563" spans="2:3" ht="15.75" customHeight="1">
      <c r="B563" s="1"/>
      <c r="C563" s="1"/>
    </row>
    <row r="564" spans="2:3" ht="15.75" customHeight="1">
      <c r="B564" s="1"/>
      <c r="C564" s="1"/>
    </row>
    <row r="565" spans="2:3" ht="15.75" customHeight="1">
      <c r="B565" s="1"/>
      <c r="C565" s="1"/>
    </row>
    <row r="566" spans="2:3" ht="15.75" customHeight="1">
      <c r="B566" s="1"/>
      <c r="C566" s="1"/>
    </row>
    <row r="567" spans="2:3" ht="15.75" customHeight="1">
      <c r="B567" s="1"/>
      <c r="C567" s="1"/>
    </row>
    <row r="568" spans="2:3" ht="15.75" customHeight="1">
      <c r="B568" s="1"/>
      <c r="C568" s="1"/>
    </row>
    <row r="569" spans="2:3" ht="15.75" customHeight="1">
      <c r="B569" s="1"/>
      <c r="C569" s="1"/>
    </row>
    <row r="570" spans="2:3" ht="15.75" customHeight="1">
      <c r="B570" s="1"/>
      <c r="C570" s="1"/>
    </row>
    <row r="571" spans="2:3" ht="15.75" customHeight="1">
      <c r="B571" s="1"/>
      <c r="C571" s="1"/>
    </row>
    <row r="572" spans="2:3" ht="15.75" customHeight="1">
      <c r="B572" s="1"/>
      <c r="C572" s="1"/>
    </row>
    <row r="573" spans="2:3" ht="15.75" customHeight="1">
      <c r="B573" s="1"/>
      <c r="C573" s="1"/>
    </row>
    <row r="574" spans="2:3" ht="15.75" customHeight="1">
      <c r="B574" s="1"/>
      <c r="C574" s="1"/>
    </row>
    <row r="575" spans="2:3" ht="15.75" customHeight="1">
      <c r="B575" s="1"/>
      <c r="C575" s="1"/>
    </row>
    <row r="576" spans="2:3" ht="15.75" customHeight="1">
      <c r="B576" s="1"/>
      <c r="C576" s="1"/>
    </row>
    <row r="577" spans="2:3" ht="15.75" customHeight="1">
      <c r="B577" s="1"/>
      <c r="C577" s="1"/>
    </row>
    <row r="578" spans="2:3" ht="15.75" customHeight="1">
      <c r="B578" s="1"/>
      <c r="C578" s="1"/>
    </row>
    <row r="579" spans="2:3" ht="15.75" customHeight="1">
      <c r="B579" s="1"/>
      <c r="C579" s="1"/>
    </row>
    <row r="580" spans="2:3" ht="15.75" customHeight="1">
      <c r="B580" s="1"/>
      <c r="C580" s="1"/>
    </row>
    <row r="581" spans="2:3" ht="15.75" customHeight="1">
      <c r="B581" s="1"/>
      <c r="C581" s="1"/>
    </row>
    <row r="582" spans="2:3" ht="15.75" customHeight="1">
      <c r="B582" s="1"/>
      <c r="C582" s="1"/>
    </row>
    <row r="583" spans="2:3" ht="15.75" customHeight="1">
      <c r="B583" s="1"/>
      <c r="C583" s="1"/>
    </row>
    <row r="584" spans="2:3" ht="15.75" customHeight="1">
      <c r="B584" s="1"/>
      <c r="C584" s="1"/>
    </row>
    <row r="585" spans="2:3" ht="15.75" customHeight="1">
      <c r="B585" s="1"/>
      <c r="C585" s="1"/>
    </row>
    <row r="586" spans="2:3" ht="15.75" customHeight="1">
      <c r="B586" s="1"/>
      <c r="C586" s="1"/>
    </row>
    <row r="587" spans="2:3" ht="15.75" customHeight="1">
      <c r="B587" s="1"/>
      <c r="C587" s="1"/>
    </row>
    <row r="588" spans="2:3" ht="15.75" customHeight="1">
      <c r="B588" s="1"/>
      <c r="C588" s="1"/>
    </row>
    <row r="589" spans="2:3" ht="15.75" customHeight="1">
      <c r="B589" s="1"/>
      <c r="C589" s="1"/>
    </row>
    <row r="590" spans="2:3" ht="15.75" customHeight="1">
      <c r="B590" s="1"/>
      <c r="C590" s="1"/>
    </row>
    <row r="591" spans="2:3" ht="15.75" customHeight="1">
      <c r="B591" s="1"/>
      <c r="C591" s="1"/>
    </row>
    <row r="592" spans="2:3" ht="15.75" customHeight="1">
      <c r="B592" s="1"/>
      <c r="C592" s="1"/>
    </row>
    <row r="593" spans="2:3" ht="15.75" customHeight="1">
      <c r="B593" s="1"/>
      <c r="C593" s="1"/>
    </row>
    <row r="594" spans="2:3" ht="15.75" customHeight="1">
      <c r="B594" s="1"/>
      <c r="C594" s="1"/>
    </row>
    <row r="595" spans="2:3" ht="15.75" customHeight="1">
      <c r="B595" s="1"/>
      <c r="C595" s="1"/>
    </row>
    <row r="596" spans="2:3" ht="15.75" customHeight="1">
      <c r="B596" s="1"/>
      <c r="C596" s="1"/>
    </row>
    <row r="597" spans="2:3" ht="15.75" customHeight="1">
      <c r="B597" s="1"/>
      <c r="C597" s="1"/>
    </row>
    <row r="598" spans="2:3" ht="15.75" customHeight="1">
      <c r="B598" s="1"/>
      <c r="C598" s="1"/>
    </row>
    <row r="599" spans="2:3" ht="15.75" customHeight="1">
      <c r="B599" s="1"/>
      <c r="C599" s="1"/>
    </row>
    <row r="600" spans="2:3" ht="15.75" customHeight="1">
      <c r="B600" s="1"/>
      <c r="C600" s="1"/>
    </row>
    <row r="601" spans="2:3" ht="15.75" customHeight="1">
      <c r="B601" s="1"/>
      <c r="C601" s="1"/>
    </row>
    <row r="602" spans="2:3" ht="15.75" customHeight="1">
      <c r="B602" s="1"/>
      <c r="C602" s="1"/>
    </row>
    <row r="603" spans="2:3" ht="15.75" customHeight="1">
      <c r="B603" s="1"/>
      <c r="C603" s="1"/>
    </row>
    <row r="604" spans="2:3" ht="15.75" customHeight="1">
      <c r="B604" s="1"/>
      <c r="C604" s="1"/>
    </row>
    <row r="605" spans="2:3" ht="15.75" customHeight="1">
      <c r="B605" s="1"/>
      <c r="C605" s="1"/>
    </row>
    <row r="606" spans="2:3" ht="15.75" customHeight="1">
      <c r="B606" s="1"/>
      <c r="C606" s="1"/>
    </row>
    <row r="607" spans="2:3" ht="15.75" customHeight="1">
      <c r="B607" s="1"/>
      <c r="C607" s="1"/>
    </row>
    <row r="608" spans="2:3" ht="15.75" customHeight="1">
      <c r="B608" s="1"/>
      <c r="C608" s="1"/>
    </row>
    <row r="609" spans="2:3" ht="15.75" customHeight="1">
      <c r="B609" s="1"/>
      <c r="C609" s="1"/>
    </row>
    <row r="610" spans="2:3" ht="15.75" customHeight="1">
      <c r="B610" s="1"/>
      <c r="C610" s="1"/>
    </row>
    <row r="611" spans="2:3" ht="15.75" customHeight="1">
      <c r="B611" s="1"/>
      <c r="C611" s="1"/>
    </row>
    <row r="612" spans="2:3" ht="15.75" customHeight="1">
      <c r="B612" s="1"/>
      <c r="C612" s="1"/>
    </row>
    <row r="613" spans="2:3" ht="15.75" customHeight="1">
      <c r="B613" s="1"/>
      <c r="C613" s="1"/>
    </row>
    <row r="614" spans="2:3" ht="15.75" customHeight="1">
      <c r="B614" s="1"/>
      <c r="C614" s="1"/>
    </row>
    <row r="615" spans="2:3" ht="15.75" customHeight="1">
      <c r="B615" s="1"/>
      <c r="C615" s="1"/>
    </row>
    <row r="616" spans="2:3" ht="15.75" customHeight="1">
      <c r="B616" s="1"/>
      <c r="C616" s="1"/>
    </row>
    <row r="617" spans="2:3" ht="15.75" customHeight="1">
      <c r="B617" s="1"/>
      <c r="C617" s="1"/>
    </row>
    <row r="618" spans="2:3" ht="15.75" customHeight="1">
      <c r="B618" s="1"/>
      <c r="C618" s="1"/>
    </row>
    <row r="619" spans="2:3" ht="15.75" customHeight="1">
      <c r="B619" s="1"/>
      <c r="C619" s="1"/>
    </row>
    <row r="620" spans="2:3" ht="15.75" customHeight="1">
      <c r="B620" s="1"/>
      <c r="C620" s="1"/>
    </row>
    <row r="621" spans="2:3" ht="15.75" customHeight="1">
      <c r="B621" s="1"/>
      <c r="C621" s="1"/>
    </row>
    <row r="622" spans="2:3" ht="15.75" customHeight="1">
      <c r="B622" s="1"/>
      <c r="C622" s="1"/>
    </row>
    <row r="623" spans="2:3" ht="15.75" customHeight="1">
      <c r="B623" s="1"/>
      <c r="C623" s="1"/>
    </row>
    <row r="624" spans="2:3" ht="15.75" customHeight="1">
      <c r="B624" s="1"/>
      <c r="C624" s="1"/>
    </row>
    <row r="625" spans="2:3" ht="15.75" customHeight="1">
      <c r="B625" s="1"/>
      <c r="C625" s="1"/>
    </row>
    <row r="626" spans="2:3" ht="15.75" customHeight="1">
      <c r="B626" s="1"/>
      <c r="C626" s="1"/>
    </row>
    <row r="627" spans="2:3" ht="15.75" customHeight="1">
      <c r="B627" s="1"/>
      <c r="C627" s="1"/>
    </row>
    <row r="628" spans="2:3" ht="15.75" customHeight="1">
      <c r="B628" s="1"/>
      <c r="C628" s="1"/>
    </row>
    <row r="629" spans="2:3" ht="15.75" customHeight="1">
      <c r="B629" s="1"/>
      <c r="C629" s="1"/>
    </row>
    <row r="630" spans="2:3" ht="15.75" customHeight="1">
      <c r="B630" s="1"/>
      <c r="C630" s="1"/>
    </row>
    <row r="631" spans="2:3" ht="15.75" customHeight="1">
      <c r="B631" s="1"/>
      <c r="C631" s="1"/>
    </row>
    <row r="632" spans="2:3" ht="15.75" customHeight="1">
      <c r="B632" s="1"/>
      <c r="C632" s="1"/>
    </row>
    <row r="633" spans="2:3" ht="15.75" customHeight="1">
      <c r="B633" s="1"/>
      <c r="C633" s="1"/>
    </row>
    <row r="634" spans="2:3" ht="15.75" customHeight="1">
      <c r="B634" s="1"/>
      <c r="C634" s="1"/>
    </row>
    <row r="635" spans="2:3" ht="15.75" customHeight="1">
      <c r="B635" s="1"/>
      <c r="C635" s="1"/>
    </row>
    <row r="636" spans="2:3" ht="15.75" customHeight="1">
      <c r="B636" s="1"/>
      <c r="C636" s="1"/>
    </row>
    <row r="637" spans="2:3" ht="15.75" customHeight="1">
      <c r="B637" s="1"/>
      <c r="C637" s="1"/>
    </row>
    <row r="638" spans="2:3" ht="15.75" customHeight="1">
      <c r="B638" s="1"/>
      <c r="C638" s="1"/>
    </row>
    <row r="639" spans="2:3" ht="15.75" customHeight="1">
      <c r="B639" s="1"/>
      <c r="C639" s="1"/>
    </row>
    <row r="640" spans="2:3" ht="15.75" customHeight="1">
      <c r="B640" s="1"/>
      <c r="C640" s="1"/>
    </row>
    <row r="641" spans="2:3" ht="15.75" customHeight="1">
      <c r="B641" s="1"/>
      <c r="C641" s="1"/>
    </row>
    <row r="642" spans="2:3" ht="15.75" customHeight="1">
      <c r="B642" s="1"/>
      <c r="C642" s="1"/>
    </row>
    <row r="643" spans="2:3" ht="15.75" customHeight="1">
      <c r="B643" s="1"/>
      <c r="C643" s="1"/>
    </row>
    <row r="644" spans="2:3" ht="15.75" customHeight="1">
      <c r="B644" s="1"/>
      <c r="C644" s="1"/>
    </row>
    <row r="645" spans="2:3" ht="15.75" customHeight="1">
      <c r="B645" s="1"/>
      <c r="C645" s="1"/>
    </row>
    <row r="646" spans="2:3" ht="15.75" customHeight="1">
      <c r="B646" s="1"/>
      <c r="C646" s="1"/>
    </row>
    <row r="647" spans="2:3" ht="15.75" customHeight="1">
      <c r="B647" s="1"/>
      <c r="C647" s="1"/>
    </row>
    <row r="648" spans="2:3" ht="15.75" customHeight="1">
      <c r="B648" s="1"/>
      <c r="C648" s="1"/>
    </row>
    <row r="649" spans="2:3" ht="15.75" customHeight="1">
      <c r="B649" s="1"/>
      <c r="C649" s="1"/>
    </row>
    <row r="650" spans="2:3" ht="15.75" customHeight="1">
      <c r="B650" s="1"/>
      <c r="C650" s="1"/>
    </row>
    <row r="651" spans="2:3" ht="15.75" customHeight="1">
      <c r="B651" s="1"/>
      <c r="C651" s="1"/>
    </row>
    <row r="652" spans="2:3" ht="15.75" customHeight="1">
      <c r="B652" s="1"/>
      <c r="C652" s="1"/>
    </row>
    <row r="653" spans="2:3" ht="15.75" customHeight="1">
      <c r="B653" s="1"/>
      <c r="C653" s="1"/>
    </row>
    <row r="654" spans="2:3" ht="15.75" customHeight="1">
      <c r="B654" s="1"/>
      <c r="C654" s="1"/>
    </row>
    <row r="655" spans="2:3" ht="15.75" customHeight="1">
      <c r="B655" s="1"/>
      <c r="C655" s="1"/>
    </row>
    <row r="656" spans="2:3" ht="15.75" customHeight="1">
      <c r="B656" s="1"/>
      <c r="C656" s="1"/>
    </row>
    <row r="657" spans="2:3" ht="15.75" customHeight="1">
      <c r="B657" s="1"/>
      <c r="C657" s="1"/>
    </row>
    <row r="658" spans="2:3" ht="15.75" customHeight="1">
      <c r="B658" s="1"/>
      <c r="C658" s="1"/>
    </row>
    <row r="659" spans="2:3" ht="15.75" customHeight="1">
      <c r="B659" s="1"/>
      <c r="C659" s="1"/>
    </row>
    <row r="660" spans="2:3" ht="15.75" customHeight="1">
      <c r="B660" s="1"/>
      <c r="C660" s="1"/>
    </row>
    <row r="661" spans="2:3" ht="15.75" customHeight="1">
      <c r="B661" s="1"/>
      <c r="C661" s="1"/>
    </row>
    <row r="662" spans="2:3" ht="15.75" customHeight="1">
      <c r="B662" s="1"/>
      <c r="C662" s="1"/>
    </row>
    <row r="663" spans="2:3" ht="15.75" customHeight="1">
      <c r="B663" s="1"/>
      <c r="C663" s="1"/>
    </row>
    <row r="664" spans="2:3" ht="15.75" customHeight="1">
      <c r="B664" s="1"/>
      <c r="C664" s="1"/>
    </row>
    <row r="665" spans="2:3" ht="15.75" customHeight="1">
      <c r="B665" s="1"/>
      <c r="C665" s="1"/>
    </row>
    <row r="666" spans="2:3" ht="15.75" customHeight="1">
      <c r="B666" s="1"/>
      <c r="C666" s="1"/>
    </row>
    <row r="667" spans="2:3" ht="15.75" customHeight="1">
      <c r="B667" s="1"/>
      <c r="C667" s="1"/>
    </row>
    <row r="668" spans="2:3" ht="15.75" customHeight="1">
      <c r="B668" s="1"/>
      <c r="C668" s="1"/>
    </row>
    <row r="669" spans="2:3" ht="15.75" customHeight="1">
      <c r="B669" s="1"/>
      <c r="C669" s="1"/>
    </row>
    <row r="670" spans="2:3" ht="15.75" customHeight="1">
      <c r="B670" s="1"/>
      <c r="C670" s="1"/>
    </row>
    <row r="671" spans="2:3" ht="15.75" customHeight="1">
      <c r="B671" s="1"/>
      <c r="C671" s="1"/>
    </row>
    <row r="672" spans="2:3" ht="15.75" customHeight="1">
      <c r="B672" s="1"/>
      <c r="C672" s="1"/>
    </row>
    <row r="673" spans="2:3" ht="15.75" customHeight="1">
      <c r="B673" s="1"/>
      <c r="C673" s="1"/>
    </row>
    <row r="674" spans="2:3" ht="15.75" customHeight="1">
      <c r="B674" s="1"/>
      <c r="C674" s="1"/>
    </row>
    <row r="675" spans="2:3" ht="15.75" customHeight="1">
      <c r="B675" s="1"/>
      <c r="C675" s="1"/>
    </row>
    <row r="676" spans="2:3" ht="15.75" customHeight="1">
      <c r="B676" s="1"/>
      <c r="C676" s="1"/>
    </row>
    <row r="677" spans="2:3" ht="15.75" customHeight="1">
      <c r="B677" s="1"/>
      <c r="C677" s="1"/>
    </row>
    <row r="678" spans="2:3" ht="15.75" customHeight="1">
      <c r="B678" s="1"/>
      <c r="C678" s="1"/>
    </row>
    <row r="679" spans="2:3" ht="15.75" customHeight="1">
      <c r="B679" s="1"/>
      <c r="C679" s="1"/>
    </row>
    <row r="680" spans="2:3" ht="15.75" customHeight="1">
      <c r="B680" s="1"/>
      <c r="C680" s="1"/>
    </row>
    <row r="681" spans="2:3" ht="15.75" customHeight="1">
      <c r="B681" s="1"/>
      <c r="C681" s="1"/>
    </row>
    <row r="682" spans="2:3" ht="15.75" customHeight="1">
      <c r="B682" s="1"/>
      <c r="C682" s="1"/>
    </row>
    <row r="683" spans="2:3" ht="15.75" customHeight="1">
      <c r="B683" s="1"/>
      <c r="C683" s="1"/>
    </row>
    <row r="684" spans="2:3" ht="15.75" customHeight="1">
      <c r="B684" s="1"/>
      <c r="C684" s="1"/>
    </row>
    <row r="685" spans="2:3" ht="15.75" customHeight="1">
      <c r="B685" s="1"/>
      <c r="C685" s="1"/>
    </row>
    <row r="686" spans="2:3" ht="15.75" customHeight="1">
      <c r="B686" s="1"/>
      <c r="C686" s="1"/>
    </row>
    <row r="687" spans="2:3" ht="15.75" customHeight="1">
      <c r="B687" s="1"/>
      <c r="C687" s="1"/>
    </row>
    <row r="688" spans="2:3" ht="15.75" customHeight="1">
      <c r="B688" s="1"/>
      <c r="C688" s="1"/>
    </row>
    <row r="689" spans="2:3" ht="15.75" customHeight="1">
      <c r="B689" s="1"/>
      <c r="C689" s="1"/>
    </row>
    <row r="690" spans="2:3" ht="15.75" customHeight="1">
      <c r="B690" s="1"/>
      <c r="C690" s="1"/>
    </row>
    <row r="691" spans="2:3" ht="15.75" customHeight="1">
      <c r="B691" s="1"/>
      <c r="C691" s="1"/>
    </row>
    <row r="692" spans="2:3" ht="15.75" customHeight="1">
      <c r="B692" s="1"/>
      <c r="C692" s="1"/>
    </row>
    <row r="693" spans="2:3" ht="15.75" customHeight="1">
      <c r="B693" s="1"/>
      <c r="C693" s="1"/>
    </row>
    <row r="694" spans="2:3" ht="15.75" customHeight="1">
      <c r="B694" s="1"/>
      <c r="C694" s="1"/>
    </row>
    <row r="695" spans="2:3" ht="15.75" customHeight="1">
      <c r="B695" s="1"/>
      <c r="C695" s="1"/>
    </row>
    <row r="696" spans="2:3" ht="15.75" customHeight="1">
      <c r="B696" s="1"/>
      <c r="C696" s="1"/>
    </row>
    <row r="697" spans="2:3" ht="15.75" customHeight="1">
      <c r="B697" s="1"/>
      <c r="C697" s="1"/>
    </row>
    <row r="698" spans="2:3" ht="15.75" customHeight="1">
      <c r="B698" s="1"/>
      <c r="C698" s="1"/>
    </row>
    <row r="699" spans="2:3" ht="15.75" customHeight="1">
      <c r="B699" s="1"/>
      <c r="C699" s="1"/>
    </row>
    <row r="700" spans="2:3" ht="15.75" customHeight="1">
      <c r="B700" s="1"/>
      <c r="C700" s="1"/>
    </row>
    <row r="701" spans="2:3" ht="15.75" customHeight="1">
      <c r="B701" s="1"/>
      <c r="C701" s="1"/>
    </row>
    <row r="702" spans="2:3" ht="15.75" customHeight="1">
      <c r="B702" s="1"/>
      <c r="C702" s="1"/>
    </row>
    <row r="703" spans="2:3" ht="15.75" customHeight="1">
      <c r="B703" s="1"/>
      <c r="C703" s="1"/>
    </row>
    <row r="704" spans="2:3" ht="15.75" customHeight="1">
      <c r="B704" s="1"/>
      <c r="C704" s="1"/>
    </row>
    <row r="705" spans="2:3" ht="15.75" customHeight="1">
      <c r="B705" s="1"/>
      <c r="C705" s="1"/>
    </row>
    <row r="706" spans="2:3" ht="15.75" customHeight="1">
      <c r="B706" s="1"/>
      <c r="C706" s="1"/>
    </row>
    <row r="707" spans="2:3" ht="15.75" customHeight="1">
      <c r="B707" s="1"/>
      <c r="C707" s="1"/>
    </row>
    <row r="708" spans="2:3" ht="15.75" customHeight="1">
      <c r="B708" s="1"/>
      <c r="C708" s="1"/>
    </row>
    <row r="709" spans="2:3" ht="15.75" customHeight="1">
      <c r="B709" s="1"/>
      <c r="C709" s="1"/>
    </row>
    <row r="710" spans="2:3" ht="15.75" customHeight="1">
      <c r="B710" s="1"/>
      <c r="C710" s="1"/>
    </row>
    <row r="711" spans="2:3" ht="15.75" customHeight="1">
      <c r="B711" s="1"/>
      <c r="C711" s="1"/>
    </row>
    <row r="712" spans="2:3" ht="15.75" customHeight="1">
      <c r="B712" s="1"/>
      <c r="C712" s="1"/>
    </row>
    <row r="713" spans="2:3" ht="15.75" customHeight="1">
      <c r="B713" s="1"/>
      <c r="C713" s="1"/>
    </row>
    <row r="714" spans="2:3" ht="15.75" customHeight="1">
      <c r="B714" s="1"/>
      <c r="C714" s="1"/>
    </row>
    <row r="715" spans="2:3" ht="15.75" customHeight="1">
      <c r="B715" s="1"/>
      <c r="C715" s="1"/>
    </row>
    <row r="716" spans="2:3" ht="15.75" customHeight="1">
      <c r="B716" s="1"/>
      <c r="C716" s="1"/>
    </row>
    <row r="717" spans="2:3" ht="15.75" customHeight="1">
      <c r="B717" s="1"/>
      <c r="C717" s="1"/>
    </row>
    <row r="718" spans="2:3" ht="15.75" customHeight="1">
      <c r="B718" s="1"/>
      <c r="C718" s="1"/>
    </row>
    <row r="719" spans="2:3" ht="15.75" customHeight="1">
      <c r="B719" s="1"/>
      <c r="C719" s="1"/>
    </row>
    <row r="720" spans="2:3" ht="15.75" customHeight="1">
      <c r="B720" s="1"/>
      <c r="C720" s="1"/>
    </row>
    <row r="721" spans="2:3" ht="15.75" customHeight="1">
      <c r="B721" s="1"/>
      <c r="C721" s="1"/>
    </row>
    <row r="722" spans="2:3" ht="15.75" customHeight="1">
      <c r="B722" s="1"/>
      <c r="C722" s="1"/>
    </row>
    <row r="723" spans="2:3" ht="15.75" customHeight="1">
      <c r="B723" s="1"/>
      <c r="C723" s="1"/>
    </row>
    <row r="724" spans="2:3" ht="15.75" customHeight="1">
      <c r="B724" s="1"/>
      <c r="C724" s="1"/>
    </row>
    <row r="725" spans="2:3" ht="15.75" customHeight="1">
      <c r="B725" s="1"/>
      <c r="C725" s="1"/>
    </row>
    <row r="726" spans="2:3" ht="15.75" customHeight="1">
      <c r="B726" s="1"/>
      <c r="C726" s="1"/>
    </row>
    <row r="727" spans="2:3" ht="15.75" customHeight="1">
      <c r="B727" s="1"/>
      <c r="C727" s="1"/>
    </row>
    <row r="728" spans="2:3" ht="15.75" customHeight="1">
      <c r="B728" s="1"/>
      <c r="C728" s="1"/>
    </row>
    <row r="729" spans="2:3" ht="15.75" customHeight="1">
      <c r="B729" s="1"/>
      <c r="C729" s="1"/>
    </row>
    <row r="730" spans="2:3" ht="15.75" customHeight="1">
      <c r="B730" s="1"/>
      <c r="C730" s="1"/>
    </row>
    <row r="731" spans="2:3" ht="15.75" customHeight="1">
      <c r="B731" s="1"/>
      <c r="C731" s="1"/>
    </row>
    <row r="732" spans="2:3" ht="15.75" customHeight="1">
      <c r="B732" s="1"/>
      <c r="C732" s="1"/>
    </row>
    <row r="733" spans="2:3" ht="15.75" customHeight="1">
      <c r="B733" s="1"/>
      <c r="C733" s="1"/>
    </row>
    <row r="734" spans="2:3" ht="15.75" customHeight="1">
      <c r="B734" s="1"/>
      <c r="C734" s="1"/>
    </row>
    <row r="735" spans="2:3" ht="15.75" customHeight="1">
      <c r="B735" s="1"/>
      <c r="C735" s="1"/>
    </row>
    <row r="736" spans="2:3" ht="15.75" customHeight="1">
      <c r="B736" s="1"/>
      <c r="C736" s="1"/>
    </row>
    <row r="737" spans="2:3" ht="15.75" customHeight="1">
      <c r="B737" s="1"/>
      <c r="C737" s="1"/>
    </row>
    <row r="738" spans="2:3" ht="15.75" customHeight="1">
      <c r="B738" s="1"/>
      <c r="C738" s="1"/>
    </row>
    <row r="739" spans="2:3" ht="15.75" customHeight="1">
      <c r="B739" s="1"/>
      <c r="C739" s="1"/>
    </row>
    <row r="740" spans="2:3" ht="15.75" customHeight="1">
      <c r="B740" s="1"/>
      <c r="C740" s="1"/>
    </row>
    <row r="741" spans="2:3" ht="15.75" customHeight="1">
      <c r="B741" s="1"/>
      <c r="C741" s="1"/>
    </row>
    <row r="742" spans="2:3" ht="15.75" customHeight="1">
      <c r="B742" s="1"/>
      <c r="C742" s="1"/>
    </row>
    <row r="743" spans="2:3" ht="15.75" customHeight="1">
      <c r="B743" s="1"/>
      <c r="C743" s="1"/>
    </row>
    <row r="744" spans="2:3" ht="15.75" customHeight="1">
      <c r="B744" s="1"/>
      <c r="C744" s="1"/>
    </row>
    <row r="745" spans="2:3" ht="15.75" customHeight="1">
      <c r="B745" s="1"/>
      <c r="C745" s="1"/>
    </row>
    <row r="746" spans="2:3" ht="15.75" customHeight="1">
      <c r="B746" s="1"/>
      <c r="C746" s="1"/>
    </row>
    <row r="747" spans="2:3" ht="15.75" customHeight="1">
      <c r="B747" s="1"/>
      <c r="C747" s="1"/>
    </row>
    <row r="748" spans="2:3" ht="15.75" customHeight="1">
      <c r="B748" s="1"/>
      <c r="C748" s="1"/>
    </row>
    <row r="749" spans="2:3" ht="15.75" customHeight="1">
      <c r="B749" s="1"/>
      <c r="C749" s="1"/>
    </row>
    <row r="750" spans="2:3" ht="15.75" customHeight="1">
      <c r="B750" s="1"/>
      <c r="C750" s="1"/>
    </row>
    <row r="751" spans="2:3" ht="15.75" customHeight="1">
      <c r="B751" s="1"/>
      <c r="C751" s="1"/>
    </row>
    <row r="752" spans="2:3" ht="15.75" customHeight="1">
      <c r="B752" s="1"/>
      <c r="C752" s="1"/>
    </row>
    <row r="753" spans="2:3" ht="15.75" customHeight="1">
      <c r="B753" s="1"/>
      <c r="C753" s="1"/>
    </row>
    <row r="754" spans="2:3" ht="15.75" customHeight="1">
      <c r="B754" s="1"/>
      <c r="C754" s="1"/>
    </row>
    <row r="755" spans="2:3" ht="15.75" customHeight="1">
      <c r="B755" s="1"/>
      <c r="C755" s="1"/>
    </row>
    <row r="756" spans="2:3" ht="15.75" customHeight="1">
      <c r="B756" s="1"/>
      <c r="C756" s="1"/>
    </row>
    <row r="757" spans="2:3" ht="15.75" customHeight="1">
      <c r="B757" s="1"/>
      <c r="C757" s="1"/>
    </row>
    <row r="758" spans="2:3" ht="15.75" customHeight="1">
      <c r="B758" s="1"/>
      <c r="C758" s="1"/>
    </row>
    <row r="759" spans="2:3" ht="15.75" customHeight="1">
      <c r="B759" s="1"/>
      <c r="C759" s="1"/>
    </row>
    <row r="760" spans="2:3" ht="15.75" customHeight="1">
      <c r="B760" s="1"/>
      <c r="C760" s="1"/>
    </row>
    <row r="761" spans="2:3" ht="15.75" customHeight="1">
      <c r="B761" s="1"/>
      <c r="C761" s="1"/>
    </row>
    <row r="762" spans="2:3" ht="15.75" customHeight="1">
      <c r="B762" s="1"/>
      <c r="C762" s="1"/>
    </row>
    <row r="763" spans="2:3" ht="15.75" customHeight="1">
      <c r="B763" s="1"/>
      <c r="C763" s="1"/>
    </row>
    <row r="764" spans="2:3" ht="15.75" customHeight="1">
      <c r="B764" s="1"/>
      <c r="C764" s="1"/>
    </row>
    <row r="765" spans="2:3" ht="15.75" customHeight="1">
      <c r="B765" s="1"/>
      <c r="C765" s="1"/>
    </row>
    <row r="766" spans="2:3" ht="15.75" customHeight="1">
      <c r="B766" s="1"/>
      <c r="C766" s="1"/>
    </row>
    <row r="767" spans="2:3" ht="15.75" customHeight="1">
      <c r="B767" s="1"/>
      <c r="C767" s="1"/>
    </row>
    <row r="768" spans="2:3" ht="15.75" customHeight="1">
      <c r="B768" s="1"/>
      <c r="C768" s="1"/>
    </row>
    <row r="769" spans="2:3" ht="15.75" customHeight="1">
      <c r="B769" s="1"/>
      <c r="C769" s="1"/>
    </row>
    <row r="770" spans="2:3" ht="15.75" customHeight="1">
      <c r="B770" s="1"/>
      <c r="C770" s="1"/>
    </row>
    <row r="771" spans="2:3" ht="15.75" customHeight="1">
      <c r="B771" s="1"/>
      <c r="C771" s="1"/>
    </row>
    <row r="772" spans="2:3" ht="15.75" customHeight="1">
      <c r="B772" s="1"/>
      <c r="C772" s="1"/>
    </row>
    <row r="773" spans="2:3" ht="15.75" customHeight="1">
      <c r="B773" s="1"/>
      <c r="C773" s="1"/>
    </row>
    <row r="774" spans="2:3" ht="15.75" customHeight="1">
      <c r="B774" s="1"/>
      <c r="C774" s="1"/>
    </row>
    <row r="775" spans="2:3" ht="15.75" customHeight="1">
      <c r="B775" s="1"/>
      <c r="C775" s="1"/>
    </row>
    <row r="776" spans="2:3" ht="15.75" customHeight="1">
      <c r="B776" s="1"/>
      <c r="C776" s="1"/>
    </row>
    <row r="777" spans="2:3" ht="15.75" customHeight="1">
      <c r="B777" s="1"/>
      <c r="C777" s="1"/>
    </row>
    <row r="778" spans="2:3" ht="15.75" customHeight="1">
      <c r="B778" s="1"/>
      <c r="C778" s="1"/>
    </row>
    <row r="779" spans="2:3" ht="15.75" customHeight="1">
      <c r="B779" s="1"/>
      <c r="C779" s="1"/>
    </row>
    <row r="780" spans="2:3" ht="15.75" customHeight="1">
      <c r="B780" s="1"/>
      <c r="C780" s="1"/>
    </row>
    <row r="781" spans="2:3" ht="15.75" customHeight="1">
      <c r="B781" s="1"/>
      <c r="C781" s="1"/>
    </row>
    <row r="782" spans="2:3" ht="15.75" customHeight="1">
      <c r="B782" s="1"/>
      <c r="C782" s="1"/>
    </row>
    <row r="783" spans="2:3" ht="15.75" customHeight="1">
      <c r="B783" s="1"/>
      <c r="C783" s="1"/>
    </row>
    <row r="784" spans="2:3" ht="15.75" customHeight="1">
      <c r="B784" s="1"/>
      <c r="C784" s="1"/>
    </row>
    <row r="785" spans="2:3" ht="15.75" customHeight="1">
      <c r="B785" s="1"/>
      <c r="C785" s="1"/>
    </row>
    <row r="786" spans="2:3" ht="15.75" customHeight="1">
      <c r="B786" s="1"/>
      <c r="C786" s="1"/>
    </row>
    <row r="787" spans="2:3" ht="15.75" customHeight="1">
      <c r="B787" s="1"/>
      <c r="C787" s="1"/>
    </row>
    <row r="788" spans="2:3" ht="15.75" customHeight="1">
      <c r="B788" s="1"/>
      <c r="C788" s="1"/>
    </row>
    <row r="789" spans="2:3" ht="15.75" customHeight="1">
      <c r="B789" s="1"/>
      <c r="C789" s="1"/>
    </row>
    <row r="790" spans="2:3" ht="15.75" customHeight="1">
      <c r="B790" s="1"/>
      <c r="C790" s="1"/>
    </row>
    <row r="791" spans="2:3" ht="15.75" customHeight="1">
      <c r="B791" s="1"/>
      <c r="C791" s="1"/>
    </row>
    <row r="792" spans="2:3" ht="15.75" customHeight="1">
      <c r="B792" s="1"/>
      <c r="C792" s="1"/>
    </row>
    <row r="793" spans="2:3" ht="15.75" customHeight="1">
      <c r="B793" s="1"/>
      <c r="C793" s="1"/>
    </row>
    <row r="794" spans="2:3" ht="15.75" customHeight="1">
      <c r="B794" s="1"/>
      <c r="C794" s="1"/>
    </row>
    <row r="795" spans="2:3" ht="15.75" customHeight="1">
      <c r="B795" s="1"/>
      <c r="C795" s="1"/>
    </row>
    <row r="796" spans="2:3" ht="15.75" customHeight="1">
      <c r="B796" s="1"/>
      <c r="C796" s="1"/>
    </row>
    <row r="797" spans="2:3" ht="15.75" customHeight="1">
      <c r="B797" s="1"/>
      <c r="C797" s="1"/>
    </row>
    <row r="798" spans="2:3" ht="15.75" customHeight="1">
      <c r="B798" s="1"/>
      <c r="C798" s="1"/>
    </row>
    <row r="799" spans="2:3" ht="15.75" customHeight="1">
      <c r="B799" s="1"/>
      <c r="C799" s="1"/>
    </row>
    <row r="800" spans="2:3" ht="15.75" customHeight="1">
      <c r="B800" s="1"/>
      <c r="C800" s="1"/>
    </row>
    <row r="801" spans="2:3" ht="15.75" customHeight="1">
      <c r="B801" s="1"/>
      <c r="C801" s="1"/>
    </row>
    <row r="802" spans="2:3" ht="15.75" customHeight="1">
      <c r="B802" s="1"/>
      <c r="C802" s="1"/>
    </row>
    <row r="803" spans="2:3" ht="15.75" customHeight="1">
      <c r="B803" s="1"/>
      <c r="C803" s="1"/>
    </row>
    <row r="804" spans="2:3" ht="15.75" customHeight="1">
      <c r="B804" s="1"/>
      <c r="C804" s="1"/>
    </row>
    <row r="805" spans="2:3" ht="15.75" customHeight="1">
      <c r="B805" s="1"/>
      <c r="C805" s="1"/>
    </row>
    <row r="806" spans="2:3" ht="15.75" customHeight="1">
      <c r="B806" s="1"/>
      <c r="C806" s="1"/>
    </row>
    <row r="807" spans="2:3" ht="15.75" customHeight="1">
      <c r="B807" s="1"/>
      <c r="C807" s="1"/>
    </row>
    <row r="808" spans="2:3" ht="15.75" customHeight="1">
      <c r="B808" s="1"/>
      <c r="C808" s="1"/>
    </row>
    <row r="809" spans="2:3" ht="15.75" customHeight="1">
      <c r="B809" s="1"/>
      <c r="C809" s="1"/>
    </row>
    <row r="810" spans="2:3" ht="15.75" customHeight="1">
      <c r="B810" s="1"/>
      <c r="C810" s="1"/>
    </row>
    <row r="811" spans="2:3" ht="15.75" customHeight="1">
      <c r="B811" s="1"/>
      <c r="C811" s="1"/>
    </row>
    <row r="812" spans="2:3" ht="15.75" customHeight="1">
      <c r="B812" s="1"/>
      <c r="C812" s="1"/>
    </row>
    <row r="813" spans="2:3" ht="15.75" customHeight="1">
      <c r="B813" s="1"/>
      <c r="C813" s="1"/>
    </row>
    <row r="814" spans="2:3" ht="15.75" customHeight="1">
      <c r="B814" s="1"/>
      <c r="C814" s="1"/>
    </row>
    <row r="815" spans="2:3" ht="15.75" customHeight="1">
      <c r="B815" s="1"/>
      <c r="C815" s="1"/>
    </row>
    <row r="816" spans="2:3" ht="15.75" customHeight="1">
      <c r="B816" s="1"/>
      <c r="C816" s="1"/>
    </row>
    <row r="817" spans="2:3" ht="15.75" customHeight="1">
      <c r="B817" s="1"/>
      <c r="C817" s="1"/>
    </row>
    <row r="818" spans="2:3" ht="15.75" customHeight="1">
      <c r="B818" s="1"/>
      <c r="C818" s="1"/>
    </row>
    <row r="819" spans="2:3" ht="15.75" customHeight="1">
      <c r="B819" s="1"/>
      <c r="C819" s="1"/>
    </row>
    <row r="820" spans="2:3" ht="15.75" customHeight="1">
      <c r="B820" s="1"/>
      <c r="C820" s="1"/>
    </row>
    <row r="821" spans="2:3" ht="15.75" customHeight="1">
      <c r="B821" s="1"/>
      <c r="C821" s="1"/>
    </row>
    <row r="822" spans="2:3" ht="15.75" customHeight="1">
      <c r="B822" s="1"/>
      <c r="C822" s="1"/>
    </row>
    <row r="823" spans="2:3" ht="15.75" customHeight="1">
      <c r="B823" s="1"/>
      <c r="C823" s="1"/>
    </row>
    <row r="824" spans="2:3" ht="15.75" customHeight="1">
      <c r="B824" s="1"/>
      <c r="C824" s="1"/>
    </row>
    <row r="825" spans="2:3" ht="15.75" customHeight="1">
      <c r="B825" s="1"/>
      <c r="C825" s="1"/>
    </row>
    <row r="826" spans="2:3" ht="15.75" customHeight="1">
      <c r="B826" s="1"/>
      <c r="C826" s="1"/>
    </row>
    <row r="827" spans="2:3" ht="15.75" customHeight="1">
      <c r="B827" s="1"/>
      <c r="C827" s="1"/>
    </row>
    <row r="828" spans="2:3" ht="15.75" customHeight="1">
      <c r="B828" s="1"/>
      <c r="C828" s="1"/>
    </row>
    <row r="829" spans="2:3" ht="15.75" customHeight="1">
      <c r="B829" s="1"/>
      <c r="C829" s="1"/>
    </row>
    <row r="830" spans="2:3" ht="15.75" customHeight="1">
      <c r="B830" s="1"/>
      <c r="C830" s="1"/>
    </row>
    <row r="831" spans="2:3" ht="15.75" customHeight="1">
      <c r="B831" s="1"/>
      <c r="C831" s="1"/>
    </row>
    <row r="832" spans="2:3" ht="15.75" customHeight="1">
      <c r="B832" s="1"/>
      <c r="C832" s="1"/>
    </row>
    <row r="833" spans="2:3" ht="15.75" customHeight="1">
      <c r="B833" s="1"/>
      <c r="C833" s="1"/>
    </row>
    <row r="834" spans="2:3" ht="15.75" customHeight="1">
      <c r="B834" s="1"/>
      <c r="C834" s="1"/>
    </row>
    <row r="835" spans="2:3" ht="15.75" customHeight="1">
      <c r="B835" s="1"/>
      <c r="C835" s="1"/>
    </row>
    <row r="836" spans="2:3" ht="15.75" customHeight="1">
      <c r="B836" s="1"/>
      <c r="C836" s="1"/>
    </row>
    <row r="837" spans="2:3" ht="15.75" customHeight="1">
      <c r="B837" s="1"/>
      <c r="C837" s="1"/>
    </row>
    <row r="838" spans="2:3" ht="15.75" customHeight="1">
      <c r="B838" s="1"/>
      <c r="C838" s="1"/>
    </row>
    <row r="839" spans="2:3" ht="15.75" customHeight="1">
      <c r="B839" s="1"/>
      <c r="C839" s="1"/>
    </row>
    <row r="840" spans="2:3" ht="15.75" customHeight="1">
      <c r="B840" s="1"/>
      <c r="C840" s="1"/>
    </row>
    <row r="841" spans="2:3" ht="15.75" customHeight="1">
      <c r="B841" s="1"/>
      <c r="C841" s="1"/>
    </row>
    <row r="842" spans="2:3" ht="15.75" customHeight="1">
      <c r="B842" s="1"/>
      <c r="C842" s="1"/>
    </row>
    <row r="843" spans="2:3" ht="15.75" customHeight="1">
      <c r="B843" s="1"/>
      <c r="C843" s="1"/>
    </row>
    <row r="844" spans="2:3" ht="15.75" customHeight="1">
      <c r="B844" s="1"/>
      <c r="C844" s="1"/>
    </row>
    <row r="845" spans="2:3" ht="15.75" customHeight="1">
      <c r="B845" s="1"/>
      <c r="C845" s="1"/>
    </row>
    <row r="846" spans="2:3" ht="15.75" customHeight="1">
      <c r="B846" s="1"/>
      <c r="C846" s="1"/>
    </row>
    <row r="847" spans="2:3" ht="15.75" customHeight="1">
      <c r="B847" s="1"/>
      <c r="C847" s="1"/>
    </row>
    <row r="848" spans="2:3" ht="15.75" customHeight="1">
      <c r="B848" s="1"/>
      <c r="C848" s="1"/>
    </row>
    <row r="849" spans="2:3" ht="15.75" customHeight="1">
      <c r="B849" s="1"/>
      <c r="C849" s="1"/>
    </row>
    <row r="850" spans="2:3" ht="15.75" customHeight="1">
      <c r="B850" s="1"/>
      <c r="C850" s="1"/>
    </row>
    <row r="851" spans="2:3" ht="15.75" customHeight="1">
      <c r="B851" s="1"/>
      <c r="C851" s="1"/>
    </row>
    <row r="852" spans="2:3" ht="15.75" customHeight="1">
      <c r="B852" s="1"/>
      <c r="C852" s="1"/>
    </row>
    <row r="853" spans="2:3" ht="15.75" customHeight="1">
      <c r="B853" s="1"/>
      <c r="C853" s="1"/>
    </row>
    <row r="854" spans="2:3" ht="15.75" customHeight="1">
      <c r="B854" s="1"/>
      <c r="C854" s="1"/>
    </row>
    <row r="855" spans="2:3" ht="15.75" customHeight="1">
      <c r="B855" s="1"/>
      <c r="C855" s="1"/>
    </row>
    <row r="856" spans="2:3" ht="15.75" customHeight="1">
      <c r="B856" s="1"/>
      <c r="C856" s="1"/>
    </row>
    <row r="857" spans="2:3" ht="15.75" customHeight="1">
      <c r="B857" s="1"/>
      <c r="C857" s="1"/>
    </row>
    <row r="858" spans="2:3" ht="15.75" customHeight="1">
      <c r="B858" s="1"/>
      <c r="C858" s="1"/>
    </row>
    <row r="859" spans="2:3" ht="15.75" customHeight="1">
      <c r="B859" s="1"/>
      <c r="C859" s="1"/>
    </row>
    <row r="860" spans="2:3" ht="15.75" customHeight="1">
      <c r="B860" s="1"/>
      <c r="C860" s="1"/>
    </row>
    <row r="861" spans="2:3" ht="15.75" customHeight="1">
      <c r="B861" s="1"/>
      <c r="C861" s="1"/>
    </row>
    <row r="862" spans="2:3" ht="15.75" customHeight="1">
      <c r="B862" s="1"/>
      <c r="C862" s="1"/>
    </row>
    <row r="863" spans="2:3" ht="15.75" customHeight="1">
      <c r="B863" s="1"/>
      <c r="C863" s="1"/>
    </row>
    <row r="864" spans="2:3" ht="15.75" customHeight="1">
      <c r="B864" s="1"/>
      <c r="C864" s="1"/>
    </row>
    <row r="865" spans="2:3" ht="15.75" customHeight="1">
      <c r="B865" s="1"/>
      <c r="C865" s="1"/>
    </row>
    <row r="866" spans="2:3" ht="15.75" customHeight="1">
      <c r="B866" s="1"/>
      <c r="C866" s="1"/>
    </row>
    <row r="867" spans="2:3" ht="15.75" customHeight="1">
      <c r="B867" s="1"/>
      <c r="C867" s="1"/>
    </row>
    <row r="868" spans="2:3" ht="15.75" customHeight="1">
      <c r="B868" s="1"/>
      <c r="C868" s="1"/>
    </row>
    <row r="869" spans="2:3" ht="15.75" customHeight="1">
      <c r="B869" s="1"/>
      <c r="C869" s="1"/>
    </row>
    <row r="870" spans="2:3" ht="15.75" customHeight="1">
      <c r="B870" s="1"/>
      <c r="C870" s="1"/>
    </row>
    <row r="871" spans="2:3" ht="15.75" customHeight="1">
      <c r="B871" s="1"/>
      <c r="C871" s="1"/>
    </row>
    <row r="872" spans="2:3" ht="15.75" customHeight="1">
      <c r="B872" s="1"/>
      <c r="C872" s="1"/>
    </row>
    <row r="873" spans="2:3" ht="15.75" customHeight="1">
      <c r="B873" s="1"/>
      <c r="C873" s="1"/>
    </row>
    <row r="874" spans="2:3" ht="15.75" customHeight="1">
      <c r="B874" s="1"/>
      <c r="C874" s="1"/>
    </row>
    <row r="875" spans="2:3" ht="15.75" customHeight="1">
      <c r="B875" s="1"/>
      <c r="C875" s="1"/>
    </row>
    <row r="876" spans="2:3" ht="15.75" customHeight="1">
      <c r="B876" s="1"/>
      <c r="C876" s="1"/>
    </row>
    <row r="877" spans="2:3" ht="15.75" customHeight="1">
      <c r="B877" s="1"/>
      <c r="C877" s="1"/>
    </row>
    <row r="878" spans="2:3" ht="15.75" customHeight="1">
      <c r="B878" s="1"/>
      <c r="C878" s="1"/>
    </row>
    <row r="879" spans="2:3" ht="15.75" customHeight="1">
      <c r="B879" s="1"/>
      <c r="C879" s="1"/>
    </row>
    <row r="880" spans="2:3" ht="15.75" customHeight="1">
      <c r="B880" s="1"/>
      <c r="C880" s="1"/>
    </row>
    <row r="881" spans="2:3" ht="15.75" customHeight="1">
      <c r="B881" s="1"/>
      <c r="C881" s="1"/>
    </row>
    <row r="882" spans="2:3" ht="15.75" customHeight="1">
      <c r="B882" s="1"/>
      <c r="C882" s="1"/>
    </row>
    <row r="883" spans="2:3" ht="15.75" customHeight="1">
      <c r="B883" s="1"/>
      <c r="C883" s="1"/>
    </row>
    <row r="884" spans="2:3" ht="15.75" customHeight="1">
      <c r="B884" s="1"/>
      <c r="C884" s="1"/>
    </row>
    <row r="885" spans="2:3" ht="15.75" customHeight="1">
      <c r="B885" s="1"/>
      <c r="C885" s="1"/>
    </row>
    <row r="886" spans="2:3" ht="15.75" customHeight="1">
      <c r="B886" s="1"/>
      <c r="C886" s="1"/>
    </row>
    <row r="887" spans="2:3" ht="15.75" customHeight="1">
      <c r="B887" s="1"/>
      <c r="C887" s="1"/>
    </row>
    <row r="888" spans="2:3" ht="15.75" customHeight="1">
      <c r="B888" s="1"/>
      <c r="C888" s="1"/>
    </row>
    <row r="889" spans="2:3" ht="15.75" customHeight="1">
      <c r="B889" s="1"/>
      <c r="C889" s="1"/>
    </row>
    <row r="890" spans="2:3" ht="15.75" customHeight="1">
      <c r="B890" s="1"/>
      <c r="C890" s="1"/>
    </row>
    <row r="891" spans="2:3" ht="15.75" customHeight="1">
      <c r="B891" s="1"/>
      <c r="C891" s="1"/>
    </row>
    <row r="892" spans="2:3" ht="15.75" customHeight="1">
      <c r="B892" s="1"/>
      <c r="C892" s="1"/>
    </row>
    <row r="893" spans="2:3" ht="15.75" customHeight="1">
      <c r="B893" s="1"/>
      <c r="C893" s="1"/>
    </row>
    <row r="894" spans="2:3" ht="15.75" customHeight="1">
      <c r="B894" s="1"/>
      <c r="C894" s="1"/>
    </row>
    <row r="895" spans="2:3" ht="15.75" customHeight="1">
      <c r="B895" s="1"/>
      <c r="C895" s="1"/>
    </row>
    <row r="896" spans="2:3" ht="15.75" customHeight="1">
      <c r="B896" s="1"/>
      <c r="C896" s="1"/>
    </row>
    <row r="897" spans="2:3" ht="15.75" customHeight="1">
      <c r="B897" s="1"/>
      <c r="C897" s="1"/>
    </row>
    <row r="898" spans="2:3" ht="15.75" customHeight="1">
      <c r="B898" s="1"/>
      <c r="C898" s="1"/>
    </row>
    <row r="899" spans="2:3" ht="15.75" customHeight="1">
      <c r="B899" s="1"/>
      <c r="C899" s="1"/>
    </row>
    <row r="900" spans="2:3" ht="15.75" customHeight="1">
      <c r="B900" s="1"/>
      <c r="C900" s="1"/>
    </row>
    <row r="901" spans="2:3" ht="15.75" customHeight="1">
      <c r="B901" s="1"/>
      <c r="C901" s="1"/>
    </row>
    <row r="902" spans="2:3" ht="15.75" customHeight="1">
      <c r="B902" s="1"/>
      <c r="C902" s="1"/>
    </row>
    <row r="903" spans="2:3" ht="15.75" customHeight="1">
      <c r="B903" s="1"/>
      <c r="C903" s="1"/>
    </row>
    <row r="904" spans="2:3" ht="15.75" customHeight="1">
      <c r="B904" s="1"/>
      <c r="C904" s="1"/>
    </row>
    <row r="905" spans="2:3" ht="15.75" customHeight="1">
      <c r="B905" s="1"/>
      <c r="C905" s="1"/>
    </row>
    <row r="906" spans="2:3" ht="15.75" customHeight="1">
      <c r="B906" s="1"/>
      <c r="C906" s="1"/>
    </row>
    <row r="907" spans="2:3" ht="15.75" customHeight="1">
      <c r="B907" s="1"/>
      <c r="C907" s="1"/>
    </row>
    <row r="908" spans="2:3" ht="15.75" customHeight="1">
      <c r="B908" s="1"/>
      <c r="C908" s="1"/>
    </row>
    <row r="909" spans="2:3" ht="15.75" customHeight="1">
      <c r="B909" s="1"/>
      <c r="C909" s="1"/>
    </row>
    <row r="910" spans="2:3" ht="15.75" customHeight="1">
      <c r="B910" s="1"/>
      <c r="C910" s="1"/>
    </row>
    <row r="911" spans="2:3" ht="15.75" customHeight="1">
      <c r="B911" s="1"/>
      <c r="C911" s="1"/>
    </row>
    <row r="912" spans="2:3" ht="15.75" customHeight="1">
      <c r="B912" s="1"/>
      <c r="C912" s="1"/>
    </row>
    <row r="913" spans="2:3" ht="15.75" customHeight="1">
      <c r="B913" s="1"/>
      <c r="C913" s="1"/>
    </row>
    <row r="914" spans="2:3" ht="15.75" customHeight="1">
      <c r="B914" s="1"/>
      <c r="C914" s="1"/>
    </row>
    <row r="915" spans="2:3" ht="15.75" customHeight="1">
      <c r="B915" s="1"/>
      <c r="C915" s="1"/>
    </row>
    <row r="916" spans="2:3" ht="15.75" customHeight="1">
      <c r="B916" s="1"/>
      <c r="C916" s="1"/>
    </row>
    <row r="917" spans="2:3" ht="15.75" customHeight="1">
      <c r="B917" s="1"/>
      <c r="C917" s="1"/>
    </row>
    <row r="918" spans="2:3" ht="15.75" customHeight="1">
      <c r="B918" s="1"/>
      <c r="C918" s="1"/>
    </row>
    <row r="919" spans="2:3" ht="15.75" customHeight="1">
      <c r="B919" s="1"/>
      <c r="C919" s="1"/>
    </row>
    <row r="920" spans="2:3" ht="15.75" customHeight="1">
      <c r="B920" s="1"/>
      <c r="C920" s="1"/>
    </row>
    <row r="921" spans="2:3" ht="15.75" customHeight="1">
      <c r="B921" s="1"/>
      <c r="C921" s="1"/>
    </row>
    <row r="922" spans="2:3" ht="15.75" customHeight="1">
      <c r="B922" s="1"/>
      <c r="C922" s="1"/>
    </row>
    <row r="923" spans="2:3" ht="15.75" customHeight="1">
      <c r="B923" s="1"/>
      <c r="C923" s="1"/>
    </row>
    <row r="924" spans="2:3" ht="15.75" customHeight="1">
      <c r="B924" s="1"/>
      <c r="C924" s="1"/>
    </row>
    <row r="925" spans="2:3" ht="15.75" customHeight="1">
      <c r="B925" s="1"/>
      <c r="C925" s="1"/>
    </row>
    <row r="926" spans="2:3" ht="15.75" customHeight="1">
      <c r="B926" s="1"/>
      <c r="C926" s="1"/>
    </row>
    <row r="927" spans="2:3" ht="15.75" customHeight="1">
      <c r="B927" s="1"/>
      <c r="C927" s="1"/>
    </row>
    <row r="928" spans="2:3" ht="15.75" customHeight="1">
      <c r="B928" s="1"/>
      <c r="C928" s="1"/>
    </row>
    <row r="929" spans="2:3" ht="15.75" customHeight="1">
      <c r="B929" s="1"/>
      <c r="C929" s="1"/>
    </row>
    <row r="930" spans="2:3" ht="15.75" customHeight="1">
      <c r="B930" s="1"/>
      <c r="C930" s="1"/>
    </row>
    <row r="931" spans="2:3" ht="15.75" customHeight="1">
      <c r="B931" s="1"/>
      <c r="C931" s="1"/>
    </row>
    <row r="932" spans="2:3" ht="15.75" customHeight="1">
      <c r="B932" s="1"/>
      <c r="C932" s="1"/>
    </row>
    <row r="933" spans="2:3" ht="15.75" customHeight="1">
      <c r="B933" s="1"/>
      <c r="C933" s="1"/>
    </row>
    <row r="934" spans="2:3" ht="15.75" customHeight="1">
      <c r="B934" s="1"/>
      <c r="C934" s="1"/>
    </row>
    <row r="935" spans="2:3" ht="15.75" customHeight="1">
      <c r="B935" s="1"/>
      <c r="C935" s="1"/>
    </row>
    <row r="936" spans="2:3" ht="15.75" customHeight="1">
      <c r="B936" s="1"/>
      <c r="C936" s="1"/>
    </row>
    <row r="937" spans="2:3" ht="15.75" customHeight="1">
      <c r="B937" s="1"/>
      <c r="C937" s="1"/>
    </row>
    <row r="938" spans="2:3" ht="15.75" customHeight="1">
      <c r="B938" s="1"/>
      <c r="C938" s="1"/>
    </row>
    <row r="939" spans="2:3" ht="15.75" customHeight="1">
      <c r="B939" s="1"/>
      <c r="C939" s="1"/>
    </row>
    <row r="940" spans="2:3" ht="15.75" customHeight="1">
      <c r="B940" s="1"/>
      <c r="C940" s="1"/>
    </row>
    <row r="941" spans="2:3" ht="15.75" customHeight="1">
      <c r="B941" s="1"/>
      <c r="C941" s="1"/>
    </row>
    <row r="942" spans="2:3" ht="15.75" customHeight="1">
      <c r="B942" s="1"/>
      <c r="C942" s="1"/>
    </row>
    <row r="943" spans="2:3" ht="15.75" customHeight="1">
      <c r="B943" s="1"/>
      <c r="C943" s="1"/>
    </row>
    <row r="944" spans="2:3" ht="15.75" customHeight="1">
      <c r="B944" s="1"/>
      <c r="C944" s="1"/>
    </row>
    <row r="945" spans="2:3" ht="15.75" customHeight="1">
      <c r="B945" s="1"/>
      <c r="C945" s="1"/>
    </row>
    <row r="946" spans="2:3" ht="15.75" customHeight="1">
      <c r="B946" s="1"/>
      <c r="C946" s="1"/>
    </row>
    <row r="947" spans="2:3" ht="15.75" customHeight="1">
      <c r="B947" s="1"/>
      <c r="C947" s="1"/>
    </row>
    <row r="948" spans="2:3" ht="15.75" customHeight="1">
      <c r="B948" s="1"/>
      <c r="C948" s="1"/>
    </row>
    <row r="949" spans="2:3" ht="15.75" customHeight="1">
      <c r="B949" s="1"/>
      <c r="C949" s="1"/>
    </row>
    <row r="950" spans="2:3" ht="15.75" customHeight="1">
      <c r="B950" s="1"/>
      <c r="C950" s="1"/>
    </row>
    <row r="951" spans="2:3" ht="15.75" customHeight="1">
      <c r="B951" s="1"/>
      <c r="C951" s="1"/>
    </row>
    <row r="952" spans="2:3" ht="15.75" customHeight="1">
      <c r="B952" s="1"/>
      <c r="C952" s="1"/>
    </row>
    <row r="953" spans="2:3" ht="15.75" customHeight="1">
      <c r="B953" s="1"/>
      <c r="C953" s="1"/>
    </row>
    <row r="954" spans="2:3" ht="15.75" customHeight="1">
      <c r="B954" s="1"/>
      <c r="C954" s="1"/>
    </row>
    <row r="955" spans="2:3" ht="15.75" customHeight="1">
      <c r="B955" s="1"/>
      <c r="C955" s="1"/>
    </row>
    <row r="956" spans="2:3" ht="15.75" customHeight="1">
      <c r="B956" s="1"/>
      <c r="C956" s="1"/>
    </row>
    <row r="957" spans="2:3" ht="15.75" customHeight="1">
      <c r="B957" s="1"/>
      <c r="C957" s="1"/>
    </row>
    <row r="958" spans="2:3" ht="15.75" customHeight="1">
      <c r="B958" s="1"/>
      <c r="C958" s="1"/>
    </row>
    <row r="959" spans="2:3" ht="15.75" customHeight="1">
      <c r="B959" s="1"/>
      <c r="C959" s="1"/>
    </row>
    <row r="960" spans="2:3" ht="15.75" customHeight="1">
      <c r="B960" s="1"/>
      <c r="C960" s="1"/>
    </row>
    <row r="961" spans="2:3" ht="15.75" customHeight="1">
      <c r="B961" s="1"/>
      <c r="C961" s="1"/>
    </row>
    <row r="962" spans="2:3" ht="15.75" customHeight="1">
      <c r="B962" s="1"/>
      <c r="C962" s="1"/>
    </row>
    <row r="963" spans="2:3" ht="15.75" customHeight="1">
      <c r="B963" s="1"/>
      <c r="C963" s="1"/>
    </row>
    <row r="964" spans="2:3" ht="15.75" customHeight="1">
      <c r="B964" s="1"/>
      <c r="C964" s="1"/>
    </row>
    <row r="965" spans="2:3" ht="15.75" customHeight="1">
      <c r="B965" s="1"/>
      <c r="C965" s="1"/>
    </row>
    <row r="966" spans="2:3" ht="15.75" customHeight="1">
      <c r="B966" s="1"/>
      <c r="C966" s="1"/>
    </row>
    <row r="967" spans="2:3" ht="15.75" customHeight="1">
      <c r="B967" s="1"/>
      <c r="C967" s="1"/>
    </row>
    <row r="968" spans="2:3" ht="15.75" customHeight="1">
      <c r="B968" s="1"/>
      <c r="C968" s="1"/>
    </row>
    <row r="969" spans="2:3" ht="15.75" customHeight="1">
      <c r="B969" s="1"/>
      <c r="C969" s="1"/>
    </row>
    <row r="970" spans="2:3" ht="15.75" customHeight="1">
      <c r="B970" s="1"/>
      <c r="C970" s="1"/>
    </row>
    <row r="971" spans="2:3" ht="15.75" customHeight="1">
      <c r="B971" s="1"/>
      <c r="C971" s="1"/>
    </row>
    <row r="972" spans="2:3" ht="15.75" customHeight="1">
      <c r="B972" s="1"/>
      <c r="C972" s="1"/>
    </row>
    <row r="973" spans="2:3" ht="15.75" customHeight="1">
      <c r="B973" s="1"/>
      <c r="C973" s="1"/>
    </row>
    <row r="974" spans="2:3" ht="15.75" customHeight="1">
      <c r="B974" s="1"/>
      <c r="C974" s="1"/>
    </row>
    <row r="975" spans="2:3" ht="15.75" customHeight="1">
      <c r="B975" s="1"/>
      <c r="C975" s="1"/>
    </row>
    <row r="976" spans="2:3" ht="15.75" customHeight="1">
      <c r="B976" s="1"/>
      <c r="C976" s="1"/>
    </row>
    <row r="977" spans="2:3" ht="15.75" customHeight="1">
      <c r="B977" s="1"/>
      <c r="C977" s="1"/>
    </row>
    <row r="978" spans="2:3" ht="15.75" customHeight="1">
      <c r="B978" s="1"/>
      <c r="C978" s="1"/>
    </row>
    <row r="979" spans="2:3" ht="15.75" customHeight="1">
      <c r="B979" s="1"/>
      <c r="C979" s="1"/>
    </row>
    <row r="980" spans="2:3" ht="15.75" customHeight="1">
      <c r="B980" s="1"/>
      <c r="C980" s="1"/>
    </row>
    <row r="981" spans="2:3" ht="15.75" customHeight="1">
      <c r="B981" s="1"/>
      <c r="C981" s="1"/>
    </row>
    <row r="982" spans="2:3" ht="15.75" customHeight="1">
      <c r="B982" s="1"/>
      <c r="C982" s="1"/>
    </row>
    <row r="983" spans="2:3" ht="15.75" customHeight="1">
      <c r="B983" s="1"/>
      <c r="C983" s="1"/>
    </row>
    <row r="984" spans="2:3" ht="15.75" customHeight="1">
      <c r="B984" s="1"/>
      <c r="C984" s="1"/>
    </row>
    <row r="985" spans="2:3" ht="15.75" customHeight="1">
      <c r="B985" s="1"/>
      <c r="C985" s="1"/>
    </row>
    <row r="986" spans="2:3" ht="15.75" customHeight="1">
      <c r="B986" s="1"/>
      <c r="C986" s="1"/>
    </row>
    <row r="987" spans="2:3" ht="15.75" customHeight="1">
      <c r="B987" s="1"/>
      <c r="C987" s="1"/>
    </row>
    <row r="988" spans="2:3" ht="15.75" customHeight="1">
      <c r="B988" s="1"/>
      <c r="C988" s="1"/>
    </row>
    <row r="989" spans="2:3" ht="15.75" customHeight="1">
      <c r="B989" s="1"/>
      <c r="C989" s="1"/>
    </row>
    <row r="990" spans="2:3" ht="15.75" customHeight="1">
      <c r="B990" s="1"/>
      <c r="C990" s="1"/>
    </row>
    <row r="991" spans="2:3" ht="15.75" customHeight="1">
      <c r="B991" s="1"/>
      <c r="C991" s="1"/>
    </row>
    <row r="992" spans="2:3" ht="15.75" customHeight="1">
      <c r="B992" s="1"/>
      <c r="C992" s="1"/>
    </row>
    <row r="993" spans="2:3" ht="15.75" customHeight="1">
      <c r="B993" s="1"/>
      <c r="C993" s="1"/>
    </row>
    <row r="994" spans="2:3" ht="15.75" customHeight="1">
      <c r="B994" s="1"/>
      <c r="C994" s="1"/>
    </row>
    <row r="995" spans="2:3" ht="15.75" customHeight="1">
      <c r="B995" s="1"/>
      <c r="C995" s="1"/>
    </row>
    <row r="996" spans="2:3" ht="15.75" customHeight="1">
      <c r="B996" s="1"/>
      <c r="C996" s="1"/>
    </row>
    <row r="997" spans="2:3" ht="15.75" customHeight="1">
      <c r="B997" s="1"/>
      <c r="C997" s="1"/>
    </row>
    <row r="998" spans="2:3" ht="15.75" customHeight="1">
      <c r="B998" s="1"/>
      <c r="C998" s="1"/>
    </row>
    <row r="999" spans="2:3" ht="15.75" customHeight="1">
      <c r="B999" s="1"/>
      <c r="C999" s="1"/>
    </row>
    <row r="1000" spans="2:3" ht="15.75" customHeight="1">
      <c r="B1000" s="1"/>
      <c r="C1000" s="1"/>
    </row>
    <row r="1001" spans="2:3" ht="15.75" customHeight="1">
      <c r="B1001" s="1"/>
      <c r="C1001" s="1"/>
    </row>
  </sheetData>
  <autoFilter ref="A2:CP40">
    <filterColumn colId="4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87" showButton="0"/>
    <filterColumn colId="88" showButton="0"/>
    <filterColumn colId="90" showButton="0"/>
    <filterColumn colId="91" showButton="0"/>
  </autoFilter>
  <mergeCells count="36">
    <mergeCell ref="AR5:AW5"/>
    <mergeCell ref="AX5:BC5"/>
    <mergeCell ref="BD5:BI5"/>
    <mergeCell ref="BJ5:BO5"/>
    <mergeCell ref="BP5:BU5"/>
    <mergeCell ref="BV5:CA5"/>
    <mergeCell ref="AX4:BC4"/>
    <mergeCell ref="BD4:BI4"/>
    <mergeCell ref="BJ4:BO4"/>
    <mergeCell ref="BP4:BU4"/>
    <mergeCell ref="BV4:CA4"/>
    <mergeCell ref="N5:S5"/>
    <mergeCell ref="T5:Y5"/>
    <mergeCell ref="Z5:AE5"/>
    <mergeCell ref="AF5:AK5"/>
    <mergeCell ref="AL5:AQ5"/>
    <mergeCell ref="E2:F2"/>
    <mergeCell ref="N2:CA2"/>
    <mergeCell ref="CJ2:CL2"/>
    <mergeCell ref="AR4:AW4"/>
    <mergeCell ref="AX3:BC3"/>
    <mergeCell ref="BD3:BI3"/>
    <mergeCell ref="BJ3:BO3"/>
    <mergeCell ref="BP3:BU3"/>
    <mergeCell ref="N4:S4"/>
    <mergeCell ref="T4:Y4"/>
    <mergeCell ref="Z4:AE4"/>
    <mergeCell ref="AF4:AK4"/>
    <mergeCell ref="AL4:AQ4"/>
    <mergeCell ref="CM2:CO2"/>
    <mergeCell ref="N3:S3"/>
    <mergeCell ref="T3:AE3"/>
    <mergeCell ref="AK3:AQ3"/>
    <mergeCell ref="AR3:AW3"/>
    <mergeCell ref="BV3:CA3"/>
    <mergeCell ref="CB3:CG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41"/>
  <sheetViews>
    <sheetView tabSelected="1" workbookViewId="0">
      <selection activeCell="N23" sqref="N23"/>
    </sheetView>
  </sheetViews>
  <sheetFormatPr baseColWidth="10" defaultRowHeight="15"/>
  <cols>
    <col min="1" max="1" width="15.5703125" style="123" customWidth="1"/>
    <col min="2" max="2" width="7.5703125" bestFit="1" customWidth="1"/>
    <col min="3" max="3" width="60.5703125" customWidth="1"/>
    <col min="4" max="4" width="10.42578125" style="81" bestFit="1" customWidth="1"/>
  </cols>
  <sheetData>
    <row r="3" spans="1:12">
      <c r="E3" s="160" t="s">
        <v>441</v>
      </c>
      <c r="F3" s="160"/>
      <c r="G3" s="160"/>
    </row>
    <row r="4" spans="1:12">
      <c r="A4" s="123" t="s">
        <v>613</v>
      </c>
      <c r="B4" t="s">
        <v>439</v>
      </c>
      <c r="C4" t="s">
        <v>440</v>
      </c>
      <c r="D4" s="81" t="s">
        <v>446</v>
      </c>
      <c r="E4" s="94" t="s">
        <v>490</v>
      </c>
      <c r="F4" t="s">
        <v>442</v>
      </c>
      <c r="G4" t="s">
        <v>443</v>
      </c>
      <c r="H4" s="123" t="s">
        <v>444</v>
      </c>
      <c r="I4" s="123" t="s">
        <v>500</v>
      </c>
      <c r="J4" s="129" t="s">
        <v>645</v>
      </c>
      <c r="K4" s="135" t="s">
        <v>770</v>
      </c>
      <c r="L4" s="135" t="s">
        <v>771</v>
      </c>
    </row>
    <row r="5" spans="1:12">
      <c r="A5" s="28" t="s">
        <v>578</v>
      </c>
      <c r="B5">
        <v>1</v>
      </c>
      <c r="C5" s="31" t="s">
        <v>577</v>
      </c>
      <c r="D5" s="13" t="s">
        <v>45</v>
      </c>
      <c r="E5" s="13" t="s">
        <v>44</v>
      </c>
      <c r="F5" s="33">
        <v>0.48899999999999999</v>
      </c>
      <c r="G5" s="33">
        <v>0.54200000000000004</v>
      </c>
      <c r="H5" s="33">
        <v>0.70099999999999996</v>
      </c>
      <c r="I5" s="33">
        <v>0.628</v>
      </c>
      <c r="J5" s="33">
        <v>0.64300000000000002</v>
      </c>
      <c r="K5" s="33">
        <v>0.66900000000000004</v>
      </c>
      <c r="L5" s="8"/>
    </row>
    <row r="6" spans="1:12" ht="30">
      <c r="A6" s="60"/>
      <c r="B6" s="81">
        <f>+B5+1</f>
        <v>2</v>
      </c>
      <c r="C6" s="37" t="s">
        <v>54</v>
      </c>
      <c r="D6" s="13" t="s">
        <v>45</v>
      </c>
      <c r="E6" s="13" t="s">
        <v>58</v>
      </c>
      <c r="F6" s="33">
        <v>0.57399999999999995</v>
      </c>
      <c r="G6" s="33">
        <v>0.47</v>
      </c>
      <c r="H6" s="33">
        <v>0.49399999999999999</v>
      </c>
      <c r="I6" s="33">
        <v>0.48499999999999999</v>
      </c>
      <c r="J6" s="33"/>
      <c r="K6" s="8"/>
      <c r="L6" s="8"/>
    </row>
    <row r="7" spans="1:12">
      <c r="A7" s="60" t="s">
        <v>503</v>
      </c>
      <c r="B7" s="81">
        <f t="shared" ref="B7:B38" si="0">+B6+1</f>
        <v>3</v>
      </c>
      <c r="C7" s="41" t="s">
        <v>619</v>
      </c>
      <c r="D7" s="13" t="s">
        <v>73</v>
      </c>
      <c r="E7" s="13" t="s">
        <v>72</v>
      </c>
      <c r="F7" s="33">
        <v>0.45100000000000001</v>
      </c>
      <c r="G7" s="33">
        <v>0.498</v>
      </c>
      <c r="H7" s="33">
        <v>0.495</v>
      </c>
      <c r="I7" s="33">
        <v>0.60799999999999998</v>
      </c>
      <c r="J7" s="33">
        <v>0.64200000000000002</v>
      </c>
      <c r="K7" s="36">
        <v>0.33500000000000002</v>
      </c>
      <c r="L7" s="36">
        <v>0.72799999999999998</v>
      </c>
    </row>
    <row r="8" spans="1:12">
      <c r="A8" s="28" t="s">
        <v>196</v>
      </c>
      <c r="B8" s="81">
        <f t="shared" si="0"/>
        <v>4</v>
      </c>
      <c r="C8" s="42" t="s">
        <v>580</v>
      </c>
      <c r="D8" s="13" t="s">
        <v>73</v>
      </c>
      <c r="E8" s="13" t="s">
        <v>88</v>
      </c>
      <c r="F8" s="33">
        <v>0.34499999999999997</v>
      </c>
      <c r="G8" s="33">
        <v>0.49299999999999999</v>
      </c>
      <c r="H8" s="33">
        <v>0.70499999999999996</v>
      </c>
      <c r="I8" s="33">
        <v>0.748</v>
      </c>
      <c r="J8" s="33">
        <v>0.68500000000000005</v>
      </c>
      <c r="K8" s="36">
        <v>0.74399999999999999</v>
      </c>
      <c r="L8" s="8"/>
    </row>
    <row r="9" spans="1:12">
      <c r="A9" s="28" t="s">
        <v>511</v>
      </c>
      <c r="B9" s="81">
        <f t="shared" si="0"/>
        <v>5</v>
      </c>
      <c r="C9" s="42" t="s">
        <v>510</v>
      </c>
      <c r="D9" s="13" t="s">
        <v>45</v>
      </c>
      <c r="E9" s="13" t="s">
        <v>99</v>
      </c>
      <c r="F9" s="33">
        <v>0.53500000000000003</v>
      </c>
      <c r="G9" s="33">
        <v>0.69499999999999995</v>
      </c>
      <c r="H9" s="33">
        <v>0.54900000000000004</v>
      </c>
      <c r="I9" s="33">
        <v>0.53900000000000003</v>
      </c>
      <c r="J9" s="33">
        <v>0.57199999999999995</v>
      </c>
      <c r="K9" s="8"/>
      <c r="L9" s="8"/>
    </row>
    <row r="10" spans="1:12">
      <c r="A10" s="28" t="s">
        <v>72</v>
      </c>
      <c r="B10" s="81">
        <f t="shared" si="0"/>
        <v>6</v>
      </c>
      <c r="C10" s="31" t="s">
        <v>622</v>
      </c>
      <c r="D10" s="13" t="s">
        <v>45</v>
      </c>
      <c r="E10" s="13" t="s">
        <v>72</v>
      </c>
      <c r="F10" s="33">
        <v>0.27500000000000002</v>
      </c>
      <c r="G10" s="33">
        <v>0.39300000000000002</v>
      </c>
      <c r="H10" s="33">
        <v>0.51</v>
      </c>
      <c r="I10" s="33">
        <v>0.30399999999999999</v>
      </c>
      <c r="J10" s="33">
        <v>0.80600000000000005</v>
      </c>
      <c r="K10" s="36">
        <v>0.83499999999999996</v>
      </c>
      <c r="L10" s="8"/>
    </row>
    <row r="11" spans="1:12">
      <c r="A11" s="60" t="s">
        <v>88</v>
      </c>
      <c r="B11" s="81">
        <f t="shared" si="0"/>
        <v>7</v>
      </c>
      <c r="C11" s="45" t="s">
        <v>624</v>
      </c>
      <c r="D11" s="13" t="s">
        <v>73</v>
      </c>
      <c r="E11" s="13" t="s">
        <v>88</v>
      </c>
      <c r="F11" s="33">
        <v>0.82699999999999996</v>
      </c>
      <c r="G11" s="33">
        <v>0.83899999999999997</v>
      </c>
      <c r="H11" s="33">
        <v>0.92100000000000004</v>
      </c>
      <c r="I11" s="33">
        <v>0.9</v>
      </c>
      <c r="J11" s="33">
        <v>0.94399999999999995</v>
      </c>
      <c r="K11" s="36">
        <v>0.91100000000000003</v>
      </c>
      <c r="L11" s="8"/>
    </row>
    <row r="12" spans="1:12">
      <c r="A12" s="28" t="s">
        <v>503</v>
      </c>
      <c r="B12" s="81">
        <f t="shared" si="0"/>
        <v>8</v>
      </c>
      <c r="C12" s="31" t="s">
        <v>626</v>
      </c>
      <c r="D12" s="13" t="s">
        <v>45</v>
      </c>
      <c r="E12" s="13" t="s">
        <v>128</v>
      </c>
      <c r="F12" s="33">
        <v>0.29799999999999999</v>
      </c>
      <c r="G12" s="33">
        <v>0.16800000000000001</v>
      </c>
      <c r="H12" s="33">
        <v>0.83199999999999996</v>
      </c>
      <c r="I12" s="33">
        <v>0.67800000000000005</v>
      </c>
      <c r="J12" s="33">
        <v>0.73199999999999998</v>
      </c>
      <c r="K12" s="36">
        <v>0.64100000000000001</v>
      </c>
      <c r="L12" s="8"/>
    </row>
    <row r="13" spans="1:12">
      <c r="A13" s="60" t="s">
        <v>522</v>
      </c>
      <c r="B13" s="81">
        <f t="shared" si="0"/>
        <v>9</v>
      </c>
      <c r="C13" s="48" t="s">
        <v>629</v>
      </c>
      <c r="D13" s="13" t="s">
        <v>45</v>
      </c>
      <c r="E13" s="13" t="s">
        <v>72</v>
      </c>
      <c r="F13" s="33">
        <v>0.80600000000000005</v>
      </c>
      <c r="G13" s="33">
        <v>0.82899999999999996</v>
      </c>
      <c r="H13" s="33">
        <v>0.86799999999999999</v>
      </c>
      <c r="I13" s="33">
        <v>0.83899999999999997</v>
      </c>
      <c r="J13" s="33">
        <v>0.80500000000000005</v>
      </c>
      <c r="K13" s="36">
        <v>0.80800000000000005</v>
      </c>
      <c r="L13" s="8"/>
    </row>
    <row r="14" spans="1:12">
      <c r="A14" s="28" t="s">
        <v>150</v>
      </c>
      <c r="B14" s="81">
        <f t="shared" si="0"/>
        <v>10</v>
      </c>
      <c r="C14" s="42" t="s">
        <v>525</v>
      </c>
      <c r="D14" s="13" t="s">
        <v>45</v>
      </c>
      <c r="E14" s="13" t="s">
        <v>150</v>
      </c>
      <c r="F14" s="33">
        <v>0.94799999999999995</v>
      </c>
      <c r="G14" s="35">
        <v>0.93</v>
      </c>
      <c r="H14" s="33">
        <v>0.95199999999999996</v>
      </c>
      <c r="I14" s="33">
        <v>0.96899999999999997</v>
      </c>
      <c r="J14" s="33">
        <v>0.874</v>
      </c>
      <c r="K14" s="33">
        <v>0.91200000000000003</v>
      </c>
      <c r="L14" s="8"/>
    </row>
    <row r="15" spans="1:12">
      <c r="A15" s="28" t="s">
        <v>88</v>
      </c>
      <c r="B15" s="81">
        <f t="shared" si="0"/>
        <v>11</v>
      </c>
      <c r="C15" s="42" t="s">
        <v>631</v>
      </c>
      <c r="D15" s="13" t="s">
        <v>45</v>
      </c>
      <c r="E15" s="13" t="s">
        <v>128</v>
      </c>
      <c r="F15" s="33">
        <v>0.94099999999999995</v>
      </c>
      <c r="G15" s="33">
        <v>0.97199999999999998</v>
      </c>
      <c r="H15" s="33">
        <v>0.94499999999999995</v>
      </c>
      <c r="I15" s="33">
        <v>0.83099999999999996</v>
      </c>
      <c r="J15" s="33">
        <v>0.751</v>
      </c>
      <c r="K15" s="35">
        <v>0.87</v>
      </c>
      <c r="L15" s="8"/>
    </row>
    <row r="16" spans="1:12">
      <c r="A16" s="28" t="s">
        <v>44</v>
      </c>
      <c r="B16" s="81">
        <f t="shared" si="0"/>
        <v>12</v>
      </c>
      <c r="C16" s="31" t="s">
        <v>529</v>
      </c>
      <c r="D16" s="13" t="s">
        <v>45</v>
      </c>
      <c r="E16" s="13" t="s">
        <v>128</v>
      </c>
      <c r="F16" s="33">
        <v>0.80600000000000005</v>
      </c>
      <c r="G16" s="33">
        <v>0.77300000000000002</v>
      </c>
      <c r="H16" s="28">
        <v>0</v>
      </c>
      <c r="I16" s="33">
        <v>0.61799999999999999</v>
      </c>
      <c r="J16" s="33">
        <v>0.66400000000000003</v>
      </c>
      <c r="K16" s="13"/>
      <c r="L16" s="8"/>
    </row>
    <row r="17" spans="1:12">
      <c r="A17" s="60" t="s">
        <v>88</v>
      </c>
      <c r="B17" s="81">
        <f t="shared" si="0"/>
        <v>13</v>
      </c>
      <c r="C17" s="50" t="s">
        <v>632</v>
      </c>
      <c r="D17" s="13" t="s">
        <v>45</v>
      </c>
      <c r="E17" s="13" t="s">
        <v>88</v>
      </c>
      <c r="F17" s="33">
        <v>0.246</v>
      </c>
      <c r="G17" s="33">
        <v>0.51400000000000001</v>
      </c>
      <c r="H17" s="33">
        <v>0.90100000000000002</v>
      </c>
      <c r="I17" s="33">
        <v>0.78500000000000003</v>
      </c>
      <c r="J17" s="35">
        <v>0.74</v>
      </c>
      <c r="K17" s="33">
        <v>0.86099999999999999</v>
      </c>
      <c r="L17" s="8"/>
    </row>
    <row r="18" spans="1:12">
      <c r="A18" s="28" t="s">
        <v>44</v>
      </c>
      <c r="B18" s="81">
        <f t="shared" si="0"/>
        <v>14</v>
      </c>
      <c r="C18" s="31" t="s">
        <v>584</v>
      </c>
      <c r="D18" s="13" t="s">
        <v>73</v>
      </c>
      <c r="E18" s="28" t="s">
        <v>72</v>
      </c>
      <c r="F18" s="33">
        <v>0.77300000000000002</v>
      </c>
      <c r="G18" s="33">
        <v>0.88600000000000001</v>
      </c>
      <c r="H18" s="33">
        <v>0.90400000000000003</v>
      </c>
      <c r="I18" s="33">
        <v>0.84299999999999997</v>
      </c>
      <c r="J18" s="33">
        <v>0.85199999999999998</v>
      </c>
      <c r="K18" s="13"/>
      <c r="L18" s="13"/>
    </row>
    <row r="19" spans="1:12">
      <c r="A19" s="28" t="s">
        <v>215</v>
      </c>
      <c r="B19" s="81">
        <f t="shared" si="0"/>
        <v>15</v>
      </c>
      <c r="C19" s="31" t="s">
        <v>636</v>
      </c>
      <c r="D19" s="13" t="s">
        <v>45</v>
      </c>
      <c r="E19" s="28" t="s">
        <v>196</v>
      </c>
      <c r="F19" s="33">
        <v>0.70599999999999996</v>
      </c>
      <c r="G19" s="35">
        <v>0.68</v>
      </c>
      <c r="H19" s="33">
        <v>0.74399999999999999</v>
      </c>
      <c r="I19" s="33">
        <v>0.63300000000000001</v>
      </c>
      <c r="J19" s="13"/>
      <c r="K19" s="13"/>
      <c r="L19" s="13"/>
    </row>
    <row r="20" spans="1:12">
      <c r="A20" s="24" t="s">
        <v>587</v>
      </c>
      <c r="B20" s="81">
        <f t="shared" si="0"/>
        <v>16</v>
      </c>
      <c r="C20" s="31" t="s">
        <v>586</v>
      </c>
      <c r="D20" s="24" t="s">
        <v>45</v>
      </c>
      <c r="E20" s="24" t="s">
        <v>205</v>
      </c>
      <c r="F20" s="33">
        <v>0.75700000000000001</v>
      </c>
      <c r="G20" s="33">
        <v>0.67100000000000004</v>
      </c>
      <c r="H20" s="33">
        <v>0.71899999999999997</v>
      </c>
      <c r="I20" s="33">
        <v>0.60599999999999998</v>
      </c>
      <c r="J20" s="33">
        <v>0.752</v>
      </c>
      <c r="K20" s="13"/>
      <c r="L20" s="13"/>
    </row>
    <row r="21" spans="1:12">
      <c r="A21" s="24" t="s">
        <v>205</v>
      </c>
      <c r="B21" s="81">
        <f t="shared" si="0"/>
        <v>17</v>
      </c>
      <c r="C21" s="41" t="s">
        <v>589</v>
      </c>
      <c r="D21" s="24" t="s">
        <v>225</v>
      </c>
      <c r="E21" s="24" t="s">
        <v>58</v>
      </c>
      <c r="F21" s="36">
        <v>0.67200000000000004</v>
      </c>
      <c r="G21" s="36">
        <v>0.71599999999999997</v>
      </c>
      <c r="H21" s="36">
        <v>0.747</v>
      </c>
      <c r="I21" s="36">
        <v>0.70899999999999996</v>
      </c>
      <c r="J21" s="36">
        <v>0.79500000000000004</v>
      </c>
      <c r="K21" s="8"/>
      <c r="L21" s="8"/>
    </row>
    <row r="22" spans="1:12">
      <c r="A22" s="24" t="s">
        <v>205</v>
      </c>
      <c r="B22" s="81">
        <f t="shared" si="0"/>
        <v>18</v>
      </c>
      <c r="C22" s="42" t="s">
        <v>592</v>
      </c>
      <c r="D22" s="24" t="s">
        <v>45</v>
      </c>
      <c r="E22" s="24" t="s">
        <v>58</v>
      </c>
      <c r="F22" s="36">
        <v>0.78300000000000003</v>
      </c>
      <c r="G22" s="36">
        <v>0.77600000000000002</v>
      </c>
      <c r="H22" s="36">
        <v>0.83399999999999996</v>
      </c>
      <c r="I22" s="36">
        <v>0.79300000000000004</v>
      </c>
      <c r="J22" s="36">
        <v>0.879</v>
      </c>
      <c r="K22" s="8"/>
      <c r="L22" s="8"/>
    </row>
    <row r="23" spans="1:12">
      <c r="A23" s="60" t="s">
        <v>522</v>
      </c>
      <c r="B23" s="81">
        <f t="shared" si="0"/>
        <v>19</v>
      </c>
      <c r="C23" s="42" t="s">
        <v>594</v>
      </c>
      <c r="D23" s="24" t="s">
        <v>225</v>
      </c>
      <c r="E23" s="24" t="s">
        <v>205</v>
      </c>
      <c r="F23" s="40">
        <v>0.45</v>
      </c>
      <c r="G23" s="36">
        <v>0.621</v>
      </c>
      <c r="H23" s="36">
        <v>0.77700000000000002</v>
      </c>
      <c r="I23" s="36">
        <v>0.55500000000000005</v>
      </c>
      <c r="J23" s="8"/>
      <c r="K23" s="8"/>
      <c r="L23" s="8"/>
    </row>
    <row r="24" spans="1:12">
      <c r="A24" s="24" t="s">
        <v>99</v>
      </c>
      <c r="B24" s="81">
        <f t="shared" si="0"/>
        <v>20</v>
      </c>
      <c r="C24" s="42" t="s">
        <v>597</v>
      </c>
      <c r="D24" s="24" t="s">
        <v>225</v>
      </c>
      <c r="E24" s="24" t="s">
        <v>196</v>
      </c>
      <c r="F24" s="36">
        <v>0.51100000000000001</v>
      </c>
      <c r="G24" s="36">
        <v>0.50800000000000001</v>
      </c>
      <c r="H24" s="36">
        <v>0.59899999999999998</v>
      </c>
      <c r="I24" s="36">
        <v>0.55600000000000005</v>
      </c>
      <c r="J24" s="36">
        <v>0.54400000000000004</v>
      </c>
      <c r="K24" s="8"/>
      <c r="L24" s="8"/>
    </row>
    <row r="25" spans="1:12">
      <c r="A25" s="24" t="s">
        <v>215</v>
      </c>
      <c r="B25" s="81">
        <f t="shared" si="0"/>
        <v>21</v>
      </c>
      <c r="C25" s="42" t="s">
        <v>599</v>
      </c>
      <c r="D25" s="24" t="s">
        <v>225</v>
      </c>
      <c r="E25" s="24" t="s">
        <v>150</v>
      </c>
      <c r="F25" s="36">
        <v>0.63500000000000001</v>
      </c>
      <c r="G25" s="36">
        <v>0.65800000000000003</v>
      </c>
      <c r="H25" s="36">
        <v>0.78500000000000003</v>
      </c>
      <c r="I25" s="36">
        <v>0.91400000000000003</v>
      </c>
      <c r="J25" s="36">
        <v>0.83299999999999996</v>
      </c>
      <c r="K25" s="8"/>
      <c r="L25" s="8"/>
    </row>
    <row r="26" spans="1:12">
      <c r="A26" s="24" t="s">
        <v>196</v>
      </c>
      <c r="B26" s="81">
        <f t="shared" si="0"/>
        <v>22</v>
      </c>
      <c r="C26" s="42" t="s">
        <v>601</v>
      </c>
      <c r="D26" s="24" t="s">
        <v>45</v>
      </c>
      <c r="E26" s="24" t="s">
        <v>150</v>
      </c>
      <c r="F26" s="40">
        <v>0.64</v>
      </c>
      <c r="G26" s="36">
        <v>0.78700000000000003</v>
      </c>
      <c r="H26" s="36">
        <v>0.84199999999999997</v>
      </c>
      <c r="I26" s="36">
        <v>0.70199999999999996</v>
      </c>
      <c r="J26" s="36">
        <v>0.80400000000000005</v>
      </c>
      <c r="K26" s="8"/>
      <c r="L26" s="8"/>
    </row>
    <row r="27" spans="1:12">
      <c r="A27" s="24" t="s">
        <v>72</v>
      </c>
      <c r="B27" s="81">
        <f t="shared" si="0"/>
        <v>23</v>
      </c>
      <c r="C27" s="42" t="s">
        <v>537</v>
      </c>
      <c r="D27" s="24" t="s">
        <v>45</v>
      </c>
      <c r="E27" s="24" t="s">
        <v>72</v>
      </c>
      <c r="F27" s="36">
        <v>0.85799999999999998</v>
      </c>
      <c r="G27" s="36">
        <v>0.745</v>
      </c>
      <c r="H27" s="36">
        <v>0.83299999999999996</v>
      </c>
      <c r="I27" s="36">
        <v>0.67400000000000004</v>
      </c>
      <c r="J27" s="36">
        <v>0.66200000000000003</v>
      </c>
      <c r="K27" s="8"/>
      <c r="L27" s="8"/>
    </row>
    <row r="28" spans="1:12">
      <c r="A28" s="24" t="s">
        <v>72</v>
      </c>
      <c r="B28" s="81">
        <f t="shared" si="0"/>
        <v>24</v>
      </c>
      <c r="C28" s="42" t="s">
        <v>540</v>
      </c>
      <c r="D28" s="24" t="s">
        <v>45</v>
      </c>
      <c r="E28" s="24" t="s">
        <v>128</v>
      </c>
      <c r="F28" s="40">
        <v>0.56999999999999995</v>
      </c>
      <c r="G28" s="36">
        <v>0.76700000000000002</v>
      </c>
      <c r="H28" s="36">
        <v>0.73299999999999998</v>
      </c>
      <c r="I28" s="36">
        <v>0.68600000000000005</v>
      </c>
      <c r="J28" s="8"/>
      <c r="K28" s="8"/>
      <c r="L28" s="8"/>
    </row>
    <row r="29" spans="1:12">
      <c r="A29" s="24" t="s">
        <v>88</v>
      </c>
      <c r="B29" s="81">
        <f t="shared" si="0"/>
        <v>25</v>
      </c>
      <c r="C29" s="42" t="s">
        <v>602</v>
      </c>
      <c r="D29" s="24" t="s">
        <v>225</v>
      </c>
      <c r="E29" s="24" t="s">
        <v>88</v>
      </c>
      <c r="F29" s="36">
        <v>0.51300000000000001</v>
      </c>
      <c r="G29" s="36">
        <v>0.94499999999999995</v>
      </c>
      <c r="H29" s="36">
        <v>0.98599999999999999</v>
      </c>
      <c r="I29" s="36">
        <v>0.998</v>
      </c>
      <c r="J29" s="36">
        <v>0.99099999999999999</v>
      </c>
      <c r="K29" s="8"/>
      <c r="L29" s="8"/>
    </row>
    <row r="30" spans="1:12">
      <c r="A30" s="24" t="s">
        <v>205</v>
      </c>
      <c r="B30" s="81">
        <f t="shared" si="0"/>
        <v>26</v>
      </c>
      <c r="C30" s="42" t="s">
        <v>606</v>
      </c>
      <c r="D30" s="24" t="s">
        <v>45</v>
      </c>
      <c r="E30" s="24" t="s">
        <v>128</v>
      </c>
      <c r="F30" s="36">
        <v>0.68600000000000005</v>
      </c>
      <c r="G30" s="36">
        <v>0.86399999999999999</v>
      </c>
      <c r="H30" s="36">
        <v>0.92800000000000005</v>
      </c>
      <c r="I30" s="36">
        <v>0.88600000000000001</v>
      </c>
      <c r="J30" s="36">
        <v>0.84299999999999997</v>
      </c>
      <c r="K30" s="36">
        <v>0.77200000000000002</v>
      </c>
      <c r="L30" s="135"/>
    </row>
    <row r="31" spans="1:12">
      <c r="A31" s="24" t="s">
        <v>99</v>
      </c>
      <c r="B31" s="81">
        <f t="shared" si="0"/>
        <v>27</v>
      </c>
      <c r="C31" s="42" t="s">
        <v>637</v>
      </c>
      <c r="D31" s="24" t="s">
        <v>45</v>
      </c>
      <c r="E31" s="24" t="s">
        <v>314</v>
      </c>
      <c r="F31" s="36">
        <v>0.68700000000000006</v>
      </c>
      <c r="G31" s="36">
        <v>0.78200000000000003</v>
      </c>
      <c r="H31" s="36">
        <v>0.76100000000000001</v>
      </c>
      <c r="I31" s="36">
        <v>0.82399999999999995</v>
      </c>
      <c r="J31" s="36">
        <v>0.76100000000000001</v>
      </c>
      <c r="K31" s="8"/>
      <c r="L31" s="8"/>
    </row>
    <row r="32" spans="1:12">
      <c r="A32" s="24" t="s">
        <v>553</v>
      </c>
      <c r="B32" s="81">
        <f t="shared" si="0"/>
        <v>28</v>
      </c>
      <c r="C32" s="42" t="s">
        <v>552</v>
      </c>
      <c r="D32" s="24" t="s">
        <v>45</v>
      </c>
      <c r="E32" s="24" t="s">
        <v>323</v>
      </c>
      <c r="F32" s="36">
        <v>0.54300000000000004</v>
      </c>
      <c r="G32" s="36">
        <v>0.745</v>
      </c>
      <c r="H32" s="36">
        <v>6.3E-2</v>
      </c>
      <c r="I32" s="36">
        <v>0.46500000000000002</v>
      </c>
      <c r="J32" s="8"/>
      <c r="K32" s="8"/>
      <c r="L32" s="8"/>
    </row>
    <row r="33" spans="1:12">
      <c r="A33" s="24" t="s">
        <v>88</v>
      </c>
      <c r="B33" s="81">
        <f t="shared" si="0"/>
        <v>29</v>
      </c>
      <c r="C33" s="42" t="s">
        <v>607</v>
      </c>
      <c r="D33" s="24" t="s">
        <v>332</v>
      </c>
      <c r="E33" s="24" t="s">
        <v>88</v>
      </c>
      <c r="F33" s="36">
        <v>0.89400000000000002</v>
      </c>
      <c r="G33" s="131">
        <v>0.85799999999999998</v>
      </c>
      <c r="H33" s="40">
        <v>0.83</v>
      </c>
      <c r="I33" s="164">
        <v>0.84250000000000003</v>
      </c>
      <c r="J33" s="8"/>
      <c r="K33" s="8"/>
      <c r="L33" s="8"/>
    </row>
    <row r="34" spans="1:12">
      <c r="A34" s="24" t="s">
        <v>205</v>
      </c>
      <c r="B34" s="81">
        <f t="shared" si="0"/>
        <v>30</v>
      </c>
      <c r="C34" s="42" t="s">
        <v>611</v>
      </c>
      <c r="D34" s="24" t="s">
        <v>73</v>
      </c>
      <c r="E34" s="24" t="s">
        <v>58</v>
      </c>
      <c r="F34" s="36">
        <v>0.41399999999999998</v>
      </c>
      <c r="G34" s="36">
        <v>0.66500000000000004</v>
      </c>
      <c r="H34" s="36">
        <v>0.65100000000000002</v>
      </c>
      <c r="I34" s="36">
        <v>0.90200000000000002</v>
      </c>
      <c r="J34" s="8"/>
      <c r="K34" s="8"/>
      <c r="L34" s="8"/>
    </row>
    <row r="35" spans="1:12">
      <c r="A35" s="24" t="s">
        <v>553</v>
      </c>
      <c r="B35" s="129">
        <f t="shared" si="0"/>
        <v>31</v>
      </c>
      <c r="C35" s="65" t="s">
        <v>639</v>
      </c>
      <c r="D35" s="24" t="s">
        <v>73</v>
      </c>
      <c r="E35" s="24" t="s">
        <v>323</v>
      </c>
      <c r="F35" s="36">
        <v>0.51900000000000002</v>
      </c>
      <c r="G35" s="40">
        <v>0.65</v>
      </c>
      <c r="H35" s="36">
        <v>0.85499999999999998</v>
      </c>
      <c r="I35" s="36">
        <v>0.86799999999999999</v>
      </c>
      <c r="J35" s="8"/>
      <c r="K35" s="8"/>
      <c r="L35" s="8"/>
    </row>
    <row r="36" spans="1:12">
      <c r="A36" s="24" t="s">
        <v>128</v>
      </c>
      <c r="B36" s="129">
        <f t="shared" si="0"/>
        <v>32</v>
      </c>
      <c r="C36" s="31" t="s">
        <v>557</v>
      </c>
      <c r="D36" s="24" t="s">
        <v>73</v>
      </c>
      <c r="E36" s="24" t="s">
        <v>58</v>
      </c>
      <c r="F36" s="36">
        <v>0.72299999999999998</v>
      </c>
      <c r="G36" s="40">
        <v>0.79</v>
      </c>
      <c r="H36" s="8"/>
      <c r="I36" s="8"/>
      <c r="J36" s="8"/>
      <c r="K36" s="8"/>
      <c r="L36" s="8"/>
    </row>
    <row r="37" spans="1:12" s="94" customFormat="1">
      <c r="A37" s="24" t="s">
        <v>215</v>
      </c>
      <c r="B37" s="129">
        <f t="shared" si="0"/>
        <v>33</v>
      </c>
      <c r="C37" s="28" t="s">
        <v>642</v>
      </c>
      <c r="D37" s="24" t="s">
        <v>73</v>
      </c>
      <c r="E37" s="24" t="s">
        <v>499</v>
      </c>
      <c r="F37" s="36">
        <v>0.89600000000000002</v>
      </c>
      <c r="G37" s="36">
        <v>0.85599999999999998</v>
      </c>
      <c r="H37" s="36">
        <v>0.89600000000000002</v>
      </c>
      <c r="I37" s="8"/>
      <c r="J37" s="8"/>
      <c r="K37" s="8"/>
      <c r="L37" s="8"/>
    </row>
    <row r="38" spans="1:12" s="100" customFormat="1">
      <c r="A38" s="24" t="s">
        <v>88</v>
      </c>
      <c r="B38" s="129">
        <f t="shared" si="0"/>
        <v>34</v>
      </c>
      <c r="C38" s="28" t="s">
        <v>644</v>
      </c>
      <c r="D38" s="24" t="s">
        <v>45</v>
      </c>
      <c r="E38" s="24" t="s">
        <v>88</v>
      </c>
      <c r="F38" s="36">
        <v>0.47199999999999998</v>
      </c>
      <c r="G38" s="36">
        <v>0.96499999999999997</v>
      </c>
      <c r="H38" s="8"/>
      <c r="I38" s="8"/>
      <c r="J38" s="8"/>
      <c r="K38" s="8"/>
      <c r="L38" s="8"/>
    </row>
    <row r="39" spans="1:12" s="135" customFormat="1">
      <c r="A39" s="24" t="s">
        <v>587</v>
      </c>
      <c r="C39" s="28" t="s">
        <v>756</v>
      </c>
      <c r="D39" s="163" t="s">
        <v>45</v>
      </c>
      <c r="E39" s="163" t="s">
        <v>58</v>
      </c>
      <c r="F39" s="36">
        <v>0.20699999999999999</v>
      </c>
      <c r="G39" s="8"/>
      <c r="H39" s="8"/>
      <c r="I39" s="8"/>
      <c r="J39" s="8"/>
      <c r="K39" s="8"/>
      <c r="L39" s="8"/>
    </row>
    <row r="40" spans="1:12" s="135" customFormat="1">
      <c r="A40" s="66" t="s">
        <v>323</v>
      </c>
      <c r="C40" s="64" t="s">
        <v>764</v>
      </c>
      <c r="D40" s="163" t="s">
        <v>45</v>
      </c>
      <c r="E40" s="163" t="s">
        <v>323</v>
      </c>
      <c r="F40" s="78">
        <v>0.27600000000000002</v>
      </c>
    </row>
    <row r="41" spans="1:12" s="100" customFormat="1">
      <c r="A41" s="123"/>
      <c r="C41" s="95"/>
      <c r="D41" s="66"/>
      <c r="E41" s="96"/>
      <c r="F41" s="96"/>
      <c r="G41" s="96"/>
    </row>
    <row r="42" spans="1:12">
      <c r="C42" s="90" t="s">
        <v>487</v>
      </c>
      <c r="D42" s="90"/>
      <c r="F42" s="87">
        <f>+AVERAGE(F5:F38)</f>
        <v>0.62479411764705883</v>
      </c>
      <c r="G42" s="87">
        <f>+AVERAGE(G5:G38)</f>
        <v>0.70738235294117635</v>
      </c>
      <c r="H42" s="87">
        <f>+AVERAGE(H5:H38)</f>
        <v>0.73</v>
      </c>
      <c r="I42" s="87">
        <f>+AVERAGE(I5:I38)</f>
        <v>0.72220967741935482</v>
      </c>
      <c r="J42" s="87">
        <f>+AVERAGE(J5:J38)</f>
        <v>0.76408695652173919</v>
      </c>
      <c r="K42" s="87">
        <f t="shared" ref="K42:L42" si="1">+AVERAGE(K5:K38)</f>
        <v>0.75981818181818173</v>
      </c>
      <c r="L42" s="87">
        <f t="shared" si="1"/>
        <v>0.72799999999999998</v>
      </c>
    </row>
    <row r="46" spans="1:12">
      <c r="C46" s="81" t="s">
        <v>447</v>
      </c>
      <c r="D46" s="129" t="s">
        <v>442</v>
      </c>
      <c r="E46" s="129" t="s">
        <v>443</v>
      </c>
      <c r="F46" s="129" t="s">
        <v>444</v>
      </c>
      <c r="G46" s="129" t="s">
        <v>500</v>
      </c>
      <c r="H46" s="129" t="s">
        <v>645</v>
      </c>
      <c r="I46" s="135" t="s">
        <v>770</v>
      </c>
      <c r="J46" s="135" t="s">
        <v>771</v>
      </c>
    </row>
    <row r="47" spans="1:12">
      <c r="B47">
        <v>1</v>
      </c>
      <c r="C47" s="31" t="s">
        <v>40</v>
      </c>
      <c r="D47" s="33">
        <v>0.48899999999999999</v>
      </c>
      <c r="E47" s="33">
        <v>0.54200000000000004</v>
      </c>
      <c r="F47" s="33">
        <v>0.70099999999999996</v>
      </c>
      <c r="G47" s="33">
        <v>0.628</v>
      </c>
      <c r="H47" s="33">
        <v>0.64300000000000002</v>
      </c>
      <c r="I47" s="33">
        <v>0.66900000000000004</v>
      </c>
      <c r="J47" s="8"/>
    </row>
    <row r="48" spans="1:12">
      <c r="B48">
        <v>2</v>
      </c>
      <c r="C48" s="37" t="s">
        <v>438</v>
      </c>
      <c r="D48" s="33">
        <v>0.57399999999999995</v>
      </c>
      <c r="E48" s="33">
        <v>0.47</v>
      </c>
      <c r="F48" s="33">
        <v>0.49399999999999999</v>
      </c>
      <c r="G48" s="33">
        <v>0.48499999999999999</v>
      </c>
      <c r="H48" s="33"/>
      <c r="I48" s="8"/>
      <c r="J48" s="8"/>
    </row>
    <row r="49" spans="2:10">
      <c r="B49">
        <v>3</v>
      </c>
      <c r="C49" s="42" t="s">
        <v>95</v>
      </c>
      <c r="D49" s="33">
        <v>0.53500000000000003</v>
      </c>
      <c r="E49" s="33">
        <v>0.69499999999999995</v>
      </c>
      <c r="F49" s="33">
        <v>0.54900000000000004</v>
      </c>
      <c r="G49" s="33">
        <v>0.53900000000000003</v>
      </c>
      <c r="H49" s="33">
        <v>0.57199999999999995</v>
      </c>
      <c r="I49" s="8"/>
      <c r="J49" s="8"/>
    </row>
    <row r="50" spans="2:10">
      <c r="B50" s="94">
        <v>4</v>
      </c>
      <c r="C50" s="31" t="s">
        <v>106</v>
      </c>
      <c r="D50" s="33">
        <v>0.27500000000000002</v>
      </c>
      <c r="E50" s="33">
        <v>0.39300000000000002</v>
      </c>
      <c r="F50" s="33">
        <v>0.51</v>
      </c>
      <c r="G50" s="33">
        <v>0.30399999999999999</v>
      </c>
      <c r="H50" s="33">
        <v>0.80600000000000005</v>
      </c>
      <c r="I50" s="36">
        <v>0.83499999999999996</v>
      </c>
      <c r="J50" s="8"/>
    </row>
    <row r="51" spans="2:10">
      <c r="B51" s="94">
        <v>5</v>
      </c>
      <c r="C51" s="31" t="s">
        <v>124</v>
      </c>
      <c r="D51" s="33">
        <v>0.29799999999999999</v>
      </c>
      <c r="E51" s="33">
        <v>0.16800000000000001</v>
      </c>
      <c r="F51" s="33">
        <v>0.83199999999999996</v>
      </c>
      <c r="G51" s="33">
        <v>0.67800000000000005</v>
      </c>
      <c r="H51" s="33">
        <v>0.73199999999999998</v>
      </c>
      <c r="I51" s="36">
        <v>0.64100000000000001</v>
      </c>
      <c r="J51" s="8"/>
    </row>
    <row r="52" spans="2:10">
      <c r="B52" s="94">
        <v>6</v>
      </c>
      <c r="C52" s="48" t="s">
        <v>137</v>
      </c>
      <c r="D52" s="33">
        <v>0.80600000000000005</v>
      </c>
      <c r="E52" s="33">
        <v>0.82899999999999996</v>
      </c>
      <c r="F52" s="33">
        <v>0.86799999999999999</v>
      </c>
      <c r="G52" s="33">
        <v>0.83899999999999997</v>
      </c>
      <c r="H52" s="33">
        <v>0.80500000000000005</v>
      </c>
      <c r="I52" s="36">
        <v>0.80800000000000005</v>
      </c>
      <c r="J52" s="8"/>
    </row>
    <row r="53" spans="2:10">
      <c r="B53" s="94">
        <v>7</v>
      </c>
      <c r="C53" s="42" t="s">
        <v>146</v>
      </c>
      <c r="D53" s="33">
        <v>0.94799999999999995</v>
      </c>
      <c r="E53" s="35">
        <v>0.93</v>
      </c>
      <c r="F53" s="33">
        <v>0.95199999999999996</v>
      </c>
      <c r="G53" s="33">
        <v>0.96899999999999997</v>
      </c>
      <c r="H53" s="33">
        <v>0.874</v>
      </c>
      <c r="I53" s="33">
        <v>0.91200000000000003</v>
      </c>
      <c r="J53" s="8"/>
    </row>
    <row r="54" spans="2:10">
      <c r="B54" s="94">
        <v>8</v>
      </c>
      <c r="C54" s="42" t="s">
        <v>156</v>
      </c>
      <c r="D54" s="33">
        <v>0.94099999999999995</v>
      </c>
      <c r="E54" s="33">
        <v>0.97199999999999998</v>
      </c>
      <c r="F54" s="33">
        <v>0.94499999999999995</v>
      </c>
      <c r="G54" s="33">
        <v>0.83099999999999996</v>
      </c>
      <c r="H54" s="33">
        <v>0.751</v>
      </c>
      <c r="I54" s="35">
        <v>0.87</v>
      </c>
      <c r="J54" s="8"/>
    </row>
    <row r="55" spans="2:10">
      <c r="B55" s="94">
        <v>9</v>
      </c>
      <c r="C55" s="31" t="s">
        <v>165</v>
      </c>
      <c r="D55" s="33">
        <v>0.80600000000000005</v>
      </c>
      <c r="E55" s="33">
        <v>0.77300000000000002</v>
      </c>
      <c r="F55" s="28">
        <v>0</v>
      </c>
      <c r="G55" s="33">
        <v>0.61799999999999999</v>
      </c>
      <c r="H55" s="33">
        <v>0.66400000000000003</v>
      </c>
      <c r="I55" s="13"/>
      <c r="J55" s="8"/>
    </row>
    <row r="56" spans="2:10">
      <c r="B56" s="94">
        <v>10</v>
      </c>
      <c r="C56" s="50" t="s">
        <v>174</v>
      </c>
      <c r="D56" s="33">
        <v>0.246</v>
      </c>
      <c r="E56" s="33">
        <v>0.51400000000000001</v>
      </c>
      <c r="F56" s="33">
        <v>0.90100000000000002</v>
      </c>
      <c r="G56" s="33">
        <v>0.78500000000000003</v>
      </c>
      <c r="H56" s="35">
        <v>0.74</v>
      </c>
      <c r="I56" s="33">
        <v>0.86099999999999999</v>
      </c>
      <c r="J56" s="8"/>
    </row>
    <row r="57" spans="2:10">
      <c r="B57" s="94">
        <v>11</v>
      </c>
      <c r="C57" s="31" t="s">
        <v>192</v>
      </c>
      <c r="D57" s="33">
        <v>0.70599999999999996</v>
      </c>
      <c r="E57" s="35">
        <v>0.68</v>
      </c>
      <c r="F57" s="33">
        <v>0.74399999999999999</v>
      </c>
      <c r="G57" s="33">
        <v>0.63300000000000001</v>
      </c>
      <c r="H57" s="13"/>
      <c r="I57" s="13"/>
      <c r="J57" s="13"/>
    </row>
    <row r="58" spans="2:10">
      <c r="B58" s="94">
        <v>12</v>
      </c>
      <c r="C58" s="31" t="s">
        <v>201</v>
      </c>
      <c r="D58" s="33">
        <v>0.75700000000000001</v>
      </c>
      <c r="E58" s="33">
        <v>0.67100000000000004</v>
      </c>
      <c r="F58" s="33">
        <v>0.71899999999999997</v>
      </c>
      <c r="G58" s="33">
        <v>0.60599999999999998</v>
      </c>
      <c r="H58" s="33">
        <v>0.752</v>
      </c>
      <c r="I58" s="13"/>
      <c r="J58" s="13"/>
    </row>
    <row r="59" spans="2:10">
      <c r="B59" s="94">
        <v>13</v>
      </c>
      <c r="C59" s="42" t="s">
        <v>240</v>
      </c>
      <c r="D59" s="36">
        <v>0.78300000000000003</v>
      </c>
      <c r="E59" s="36">
        <v>0.77600000000000002</v>
      </c>
      <c r="F59" s="36">
        <v>0.83399999999999996</v>
      </c>
      <c r="G59" s="36">
        <v>0.79300000000000004</v>
      </c>
      <c r="H59" s="36">
        <v>0.879</v>
      </c>
      <c r="I59" s="8"/>
      <c r="J59" s="8"/>
    </row>
    <row r="60" spans="2:10">
      <c r="B60" s="94">
        <v>14</v>
      </c>
      <c r="C60" s="42" t="s">
        <v>273</v>
      </c>
      <c r="D60" s="40">
        <v>0.64</v>
      </c>
      <c r="E60" s="36">
        <v>0.78700000000000003</v>
      </c>
      <c r="F60" s="36">
        <v>0.84199999999999997</v>
      </c>
      <c r="G60" s="36">
        <v>0.70199999999999996</v>
      </c>
      <c r="H60" s="36">
        <v>0.80400000000000005</v>
      </c>
      <c r="I60" s="8"/>
      <c r="J60" s="8"/>
    </row>
    <row r="61" spans="2:10">
      <c r="B61" s="94">
        <v>15</v>
      </c>
      <c r="C61" s="42" t="s">
        <v>279</v>
      </c>
      <c r="D61" s="36">
        <v>0.85799999999999998</v>
      </c>
      <c r="E61" s="36">
        <v>0.745</v>
      </c>
      <c r="F61" s="36">
        <v>0.83299999999999996</v>
      </c>
      <c r="G61" s="36">
        <v>0.67400000000000004</v>
      </c>
      <c r="H61" s="36">
        <v>0.66200000000000003</v>
      </c>
      <c r="I61" s="8"/>
      <c r="J61" s="8"/>
    </row>
    <row r="62" spans="2:10">
      <c r="B62" s="94">
        <v>16</v>
      </c>
      <c r="C62" s="42" t="s">
        <v>287</v>
      </c>
      <c r="D62" s="40">
        <v>0.56999999999999995</v>
      </c>
      <c r="E62" s="36">
        <v>0.76700000000000002</v>
      </c>
      <c r="F62" s="36">
        <v>0.73299999999999998</v>
      </c>
      <c r="G62" s="36">
        <v>0.68600000000000005</v>
      </c>
      <c r="H62" s="8"/>
      <c r="I62" s="8"/>
      <c r="J62" s="8"/>
    </row>
    <row r="63" spans="2:10">
      <c r="B63" s="94">
        <v>17</v>
      </c>
      <c r="C63" s="42" t="s">
        <v>302</v>
      </c>
      <c r="D63" s="36">
        <v>0.68600000000000005</v>
      </c>
      <c r="E63" s="36">
        <v>0.86399999999999999</v>
      </c>
      <c r="F63" s="36">
        <v>0.92800000000000005</v>
      </c>
      <c r="G63" s="36">
        <v>0.88600000000000001</v>
      </c>
      <c r="H63" s="36">
        <v>0.84299999999999997</v>
      </c>
      <c r="I63" s="36">
        <v>0.77200000000000002</v>
      </c>
      <c r="J63" s="135"/>
    </row>
    <row r="64" spans="2:10">
      <c r="B64" s="94">
        <v>18</v>
      </c>
      <c r="C64" s="42" t="s">
        <v>310</v>
      </c>
      <c r="D64" s="36">
        <v>0.68700000000000006</v>
      </c>
      <c r="E64" s="36">
        <v>0.78200000000000003</v>
      </c>
      <c r="F64" s="36">
        <v>0.76100000000000001</v>
      </c>
      <c r="G64" s="36">
        <v>0.82399999999999995</v>
      </c>
      <c r="H64" s="36">
        <v>0.76100000000000001</v>
      </c>
      <c r="I64" s="8"/>
      <c r="J64" s="8"/>
    </row>
    <row r="65" spans="1:10">
      <c r="B65" s="94">
        <v>19</v>
      </c>
      <c r="C65" s="42" t="s">
        <v>319</v>
      </c>
      <c r="D65" s="36">
        <v>0.54300000000000004</v>
      </c>
      <c r="E65" s="36">
        <v>0.745</v>
      </c>
      <c r="F65" s="36">
        <v>6.3E-2</v>
      </c>
      <c r="G65" s="36">
        <v>0.46500000000000002</v>
      </c>
      <c r="H65" s="8"/>
      <c r="I65" s="8"/>
      <c r="J65" s="8"/>
    </row>
    <row r="66" spans="1:10">
      <c r="B66" s="94">
        <v>20</v>
      </c>
      <c r="C66" s="42" t="s">
        <v>328</v>
      </c>
      <c r="D66" s="36">
        <v>0.89400000000000002</v>
      </c>
      <c r="E66" s="131">
        <v>0.85799999999999998</v>
      </c>
      <c r="F66" s="40">
        <v>0.83</v>
      </c>
      <c r="G66" s="131">
        <v>0.84250000000000003</v>
      </c>
      <c r="H66" s="8"/>
      <c r="I66" s="8"/>
      <c r="J66" s="8"/>
    </row>
    <row r="67" spans="1:10">
      <c r="B67" s="135">
        <v>21</v>
      </c>
      <c r="C67" s="88" t="s">
        <v>344</v>
      </c>
      <c r="D67" s="36">
        <v>0.47199999999999998</v>
      </c>
      <c r="E67" s="36">
        <v>0.96499999999999997</v>
      </c>
      <c r="F67" s="8"/>
      <c r="G67" s="8"/>
      <c r="H67" s="8"/>
      <c r="I67" s="8"/>
      <c r="J67" s="8"/>
    </row>
    <row r="68" spans="1:10" s="94" customFormat="1">
      <c r="A68" s="123"/>
      <c r="B68" s="135">
        <v>22</v>
      </c>
      <c r="C68" s="64" t="s">
        <v>498</v>
      </c>
      <c r="D68" s="36">
        <v>0.20699999999999999</v>
      </c>
      <c r="E68" s="8"/>
      <c r="F68" s="8"/>
      <c r="G68" s="8"/>
      <c r="H68" s="8"/>
      <c r="I68" s="8"/>
      <c r="J68" s="8"/>
    </row>
    <row r="69" spans="1:10" s="135" customFormat="1">
      <c r="B69" s="135">
        <v>23</v>
      </c>
      <c r="C69" s="28" t="s">
        <v>756</v>
      </c>
      <c r="D69" s="78">
        <v>0.27600000000000002</v>
      </c>
    </row>
    <row r="70" spans="1:10" s="135" customFormat="1">
      <c r="B70" s="135">
        <v>24</v>
      </c>
      <c r="C70" s="64" t="s">
        <v>764</v>
      </c>
      <c r="D70" s="96"/>
      <c r="E70" s="96"/>
      <c r="F70" s="162"/>
      <c r="G70" s="162"/>
    </row>
    <row r="71" spans="1:10" s="100" customFormat="1">
      <c r="A71" s="123"/>
      <c r="C71" s="64"/>
      <c r="D71" s="97"/>
      <c r="E71" s="97"/>
      <c r="F71" s="97"/>
    </row>
    <row r="72" spans="1:10">
      <c r="C72" s="91" t="s">
        <v>488</v>
      </c>
      <c r="D72" s="87">
        <f>+AVERAGE(D47:D68)</f>
        <v>0.62368181818181812</v>
      </c>
      <c r="E72" s="87">
        <f t="shared" ref="E72:F72" si="2">+AVERAGE(E47:E68)</f>
        <v>0.71076190476190471</v>
      </c>
      <c r="F72" s="87">
        <f t="shared" si="2"/>
        <v>0.70194999999999996</v>
      </c>
      <c r="G72" s="87">
        <f>+AVERAGE(G47:G68)</f>
        <v>0.68937499999999985</v>
      </c>
      <c r="H72" s="87">
        <f t="shared" ref="H72:I72" si="3">+AVERAGE(H47:H68)</f>
        <v>0.75253333333333339</v>
      </c>
      <c r="I72" s="87">
        <f t="shared" si="3"/>
        <v>0.79600000000000004</v>
      </c>
      <c r="J72" s="87"/>
    </row>
    <row r="74" spans="1:10" s="81" customFormat="1">
      <c r="A74" s="123"/>
    </row>
    <row r="75" spans="1:10">
      <c r="C75" s="81" t="s">
        <v>448</v>
      </c>
      <c r="D75" s="129" t="s">
        <v>442</v>
      </c>
      <c r="E75" s="129" t="s">
        <v>443</v>
      </c>
      <c r="F75" s="129" t="s">
        <v>444</v>
      </c>
      <c r="G75" s="129" t="s">
        <v>500</v>
      </c>
      <c r="H75" s="129" t="s">
        <v>645</v>
      </c>
      <c r="I75" s="135" t="s">
        <v>770</v>
      </c>
      <c r="J75" s="135" t="s">
        <v>771</v>
      </c>
    </row>
    <row r="76" spans="1:10">
      <c r="B76">
        <v>1</v>
      </c>
      <c r="C76" s="41" t="s">
        <v>68</v>
      </c>
      <c r="D76" s="33">
        <v>0.45100000000000001</v>
      </c>
      <c r="E76" s="33">
        <v>0.498</v>
      </c>
      <c r="F76" s="33">
        <v>0.495</v>
      </c>
      <c r="G76" s="33">
        <v>0.60799999999999998</v>
      </c>
      <c r="H76" s="33">
        <v>0.64200000000000002</v>
      </c>
      <c r="I76" s="36">
        <v>0.33500000000000002</v>
      </c>
      <c r="J76" s="36">
        <v>0.72799999999999998</v>
      </c>
    </row>
    <row r="77" spans="1:10">
      <c r="B77">
        <v>2</v>
      </c>
      <c r="C77" s="42" t="s">
        <v>84</v>
      </c>
      <c r="D77" s="33">
        <v>0.34499999999999997</v>
      </c>
      <c r="E77" s="33">
        <v>0.49299999999999999</v>
      </c>
      <c r="F77" s="33">
        <v>0.70499999999999996</v>
      </c>
      <c r="G77" s="33">
        <v>0.748</v>
      </c>
      <c r="H77" s="33">
        <v>0.68500000000000005</v>
      </c>
      <c r="I77" s="36">
        <v>0.74399999999999999</v>
      </c>
      <c r="J77" s="8"/>
    </row>
    <row r="78" spans="1:10">
      <c r="B78">
        <v>3</v>
      </c>
      <c r="C78" s="45" t="s">
        <v>116</v>
      </c>
      <c r="D78" s="33">
        <v>0.82699999999999996</v>
      </c>
      <c r="E78" s="33">
        <v>0.83899999999999997</v>
      </c>
      <c r="F78" s="33">
        <v>0.92100000000000004</v>
      </c>
      <c r="G78" s="33">
        <v>0.9</v>
      </c>
      <c r="H78" s="33">
        <v>0.94399999999999995</v>
      </c>
      <c r="I78" s="36">
        <v>0.91100000000000003</v>
      </c>
      <c r="J78" s="8"/>
    </row>
    <row r="79" spans="1:10">
      <c r="B79" s="94">
        <v>4</v>
      </c>
      <c r="C79" s="31" t="s">
        <v>183</v>
      </c>
      <c r="D79" s="33">
        <v>0.77300000000000002</v>
      </c>
      <c r="E79" s="33">
        <v>0.88600000000000001</v>
      </c>
      <c r="F79" s="33">
        <v>0.90400000000000003</v>
      </c>
      <c r="G79" s="33">
        <v>0.84299999999999997</v>
      </c>
      <c r="H79" s="33">
        <v>0.85199999999999998</v>
      </c>
      <c r="I79" s="13"/>
      <c r="J79" s="13"/>
    </row>
    <row r="80" spans="1:10">
      <c r="B80" s="94">
        <v>5</v>
      </c>
      <c r="C80" s="41" t="s">
        <v>231</v>
      </c>
      <c r="D80" s="36">
        <v>0.67200000000000004</v>
      </c>
      <c r="E80" s="36">
        <v>0.71599999999999997</v>
      </c>
      <c r="F80" s="36">
        <v>0.747</v>
      </c>
      <c r="G80" s="36">
        <v>0.70899999999999996</v>
      </c>
      <c r="H80" s="36">
        <v>0.79500000000000004</v>
      </c>
      <c r="I80" s="8"/>
      <c r="J80" s="8"/>
    </row>
    <row r="81" spans="1:10">
      <c r="B81" s="94">
        <v>6</v>
      </c>
      <c r="C81" s="42" t="s">
        <v>248</v>
      </c>
      <c r="D81" s="40">
        <v>0.45</v>
      </c>
      <c r="E81" s="36">
        <v>0.621</v>
      </c>
      <c r="F81" s="36">
        <v>0.77700000000000002</v>
      </c>
      <c r="G81" s="36">
        <v>0.55500000000000005</v>
      </c>
      <c r="H81" s="8"/>
      <c r="I81" s="8"/>
      <c r="J81" s="8"/>
    </row>
    <row r="82" spans="1:10">
      <c r="B82" s="94">
        <v>7</v>
      </c>
      <c r="C82" s="42" t="s">
        <v>256</v>
      </c>
      <c r="D82" s="36">
        <v>0.51100000000000001</v>
      </c>
      <c r="E82" s="36">
        <v>0.50800000000000001</v>
      </c>
      <c r="F82" s="36">
        <v>0.59899999999999998</v>
      </c>
      <c r="G82" s="36">
        <v>0.55600000000000005</v>
      </c>
      <c r="H82" s="36">
        <v>0.54400000000000004</v>
      </c>
      <c r="I82" s="8"/>
      <c r="J82" s="8"/>
    </row>
    <row r="83" spans="1:10">
      <c r="B83" s="94">
        <v>8</v>
      </c>
      <c r="C83" s="42" t="s">
        <v>265</v>
      </c>
      <c r="D83" s="36">
        <v>0.63500000000000001</v>
      </c>
      <c r="E83" s="36">
        <v>0.65800000000000003</v>
      </c>
      <c r="F83" s="36">
        <v>0.78500000000000003</v>
      </c>
      <c r="G83" s="36">
        <v>0.91400000000000003</v>
      </c>
      <c r="H83" s="36">
        <v>0.83299999999999996</v>
      </c>
      <c r="I83" s="8"/>
      <c r="J83" s="8"/>
    </row>
    <row r="84" spans="1:10">
      <c r="B84" s="94">
        <v>9</v>
      </c>
      <c r="C84" s="42" t="s">
        <v>295</v>
      </c>
      <c r="D84" s="36">
        <v>0.51300000000000001</v>
      </c>
      <c r="E84" s="36">
        <v>0.94499999999999995</v>
      </c>
      <c r="F84" s="36">
        <v>0.98599999999999999</v>
      </c>
      <c r="G84" s="36">
        <v>0.998</v>
      </c>
      <c r="H84" s="36">
        <v>0.99099999999999999</v>
      </c>
      <c r="I84" s="8"/>
      <c r="J84" s="8"/>
    </row>
    <row r="85" spans="1:10">
      <c r="B85" s="94">
        <v>10</v>
      </c>
      <c r="C85" s="42" t="s">
        <v>336</v>
      </c>
      <c r="D85" s="36">
        <v>0.41399999999999998</v>
      </c>
      <c r="E85" s="36">
        <v>0.66500000000000004</v>
      </c>
      <c r="F85" s="36">
        <v>0.65100000000000002</v>
      </c>
      <c r="G85" s="36">
        <v>0.90200000000000002</v>
      </c>
      <c r="H85" s="8"/>
      <c r="I85" s="8"/>
      <c r="J85" s="8"/>
    </row>
    <row r="86" spans="1:10">
      <c r="B86" s="94">
        <v>11</v>
      </c>
      <c r="C86" s="89" t="s">
        <v>348</v>
      </c>
      <c r="D86" s="36">
        <v>0.51900000000000002</v>
      </c>
      <c r="E86" s="40">
        <v>0.65</v>
      </c>
      <c r="F86" s="36">
        <v>0.85499999999999998</v>
      </c>
      <c r="G86" s="36">
        <v>0.86799999999999999</v>
      </c>
      <c r="H86" s="8"/>
      <c r="I86" s="8"/>
      <c r="J86" s="8"/>
    </row>
    <row r="87" spans="1:10">
      <c r="B87" s="94">
        <v>12</v>
      </c>
      <c r="C87" s="89" t="s">
        <v>353</v>
      </c>
      <c r="D87" s="36">
        <v>0.72299999999999998</v>
      </c>
      <c r="E87" s="40">
        <v>0.79</v>
      </c>
      <c r="F87" s="8"/>
      <c r="G87" s="8"/>
      <c r="H87" s="8"/>
      <c r="I87" s="8"/>
      <c r="J87" s="8"/>
    </row>
    <row r="88" spans="1:10" s="94" customFormat="1">
      <c r="A88" s="123"/>
      <c r="B88" s="94">
        <v>13</v>
      </c>
      <c r="C88" s="64" t="s">
        <v>481</v>
      </c>
      <c r="D88" s="36">
        <v>0.89600000000000002</v>
      </c>
      <c r="E88" s="36">
        <v>0.85599999999999998</v>
      </c>
      <c r="F88" s="36">
        <v>0.89600000000000002</v>
      </c>
      <c r="G88" s="8"/>
      <c r="H88" s="8"/>
      <c r="I88" s="8"/>
      <c r="J88" s="8"/>
    </row>
    <row r="89" spans="1:10" s="94" customFormat="1">
      <c r="A89" s="123"/>
      <c r="C89" s="95"/>
      <c r="D89" s="126"/>
      <c r="E89" s="126"/>
      <c r="F89" s="125"/>
      <c r="G89" s="125"/>
      <c r="H89" s="129"/>
    </row>
    <row r="90" spans="1:10">
      <c r="C90" s="92" t="s">
        <v>489</v>
      </c>
      <c r="D90" s="87">
        <f>+AVERAGE(D76:D87)</f>
        <v>0.56941666666666657</v>
      </c>
      <c r="E90" s="87">
        <f t="shared" ref="E90:J90" si="4">+AVERAGE(E76:E87)</f>
        <v>0.68908333333333349</v>
      </c>
      <c r="F90" s="87">
        <f t="shared" si="4"/>
        <v>0.76590909090909076</v>
      </c>
      <c r="G90" s="87">
        <f t="shared" si="4"/>
        <v>0.78190909090909078</v>
      </c>
      <c r="H90" s="87">
        <f t="shared" si="4"/>
        <v>0.78574999999999995</v>
      </c>
      <c r="I90" s="87">
        <f t="shared" si="4"/>
        <v>0.66333333333333333</v>
      </c>
      <c r="J90" s="87">
        <f t="shared" si="4"/>
        <v>0.72799999999999998</v>
      </c>
    </row>
    <row r="94" spans="1:10">
      <c r="D94" s="160" t="s">
        <v>493</v>
      </c>
      <c r="E94" s="160"/>
      <c r="F94" s="160"/>
    </row>
    <row r="95" spans="1:10">
      <c r="C95" s="94" t="s">
        <v>491</v>
      </c>
      <c r="D95" s="81" t="s">
        <v>442</v>
      </c>
      <c r="E95" s="94" t="s">
        <v>443</v>
      </c>
      <c r="F95" s="94" t="s">
        <v>444</v>
      </c>
      <c r="G95" s="129" t="s">
        <v>500</v>
      </c>
      <c r="H95" s="129" t="s">
        <v>645</v>
      </c>
      <c r="I95" s="135" t="s">
        <v>770</v>
      </c>
      <c r="J95" s="135" t="s">
        <v>771</v>
      </c>
    </row>
    <row r="96" spans="1:10">
      <c r="C96" s="94" t="s">
        <v>426</v>
      </c>
      <c r="D96" s="118">
        <f>+(F9+F14+F19+F26+F31)/5</f>
        <v>0.70320000000000005</v>
      </c>
      <c r="E96" s="118">
        <f t="shared" ref="E96:F96" si="5">+(G9+G14+G19+G26+G31)/5</f>
        <v>0.77480000000000004</v>
      </c>
      <c r="F96" s="118">
        <f t="shared" si="5"/>
        <v>0.76960000000000006</v>
      </c>
      <c r="G96" s="118">
        <f t="shared" ref="G96" si="6">+(I9+I14+I19+I26+I31)/5</f>
        <v>0.73339999999999994</v>
      </c>
      <c r="H96" s="118">
        <f>+(J9+J14+J19+J26+J31)/4</f>
        <v>0.75275000000000003</v>
      </c>
      <c r="I96" s="118">
        <f>+(K9+K14+K19+K26+K31)/1</f>
        <v>0.91200000000000003</v>
      </c>
    </row>
    <row r="97" spans="3:10">
      <c r="C97" s="94" t="s">
        <v>427</v>
      </c>
      <c r="D97" s="118">
        <f>+(F5+F10+F12+F13+F15+F16+F17+F20+F27+F28+F30+F33+F38)/13</f>
        <v>0.62292307692307702</v>
      </c>
      <c r="E97" s="118">
        <f>+(G5+G10+G12+G13+G15+G16+G17+G20+G27+G28+G30+G33+G38)/13</f>
        <v>0.69699999999999995</v>
      </c>
      <c r="F97" s="118">
        <f>+(H5+H10+H12+H13+H15+H16+H17+H20+H27+H28+H30+H33+H38)/11</f>
        <v>0.79999999999999993</v>
      </c>
      <c r="G97" s="118">
        <f>+(I5+I10+I12+I13+I15+I16+I17+I20+I27+I28+I30+I33+I38)/12</f>
        <v>0.698125</v>
      </c>
      <c r="H97" s="118">
        <f>+(J5+J10+J12+J13+J15+J16+J17+J20+J27+J28+J30+J33+J38)/10</f>
        <v>0.73980000000000001</v>
      </c>
      <c r="I97" s="118">
        <f>+(K5+K10+K12+K13+K15+K16+K17+K20+K27+K28+K30+K33+K38)/7</f>
        <v>0.77942857142857147</v>
      </c>
    </row>
    <row r="98" spans="3:10">
      <c r="C98" s="94" t="s">
        <v>428</v>
      </c>
      <c r="D98" s="87">
        <f>+(F6+F22+F32+F39+F40)/5</f>
        <v>0.47660000000000002</v>
      </c>
      <c r="E98" s="87">
        <f>+(G6+G22+G32+G39+G40)/3</f>
        <v>0.66366666666666674</v>
      </c>
      <c r="F98" s="87">
        <f t="shared" ref="F98:G98" si="7">+(H6+H22+H32+H39+H40)/3</f>
        <v>0.46366666666666662</v>
      </c>
      <c r="G98" s="87">
        <f t="shared" si="7"/>
        <v>0.58100000000000007</v>
      </c>
      <c r="H98" s="87">
        <f>+(J6+J22+J32+J39+J40)/1</f>
        <v>0.879</v>
      </c>
      <c r="I98" s="87"/>
    </row>
    <row r="101" spans="3:10">
      <c r="D101" s="160" t="s">
        <v>494</v>
      </c>
      <c r="E101" s="160"/>
      <c r="F101" s="160"/>
    </row>
    <row r="102" spans="3:10">
      <c r="C102" s="94" t="s">
        <v>492</v>
      </c>
      <c r="D102" s="94" t="s">
        <v>442</v>
      </c>
      <c r="E102" s="94" t="s">
        <v>443</v>
      </c>
      <c r="F102" s="94" t="s">
        <v>444</v>
      </c>
      <c r="G102" s="100" t="s">
        <v>500</v>
      </c>
      <c r="H102" s="129" t="s">
        <v>645</v>
      </c>
      <c r="I102" s="135" t="s">
        <v>770</v>
      </c>
      <c r="J102" s="135" t="s">
        <v>771</v>
      </c>
    </row>
    <row r="103" spans="3:10">
      <c r="C103" s="94" t="s">
        <v>426</v>
      </c>
      <c r="D103" s="118">
        <f>+(F24+F25+F37)/3</f>
        <v>0.68066666666666664</v>
      </c>
      <c r="E103" s="118">
        <f t="shared" ref="E103:F103" si="8">+(G24+G25+G37)/3</f>
        <v>0.67399999999999993</v>
      </c>
      <c r="F103" s="118">
        <f t="shared" si="8"/>
        <v>0.7599999999999999</v>
      </c>
      <c r="G103" s="118">
        <f>+(I24+I25+I37)/2</f>
        <v>0.7350000000000001</v>
      </c>
      <c r="H103" s="118">
        <f>+(J24+J25+J37)/2</f>
        <v>0.6885</v>
      </c>
      <c r="I103" s="118"/>
      <c r="J103" s="118"/>
    </row>
    <row r="104" spans="3:10">
      <c r="C104" s="94" t="s">
        <v>427</v>
      </c>
      <c r="D104" s="118">
        <f>+(F7+F8+F11+F18+F23+F29)/6</f>
        <v>0.55983333333333329</v>
      </c>
      <c r="E104" s="118">
        <f t="shared" ref="E104:G104" si="9">+(G7+G8+G11+G18+G23+G29)/6</f>
        <v>0.71366666666666667</v>
      </c>
      <c r="F104" s="118">
        <f t="shared" si="9"/>
        <v>0.79800000000000004</v>
      </c>
      <c r="G104" s="118">
        <f t="shared" si="9"/>
        <v>0.77533333333333332</v>
      </c>
      <c r="H104" s="118">
        <f>+(J7+J8+J11+J18+J23+J29)/5</f>
        <v>0.82279999999999998</v>
      </c>
      <c r="I104" s="118">
        <f>+(K7+K8+K11+K18+K23+K29)/3</f>
        <v>0.66333333333333333</v>
      </c>
      <c r="J104" s="118">
        <f>+(L7+L8+L11+L18+L23+L29)/1</f>
        <v>0.72799999999999998</v>
      </c>
    </row>
    <row r="105" spans="3:10">
      <c r="C105" s="94" t="s">
        <v>428</v>
      </c>
      <c r="D105" s="118">
        <f>+(F21+F34+F35+F36)/4</f>
        <v>0.58199999999999996</v>
      </c>
      <c r="E105" s="118">
        <f>+(G21+G34+G35+G36)/4</f>
        <v>0.70525000000000004</v>
      </c>
      <c r="F105" s="118">
        <f t="shared" ref="F105:G105" si="10">+(H21+H34+H35+H36)/3</f>
        <v>0.751</v>
      </c>
      <c r="G105" s="118">
        <f t="shared" si="10"/>
        <v>0.82633333333333336</v>
      </c>
      <c r="H105" s="118">
        <f>+(J21+J34+J35+J36)/1</f>
        <v>0.79500000000000004</v>
      </c>
      <c r="I105" s="118"/>
      <c r="J105" s="118"/>
    </row>
    <row r="127" spans="3:10">
      <c r="C127" s="123" t="s">
        <v>613</v>
      </c>
      <c r="D127" s="124" t="s">
        <v>442</v>
      </c>
      <c r="E127" s="124" t="s">
        <v>443</v>
      </c>
      <c r="F127" s="124" t="s">
        <v>444</v>
      </c>
      <c r="G127" s="124" t="s">
        <v>500</v>
      </c>
      <c r="H127" s="129" t="s">
        <v>645</v>
      </c>
      <c r="I127" s="135" t="s">
        <v>770</v>
      </c>
      <c r="J127" s="135" t="s">
        <v>771</v>
      </c>
    </row>
    <row r="128" spans="3:10">
      <c r="C128" s="123" t="s">
        <v>614</v>
      </c>
      <c r="D128" s="118">
        <f>+(F5+F8+F9+F13+F14+F20+F23+F24+F26+F31+F36+F19+F37+F39)/13</f>
        <v>0.6692307692307693</v>
      </c>
      <c r="E128" s="118">
        <f>+(G5+G8+G9+G13+G14+G20+G23+G24+G26+G31+G36+G19+G37+G39)/12</f>
        <v>0.76533333333333342</v>
      </c>
      <c r="F128" s="118">
        <f>+(H5+H8+H9+H13+H14+H20+H23+H24+H26+H31+H36+H19+H37+H39)/12</f>
        <v>0.75941666666666674</v>
      </c>
      <c r="G128" s="118">
        <f>+(I5+I8+I9+I13+I14+I20+I23+I24+I26+I31+I36+I19+I37+I39)/11</f>
        <v>0.69081818181818178</v>
      </c>
      <c r="H128" s="118">
        <f>+(J5+J8+J9+J13+J14+J20+J23+J24+J26+J31+J36+J19+J37+J39)/9</f>
        <v>0.71555555555555561</v>
      </c>
      <c r="I128" s="118">
        <f>+(K5+K8+K9+K13+K14+K20+K23+K24+K26+K31+K36+K19+K37+K39)/4</f>
        <v>0.78325</v>
      </c>
      <c r="J128" s="118"/>
    </row>
    <row r="129" spans="3:10">
      <c r="C129" s="123" t="s">
        <v>615</v>
      </c>
      <c r="D129" s="118">
        <f>+(F7+F10+F11+F12+F15+F16+F17+F18+F21+F27+F28+F29+F30+F33+F36+F38)/16</f>
        <v>0.62531249999999994</v>
      </c>
      <c r="E129" s="118">
        <f t="shared" ref="E129:J129" si="11">+(G7+G10+G11+G12+G15+G16+G17+G18+G21+G27+G28+G29+G30+G33+G36+G38)/16</f>
        <v>0.73081250000000009</v>
      </c>
      <c r="F129" s="118">
        <f>+(H7+H10+H11+H12+H15+H16+H17+H18+H21+H27+H28+H29+H30+H33+H36+H38)/14</f>
        <v>0.75464285714285728</v>
      </c>
      <c r="G129" s="118">
        <f>+(I7+I10+I11+I12+I15+I16+I17+I18+I21+I27+I28+I29+I30+I33+I36+I38)/14</f>
        <v>0.74017857142857124</v>
      </c>
      <c r="H129" s="118">
        <f>+(J7+J10+J11+J12+J15+J16+J17+J18+J21+J27+J28+J29+J30+J33+J36+J38)/12</f>
        <v>0.78516666666666668</v>
      </c>
      <c r="I129" s="118">
        <f>+(K7+K10+K11+K12+K15+K16+K17+K18+K21+K27+K28+K29+K30+K33+K36+K38)/7</f>
        <v>0.74642857142857155</v>
      </c>
      <c r="J129" s="118">
        <f>+(L7+L10+L11+L12+L15+L16+L17+L18+L21+L27+L28+L29+L30+L33+L36+L38)/1</f>
        <v>0.72799999999999998</v>
      </c>
    </row>
    <row r="130" spans="3:10">
      <c r="C130" s="124" t="s">
        <v>616</v>
      </c>
      <c r="D130" s="118">
        <f>+(F32+F35+F40)/3</f>
        <v>0.44600000000000001</v>
      </c>
      <c r="E130" s="118">
        <f>+(G32+G35+G40)/2</f>
        <v>0.69750000000000001</v>
      </c>
      <c r="F130" s="118">
        <f t="shared" ref="F130:G130" si="12">+(H32+H35+H40)/2</f>
        <v>0.45899999999999996</v>
      </c>
      <c r="G130" s="118">
        <f t="shared" si="12"/>
        <v>0.66649999999999998</v>
      </c>
      <c r="H130" s="118"/>
    </row>
    <row r="133" spans="3:10">
      <c r="C133" s="124" t="s">
        <v>617</v>
      </c>
      <c r="D133" s="124" t="s">
        <v>442</v>
      </c>
      <c r="E133" s="124" t="s">
        <v>443</v>
      </c>
      <c r="F133" s="124" t="s">
        <v>444</v>
      </c>
      <c r="G133" s="124" t="s">
        <v>500</v>
      </c>
      <c r="H133" s="129" t="s">
        <v>645</v>
      </c>
      <c r="I133" s="135" t="s">
        <v>770</v>
      </c>
      <c r="J133" s="135" t="s">
        <v>771</v>
      </c>
    </row>
    <row r="134" spans="3:10">
      <c r="C134" s="124" t="s">
        <v>614</v>
      </c>
      <c r="D134" s="118">
        <f>+(F5+F9+F13+F14+F20+F26+F31+F39+F19)/9</f>
        <v>0.64166666666666672</v>
      </c>
      <c r="E134" s="118">
        <f>+(G5+G9+G13+G14+G20+G26+G31+G39+G19)/8</f>
        <v>0.73949999999999994</v>
      </c>
      <c r="F134" s="118">
        <f t="shared" ref="F134:H134" si="13">+(H5+H9+H13+H14+H20+H26+H31+H39+H19)/8</f>
        <v>0.7669999999999999</v>
      </c>
      <c r="G134" s="118">
        <f t="shared" si="13"/>
        <v>0.71749999999999992</v>
      </c>
      <c r="H134" s="118">
        <f>+(J5+J9+J13+J14+J20+J26+J31+J39+J19)/7</f>
        <v>0.74442857142857144</v>
      </c>
      <c r="I134" s="118">
        <f>+(K5+K9+K13+K14+K20+K26+K31+K39+K19)/3</f>
        <v>0.79633333333333345</v>
      </c>
    </row>
    <row r="135" spans="3:10">
      <c r="C135" s="124" t="s">
        <v>615</v>
      </c>
      <c r="D135" s="118">
        <f>+(F10+F12+F15+F16+F17+F27+F28+F30+F33+F38)/10</f>
        <v>0.60459999999999992</v>
      </c>
      <c r="E135" s="118">
        <f t="shared" ref="E135:I135" si="14">+(G10+G12+G15+G16+G17+G27+G28+G30+G33+G38)/10</f>
        <v>0.70189999999999997</v>
      </c>
      <c r="F135" s="118">
        <f>+(H10+H12+H15+H16+H17+H27+H28+H30+H33+H38)/8</f>
        <v>0.81399999999999995</v>
      </c>
      <c r="G135" s="118">
        <f>+(I10+I12+I15+I16+I17+I27+I28+I30+I33+I38)/9</f>
        <v>0.70050000000000012</v>
      </c>
      <c r="H135" s="118">
        <f>+(J10+J12+J15+J16+J17+J27+J28+J30+J33+J38)/7</f>
        <v>0.74257142857142866</v>
      </c>
      <c r="I135" s="118">
        <f>+(K10+K12+K15+K16+K17+K27+K28+K30+K33+K38)/5</f>
        <v>0.79580000000000006</v>
      </c>
    </row>
    <row r="136" spans="3:10">
      <c r="C136" s="124" t="s">
        <v>616</v>
      </c>
      <c r="D136" s="87">
        <f>+(F32+F40)/2</f>
        <v>0.40950000000000003</v>
      </c>
      <c r="E136" s="87">
        <f>+(G32+G40)/1</f>
        <v>0.745</v>
      </c>
      <c r="F136" s="87">
        <f t="shared" ref="F136:G136" si="15">+(H32+H40)/1</f>
        <v>6.3E-2</v>
      </c>
      <c r="G136" s="87">
        <f t="shared" si="15"/>
        <v>0.46500000000000002</v>
      </c>
      <c r="H136" s="87"/>
    </row>
    <row r="138" spans="3:10">
      <c r="C138" s="124" t="s">
        <v>618</v>
      </c>
      <c r="D138" s="124" t="s">
        <v>442</v>
      </c>
      <c r="E138" s="124" t="s">
        <v>443</v>
      </c>
      <c r="F138" s="124" t="s">
        <v>444</v>
      </c>
      <c r="G138" s="124" t="s">
        <v>500</v>
      </c>
      <c r="H138" s="129" t="s">
        <v>645</v>
      </c>
      <c r="I138" s="135" t="s">
        <v>770</v>
      </c>
      <c r="J138" s="135" t="s">
        <v>771</v>
      </c>
    </row>
    <row r="139" spans="3:10">
      <c r="C139" s="124" t="s">
        <v>614</v>
      </c>
      <c r="D139" s="118">
        <f>+(F8+F23+F24+F37)/4</f>
        <v>0.55049999999999999</v>
      </c>
      <c r="E139" s="118">
        <f t="shared" ref="E139:J139" si="16">+(G8+G23+G24+G37)/4</f>
        <v>0.61949999999999994</v>
      </c>
      <c r="F139" s="118">
        <f t="shared" si="16"/>
        <v>0.74424999999999997</v>
      </c>
      <c r="G139" s="118">
        <f>+(I8+I23+I24+I37)/3</f>
        <v>0.6196666666666667</v>
      </c>
      <c r="H139" s="118">
        <f>+(J8+J23+J24+J37)/2</f>
        <v>0.61450000000000005</v>
      </c>
      <c r="I139" s="118">
        <f>+(K8+K23+K24+K37)/1</f>
        <v>0.74399999999999999</v>
      </c>
      <c r="J139" s="118"/>
    </row>
    <row r="140" spans="3:10">
      <c r="C140" s="124" t="s">
        <v>615</v>
      </c>
      <c r="D140" s="118">
        <f>+(F7+F11+F18+F21+F29)/5</f>
        <v>0.6472</v>
      </c>
      <c r="E140" s="118">
        <f t="shared" ref="E140:H140" si="17">+(G7+G11+G18+G21+G29)/5</f>
        <v>0.77679999999999993</v>
      </c>
      <c r="F140" s="118">
        <f t="shared" si="17"/>
        <v>0.81059999999999999</v>
      </c>
      <c r="G140" s="118">
        <f t="shared" si="17"/>
        <v>0.81159999999999999</v>
      </c>
      <c r="H140" s="118">
        <f t="shared" si="17"/>
        <v>0.84479999999999988</v>
      </c>
      <c r="I140" s="118">
        <f>+(K7+K11+K18+K21+K29)/2</f>
        <v>0.623</v>
      </c>
      <c r="J140" s="118">
        <f>+(L7+L11+L18+L21+L29)/1</f>
        <v>0.72799999999999998</v>
      </c>
    </row>
    <row r="141" spans="3:10">
      <c r="C141" s="124" t="s">
        <v>616</v>
      </c>
      <c r="D141" s="87">
        <f>+F35</f>
        <v>0.51900000000000002</v>
      </c>
      <c r="E141" s="87">
        <f t="shared" ref="E141:G141" si="18">+G35</f>
        <v>0.65</v>
      </c>
      <c r="F141" s="87">
        <f t="shared" si="18"/>
        <v>0.85499999999999998</v>
      </c>
      <c r="G141" s="87">
        <f t="shared" si="18"/>
        <v>0.86799999999999999</v>
      </c>
      <c r="H141" s="87"/>
    </row>
  </sheetData>
  <autoFilter ref="A4:I40"/>
  <mergeCells count="3">
    <mergeCell ref="E3:G3"/>
    <mergeCell ref="D94:F94"/>
    <mergeCell ref="D101:F10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7"/>
  <sheetViews>
    <sheetView workbookViewId="0">
      <selection activeCell="O50" sqref="O50"/>
    </sheetView>
  </sheetViews>
  <sheetFormatPr baseColWidth="10" defaultRowHeight="15"/>
  <cols>
    <col min="2" max="2" width="55" bestFit="1" customWidth="1"/>
    <col min="8" max="8" width="11.42578125" style="100"/>
    <col min="9" max="9" width="11.42578125" style="129"/>
    <col min="10" max="11" width="11.42578125" style="135"/>
  </cols>
  <sheetData>
    <row r="2" spans="1:18">
      <c r="E2" s="94" t="s">
        <v>450</v>
      </c>
      <c r="F2" s="94"/>
      <c r="G2" s="94"/>
      <c r="L2" s="94" t="s">
        <v>449</v>
      </c>
      <c r="M2" s="94"/>
      <c r="N2" s="94"/>
    </row>
    <row r="3" spans="1:18">
      <c r="A3" s="81" t="s">
        <v>439</v>
      </c>
      <c r="B3" s="81" t="s">
        <v>440</v>
      </c>
      <c r="C3" s="81" t="s">
        <v>446</v>
      </c>
      <c r="D3" s="94" t="s">
        <v>490</v>
      </c>
      <c r="E3" s="93" t="s">
        <v>452</v>
      </c>
      <c r="F3" s="93" t="s">
        <v>453</v>
      </c>
      <c r="G3" s="93" t="s">
        <v>454</v>
      </c>
      <c r="H3" s="93" t="s">
        <v>569</v>
      </c>
      <c r="I3" s="93" t="s">
        <v>646</v>
      </c>
      <c r="J3" s="93" t="s">
        <v>772</v>
      </c>
      <c r="K3" s="93" t="s">
        <v>773</v>
      </c>
      <c r="L3" s="93" t="s">
        <v>451</v>
      </c>
      <c r="M3" s="93" t="s">
        <v>455</v>
      </c>
      <c r="N3" s="93" t="s">
        <v>456</v>
      </c>
      <c r="O3" s="93" t="s">
        <v>570</v>
      </c>
      <c r="P3" s="93" t="s">
        <v>647</v>
      </c>
      <c r="Q3" s="93" t="s">
        <v>774</v>
      </c>
      <c r="R3" s="93" t="s">
        <v>775</v>
      </c>
    </row>
    <row r="4" spans="1:18">
      <c r="A4" s="81">
        <v>1</v>
      </c>
      <c r="B4" s="31" t="s">
        <v>655</v>
      </c>
      <c r="C4" s="13" t="s">
        <v>45</v>
      </c>
      <c r="D4" s="13" t="s">
        <v>44</v>
      </c>
      <c r="E4" s="33">
        <v>0.128</v>
      </c>
      <c r="F4" s="33">
        <v>0.108</v>
      </c>
      <c r="G4" s="33">
        <v>3.5000000000000003E-2</v>
      </c>
      <c r="H4" s="33">
        <v>5.3999999999999999E-2</v>
      </c>
      <c r="I4" s="33">
        <v>5.2999999999999999E-2</v>
      </c>
      <c r="J4" s="36">
        <v>7.8E-2</v>
      </c>
      <c r="K4" s="36"/>
      <c r="L4" s="35">
        <v>0.35</v>
      </c>
      <c r="M4" s="35">
        <v>0.33100000000000002</v>
      </c>
      <c r="N4" s="33">
        <v>0.24399999999999999</v>
      </c>
      <c r="O4" s="35">
        <v>0.27400000000000002</v>
      </c>
      <c r="P4" s="35">
        <v>0.27300000000000002</v>
      </c>
      <c r="Q4" s="36">
        <v>0.221</v>
      </c>
      <c r="R4" s="36"/>
    </row>
    <row r="5" spans="1:18" ht="30">
      <c r="A5" s="81">
        <f>+A4+1</f>
        <v>2</v>
      </c>
      <c r="B5" s="37" t="s">
        <v>662</v>
      </c>
      <c r="C5" s="13" t="s">
        <v>45</v>
      </c>
      <c r="D5" s="13" t="s">
        <v>58</v>
      </c>
      <c r="E5" s="33">
        <v>5.3999999999999999E-2</v>
      </c>
      <c r="F5" s="33">
        <v>0.16500000000000001</v>
      </c>
      <c r="G5" s="33">
        <v>4.1000000000000002E-2</v>
      </c>
      <c r="H5" s="33">
        <v>0.155</v>
      </c>
      <c r="I5" s="33"/>
      <c r="J5" s="8"/>
      <c r="K5" s="8"/>
      <c r="L5" s="33">
        <v>0.20300000000000001</v>
      </c>
      <c r="M5" s="33">
        <v>0.184</v>
      </c>
      <c r="N5" s="33">
        <v>0.20799999999999999</v>
      </c>
      <c r="O5" s="33">
        <v>0.23400000000000001</v>
      </c>
      <c r="P5" s="33"/>
      <c r="Q5" s="8"/>
      <c r="R5" s="8"/>
    </row>
    <row r="6" spans="1:18">
      <c r="A6" s="81">
        <f t="shared" ref="A6:A37" si="0">+A5+1</f>
        <v>3</v>
      </c>
      <c r="B6" s="41" t="s">
        <v>665</v>
      </c>
      <c r="C6" s="13" t="s">
        <v>73</v>
      </c>
      <c r="D6" s="13" t="s">
        <v>72</v>
      </c>
      <c r="E6" s="130">
        <v>0.23899999999999999</v>
      </c>
      <c r="F6" s="33">
        <v>0.20699999999999999</v>
      </c>
      <c r="G6" s="33">
        <v>0.218</v>
      </c>
      <c r="H6" s="33">
        <v>0.13900000000000001</v>
      </c>
      <c r="I6" s="33">
        <v>0.10100000000000001</v>
      </c>
      <c r="J6" s="40">
        <v>0.35</v>
      </c>
      <c r="K6" s="131">
        <v>9.2999999999999999E-2</v>
      </c>
      <c r="L6" s="33">
        <v>0.309</v>
      </c>
      <c r="M6" s="35">
        <v>0.28999999999999998</v>
      </c>
      <c r="N6" s="33">
        <v>0.28399999999999997</v>
      </c>
      <c r="O6" s="33">
        <v>0.216</v>
      </c>
      <c r="P6" s="33">
        <v>0.248</v>
      </c>
      <c r="Q6" s="40">
        <v>0.31</v>
      </c>
      <c r="R6" s="131">
        <v>0.159</v>
      </c>
    </row>
    <row r="7" spans="1:18">
      <c r="A7" s="81">
        <f t="shared" si="0"/>
        <v>4</v>
      </c>
      <c r="B7" s="42" t="s">
        <v>666</v>
      </c>
      <c r="C7" s="13" t="s">
        <v>73</v>
      </c>
      <c r="D7" s="13" t="s">
        <v>88</v>
      </c>
      <c r="E7" s="33">
        <v>0.499</v>
      </c>
      <c r="F7" s="33">
        <v>0.22600000000000001</v>
      </c>
      <c r="G7" s="33">
        <v>5.3999999999999999E-2</v>
      </c>
      <c r="H7" s="33">
        <v>6.6000000000000003E-2</v>
      </c>
      <c r="I7" s="33">
        <v>3.3000000000000002E-2</v>
      </c>
      <c r="J7" s="40">
        <v>0.03</v>
      </c>
      <c r="K7" s="40"/>
      <c r="L7" s="33">
        <v>0.152</v>
      </c>
      <c r="M7" s="33">
        <v>0.17599999999999999</v>
      </c>
      <c r="N7" s="33">
        <v>0.14399999999999999</v>
      </c>
      <c r="O7" s="33">
        <v>9.8000000000000004E-2</v>
      </c>
      <c r="P7" s="33">
        <v>8.1000000000000003E-2</v>
      </c>
      <c r="Q7" s="36">
        <v>6.9000000000000006E-2</v>
      </c>
      <c r="R7" s="36"/>
    </row>
    <row r="8" spans="1:18">
      <c r="A8" s="81">
        <f t="shared" si="0"/>
        <v>5</v>
      </c>
      <c r="B8" s="42" t="s">
        <v>670</v>
      </c>
      <c r="C8" s="13" t="s">
        <v>45</v>
      </c>
      <c r="D8" s="13" t="s">
        <v>99</v>
      </c>
      <c r="E8" s="33">
        <v>0.14099999999999999</v>
      </c>
      <c r="F8" s="33">
        <v>9.9000000000000005E-2</v>
      </c>
      <c r="G8" s="33">
        <v>0.16300000000000001</v>
      </c>
      <c r="H8" s="33">
        <v>0.214</v>
      </c>
      <c r="I8" s="35">
        <v>0.12</v>
      </c>
      <c r="J8" s="8"/>
      <c r="K8" s="8"/>
      <c r="L8" s="33">
        <v>0.222</v>
      </c>
      <c r="M8" s="33">
        <v>0.14399999999999999</v>
      </c>
      <c r="N8" s="33">
        <v>0.223</v>
      </c>
      <c r="O8" s="33">
        <v>0.182</v>
      </c>
      <c r="P8" s="35">
        <v>0.28999999999999998</v>
      </c>
      <c r="Q8" s="8"/>
      <c r="R8" s="8"/>
    </row>
    <row r="9" spans="1:18">
      <c r="A9" s="81">
        <f t="shared" si="0"/>
        <v>6</v>
      </c>
      <c r="B9" s="31" t="s">
        <v>674</v>
      </c>
      <c r="C9" s="13" t="s">
        <v>45</v>
      </c>
      <c r="D9" s="13" t="s">
        <v>72</v>
      </c>
      <c r="E9" s="33">
        <v>0.55900000000000005</v>
      </c>
      <c r="F9" s="33">
        <v>0.29399999999999998</v>
      </c>
      <c r="G9" s="33">
        <v>0.156</v>
      </c>
      <c r="H9" s="33">
        <v>0.47699999999999998</v>
      </c>
      <c r="I9" s="33">
        <v>8.9999999999999993E-3</v>
      </c>
      <c r="J9" s="36">
        <v>3.0000000000000001E-3</v>
      </c>
      <c r="K9" s="36"/>
      <c r="L9" s="33">
        <v>0.16600000000000001</v>
      </c>
      <c r="M9" s="33">
        <v>0.312</v>
      </c>
      <c r="N9" s="33">
        <v>0.33200000000000002</v>
      </c>
      <c r="O9" s="33">
        <v>0.21099999999999999</v>
      </c>
      <c r="P9" s="33">
        <v>0.15</v>
      </c>
      <c r="Q9" s="36">
        <v>0.13800000000000001</v>
      </c>
      <c r="R9" s="36"/>
    </row>
    <row r="10" spans="1:18">
      <c r="A10" s="81">
        <f t="shared" si="0"/>
        <v>7</v>
      </c>
      <c r="B10" s="45" t="s">
        <v>677</v>
      </c>
      <c r="C10" s="13" t="s">
        <v>73</v>
      </c>
      <c r="D10" s="13" t="s">
        <v>88</v>
      </c>
      <c r="E10" s="33">
        <v>2.8000000000000001E-2</v>
      </c>
      <c r="F10" s="33">
        <v>2.3E-2</v>
      </c>
      <c r="G10" s="33">
        <v>0</v>
      </c>
      <c r="H10" s="33">
        <v>2.5000000000000001E-2</v>
      </c>
      <c r="I10" s="33">
        <v>0</v>
      </c>
      <c r="J10" s="36">
        <v>0</v>
      </c>
      <c r="K10" s="36"/>
      <c r="L10" s="33">
        <v>0.124</v>
      </c>
      <c r="M10" s="33">
        <v>0.13600000000000001</v>
      </c>
      <c r="N10" s="33">
        <v>7.0999999999999994E-2</v>
      </c>
      <c r="O10" s="33">
        <v>6.2E-2</v>
      </c>
      <c r="P10" s="33">
        <v>3.5000000000000003E-2</v>
      </c>
      <c r="Q10" s="36">
        <v>4.2000000000000003E-2</v>
      </c>
      <c r="R10" s="36"/>
    </row>
    <row r="11" spans="1:18">
      <c r="A11" s="81">
        <f t="shared" si="0"/>
        <v>8</v>
      </c>
      <c r="B11" s="31" t="s">
        <v>680</v>
      </c>
      <c r="C11" s="13" t="s">
        <v>45</v>
      </c>
      <c r="D11" s="13" t="s">
        <v>128</v>
      </c>
      <c r="E11" s="33">
        <v>0.442</v>
      </c>
      <c r="F11" s="33">
        <v>0.72399999999999998</v>
      </c>
      <c r="G11" s="33">
        <v>3.1E-2</v>
      </c>
      <c r="H11" s="33">
        <v>3.9E-2</v>
      </c>
      <c r="I11" s="33">
        <v>1.4E-2</v>
      </c>
      <c r="J11" s="36">
        <v>9.2999999999999999E-2</v>
      </c>
      <c r="K11" s="36"/>
      <c r="L11" s="33">
        <v>0.25600000000000001</v>
      </c>
      <c r="M11" s="33">
        <v>0.107</v>
      </c>
      <c r="N11" s="33">
        <v>0.129</v>
      </c>
      <c r="O11" s="33">
        <v>0.14299999999999999</v>
      </c>
      <c r="P11" s="33">
        <v>0.186</v>
      </c>
      <c r="Q11" s="36">
        <v>3.5999999999999997E-2</v>
      </c>
      <c r="R11" s="36"/>
    </row>
    <row r="12" spans="1:18">
      <c r="A12" s="81">
        <f t="shared" si="0"/>
        <v>9</v>
      </c>
      <c r="B12" s="48" t="s">
        <v>682</v>
      </c>
      <c r="C12" s="13" t="s">
        <v>45</v>
      </c>
      <c r="D12" s="13" t="s">
        <v>72</v>
      </c>
      <c r="E12" s="33">
        <v>3.2000000000000001E-2</v>
      </c>
      <c r="F12" s="33">
        <v>2E-3</v>
      </c>
      <c r="G12" s="33">
        <v>2E-3</v>
      </c>
      <c r="H12" s="33">
        <v>6.0000000000000001E-3</v>
      </c>
      <c r="I12" s="33">
        <v>2.7E-2</v>
      </c>
      <c r="J12" s="36">
        <v>2.7E-2</v>
      </c>
      <c r="K12" s="36"/>
      <c r="L12" s="33">
        <v>0.113</v>
      </c>
      <c r="M12" s="33">
        <v>7.6999999999999999E-2</v>
      </c>
      <c r="N12" s="33">
        <v>9.7000000000000003E-2</v>
      </c>
      <c r="O12" s="33">
        <v>0.13300000000000001</v>
      </c>
      <c r="P12" s="33">
        <v>0.14399999999999999</v>
      </c>
      <c r="Q12" s="36">
        <v>0.14799999999999999</v>
      </c>
      <c r="R12" s="36"/>
    </row>
    <row r="13" spans="1:18">
      <c r="A13" s="81">
        <f t="shared" si="0"/>
        <v>10</v>
      </c>
      <c r="B13" s="42" t="s">
        <v>684</v>
      </c>
      <c r="C13" s="13" t="s">
        <v>45</v>
      </c>
      <c r="D13" s="13" t="s">
        <v>150</v>
      </c>
      <c r="E13" s="33">
        <v>2E-3</v>
      </c>
      <c r="F13" s="35">
        <v>0.01</v>
      </c>
      <c r="G13" s="35">
        <v>0</v>
      </c>
      <c r="H13" s="33">
        <v>0</v>
      </c>
      <c r="I13" s="33">
        <v>5.0000000000000001E-3</v>
      </c>
      <c r="J13" s="33">
        <v>0</v>
      </c>
      <c r="K13" s="33"/>
      <c r="L13" s="33">
        <v>2.5000000000000001E-2</v>
      </c>
      <c r="M13" s="33">
        <v>5.0999999999999997E-2</v>
      </c>
      <c r="N13" s="33">
        <v>3.1E-2</v>
      </c>
      <c r="O13" s="33">
        <v>2.8000000000000001E-2</v>
      </c>
      <c r="P13" s="33">
        <v>0.11600000000000001</v>
      </c>
      <c r="Q13" s="33">
        <v>8.6999999999999994E-2</v>
      </c>
      <c r="R13" s="33"/>
    </row>
    <row r="14" spans="1:18">
      <c r="A14" s="81">
        <f t="shared" si="0"/>
        <v>11</v>
      </c>
      <c r="B14" s="42" t="s">
        <v>687</v>
      </c>
      <c r="C14" s="13" t="s">
        <v>45</v>
      </c>
      <c r="D14" s="13" t="s">
        <v>128</v>
      </c>
      <c r="E14" s="35">
        <v>0</v>
      </c>
      <c r="F14" s="35">
        <v>0</v>
      </c>
      <c r="G14" s="35">
        <v>0</v>
      </c>
      <c r="H14" s="33">
        <v>2.1999999999999999E-2</v>
      </c>
      <c r="I14" s="33">
        <v>3.7999999999999999E-2</v>
      </c>
      <c r="J14" s="33">
        <v>5.0000000000000001E-3</v>
      </c>
      <c r="K14" s="33"/>
      <c r="L14" s="33">
        <v>1.2E-2</v>
      </c>
      <c r="M14" s="33">
        <v>1.7999999999999999E-2</v>
      </c>
      <c r="N14" s="33">
        <v>3.1E-2</v>
      </c>
      <c r="O14" s="33">
        <v>0.13100000000000001</v>
      </c>
      <c r="P14" s="33">
        <v>0.19900000000000001</v>
      </c>
      <c r="Q14" s="33">
        <v>0.115</v>
      </c>
      <c r="R14" s="33"/>
    </row>
    <row r="15" spans="1:18">
      <c r="A15" s="81">
        <f t="shared" si="0"/>
        <v>12</v>
      </c>
      <c r="B15" s="31" t="s">
        <v>690</v>
      </c>
      <c r="C15" s="13" t="s">
        <v>45</v>
      </c>
      <c r="D15" s="13" t="s">
        <v>128</v>
      </c>
      <c r="E15" s="35">
        <v>0.01</v>
      </c>
      <c r="F15" s="33">
        <v>2.7E-2</v>
      </c>
      <c r="G15" s="28">
        <v>0</v>
      </c>
      <c r="H15" s="33">
        <v>4.5999999999999999E-2</v>
      </c>
      <c r="I15" s="33">
        <v>4.3999999999999997E-2</v>
      </c>
      <c r="J15" s="13"/>
      <c r="K15" s="13"/>
      <c r="L15" s="33">
        <v>8.2000000000000003E-2</v>
      </c>
      <c r="M15" s="35">
        <v>0.13</v>
      </c>
      <c r="N15" s="28">
        <v>0</v>
      </c>
      <c r="O15" s="33">
        <v>0.24099999999999999</v>
      </c>
      <c r="P15" s="35">
        <v>0.22</v>
      </c>
      <c r="Q15" s="13"/>
      <c r="R15" s="13"/>
    </row>
    <row r="16" spans="1:18">
      <c r="A16" s="81">
        <f t="shared" si="0"/>
        <v>13</v>
      </c>
      <c r="B16" s="50" t="s">
        <v>692</v>
      </c>
      <c r="C16" s="13" t="s">
        <v>45</v>
      </c>
      <c r="D16" s="13" t="s">
        <v>88</v>
      </c>
      <c r="E16" s="33">
        <v>0.38900000000000001</v>
      </c>
      <c r="F16" s="33">
        <v>0.10199999999999999</v>
      </c>
      <c r="G16" s="33">
        <v>1E-3</v>
      </c>
      <c r="H16" s="33">
        <v>4.0000000000000001E-3</v>
      </c>
      <c r="I16" s="33">
        <v>3.9E-2</v>
      </c>
      <c r="J16" s="33">
        <v>2E-3</v>
      </c>
      <c r="K16" s="33"/>
      <c r="L16" s="33">
        <v>0.36499999999999999</v>
      </c>
      <c r="M16" s="33">
        <v>0.376</v>
      </c>
      <c r="N16" s="33">
        <v>9.8000000000000004E-2</v>
      </c>
      <c r="O16" s="33">
        <v>6.4000000000000001E-2</v>
      </c>
      <c r="P16" s="35">
        <v>0.21</v>
      </c>
      <c r="Q16" s="33">
        <v>0.125</v>
      </c>
      <c r="R16" s="33"/>
    </row>
    <row r="17" spans="1:18">
      <c r="A17" s="81">
        <f t="shared" si="0"/>
        <v>14</v>
      </c>
      <c r="B17" s="31" t="s">
        <v>694</v>
      </c>
      <c r="C17" s="13" t="s">
        <v>73</v>
      </c>
      <c r="D17" s="28" t="s">
        <v>72</v>
      </c>
      <c r="E17" s="33">
        <v>4.2000000000000003E-2</v>
      </c>
      <c r="F17" s="33">
        <v>1.6E-2</v>
      </c>
      <c r="G17" s="33">
        <v>1.7000000000000001E-2</v>
      </c>
      <c r="H17" s="33">
        <v>2.1999999999999999E-2</v>
      </c>
      <c r="I17" s="33">
        <v>3.5000000000000003E-2</v>
      </c>
      <c r="J17" s="13"/>
      <c r="K17" s="13"/>
      <c r="L17" s="33">
        <v>0.16400000000000001</v>
      </c>
      <c r="M17" s="33">
        <v>9.4E-2</v>
      </c>
      <c r="N17" s="33">
        <v>7.2999999999999995E-2</v>
      </c>
      <c r="O17" s="33">
        <v>0.125</v>
      </c>
      <c r="P17" s="33">
        <v>0.111</v>
      </c>
      <c r="Q17" s="13"/>
      <c r="R17" s="13"/>
    </row>
    <row r="18" spans="1:18">
      <c r="A18" s="81">
        <f t="shared" si="0"/>
        <v>15</v>
      </c>
      <c r="B18" s="31" t="s">
        <v>698</v>
      </c>
      <c r="C18" s="13" t="s">
        <v>45</v>
      </c>
      <c r="D18" s="28" t="s">
        <v>196</v>
      </c>
      <c r="E18" s="33">
        <v>8.3000000000000004E-2</v>
      </c>
      <c r="F18" s="33">
        <v>8.1000000000000003E-2</v>
      </c>
      <c r="G18" s="33">
        <v>1.0999999999999999E-2</v>
      </c>
      <c r="H18" s="33">
        <v>8.5999999999999993E-2</v>
      </c>
      <c r="I18" s="13"/>
      <c r="J18" s="13"/>
      <c r="K18" s="13"/>
      <c r="L18" s="33">
        <v>0.152</v>
      </c>
      <c r="M18" s="33">
        <v>0.20599999999999999</v>
      </c>
      <c r="N18" s="33">
        <v>0.192</v>
      </c>
      <c r="O18" s="33">
        <v>0.248</v>
      </c>
      <c r="P18" s="13"/>
      <c r="Q18" s="13"/>
      <c r="R18" s="13"/>
    </row>
    <row r="19" spans="1:18">
      <c r="A19" s="81">
        <f t="shared" si="0"/>
        <v>16</v>
      </c>
      <c r="B19" s="31" t="s">
        <v>700</v>
      </c>
      <c r="C19" s="24" t="s">
        <v>45</v>
      </c>
      <c r="D19" s="24" t="s">
        <v>205</v>
      </c>
      <c r="E19" s="33">
        <v>2.5999999999999999E-2</v>
      </c>
      <c r="F19" s="33">
        <v>5.5E-2</v>
      </c>
      <c r="G19" s="35">
        <v>0.04</v>
      </c>
      <c r="H19" s="33">
        <v>6.7000000000000004E-2</v>
      </c>
      <c r="I19" s="33">
        <v>2.5000000000000001E-2</v>
      </c>
      <c r="J19" s="13"/>
      <c r="K19" s="13"/>
      <c r="L19" s="33">
        <v>0.14899999999999999</v>
      </c>
      <c r="M19" s="33">
        <v>0.20899999999999999</v>
      </c>
      <c r="N19" s="33">
        <v>0.14599999999999999</v>
      </c>
      <c r="O19" s="33">
        <v>0.156</v>
      </c>
      <c r="P19" s="33">
        <v>0.10299999999999999</v>
      </c>
      <c r="Q19" s="13"/>
      <c r="R19" s="13"/>
    </row>
    <row r="20" spans="1:18">
      <c r="A20" s="81">
        <f t="shared" si="0"/>
        <v>17</v>
      </c>
      <c r="B20" s="41" t="s">
        <v>704</v>
      </c>
      <c r="C20" s="24" t="s">
        <v>225</v>
      </c>
      <c r="D20" s="24" t="s">
        <v>58</v>
      </c>
      <c r="E20" s="36">
        <v>5.3999999999999999E-2</v>
      </c>
      <c r="F20" s="36">
        <v>3.5000000000000003E-2</v>
      </c>
      <c r="G20" s="36">
        <v>4.4999999999999998E-2</v>
      </c>
      <c r="H20" s="36">
        <v>4.8000000000000001E-2</v>
      </c>
      <c r="I20" s="36">
        <v>2.5999999999999999E-2</v>
      </c>
      <c r="J20" s="8"/>
      <c r="K20" s="8"/>
      <c r="L20" s="36">
        <v>0.26100000000000001</v>
      </c>
      <c r="M20" s="36">
        <v>0.19700000000000001</v>
      </c>
      <c r="N20" s="36">
        <v>0.17699999999999999</v>
      </c>
      <c r="O20" s="36">
        <v>0.21299999999999999</v>
      </c>
      <c r="P20" s="36">
        <v>0.126</v>
      </c>
      <c r="Q20" s="8"/>
      <c r="R20" s="8"/>
    </row>
    <row r="21" spans="1:18">
      <c r="A21" s="81">
        <f t="shared" si="0"/>
        <v>18</v>
      </c>
      <c r="B21" s="42" t="s">
        <v>709</v>
      </c>
      <c r="C21" s="24" t="s">
        <v>45</v>
      </c>
      <c r="D21" s="24" t="s">
        <v>58</v>
      </c>
      <c r="E21" s="36">
        <v>4.5999999999999999E-2</v>
      </c>
      <c r="F21" s="36">
        <v>5.0999999999999997E-2</v>
      </c>
      <c r="G21" s="36">
        <v>1.2999999999999999E-2</v>
      </c>
      <c r="H21" s="36">
        <v>4.2000000000000003E-2</v>
      </c>
      <c r="I21" s="40">
        <v>0</v>
      </c>
      <c r="J21" s="8"/>
      <c r="K21" s="8"/>
      <c r="L21" s="36">
        <v>0.14699999999999999</v>
      </c>
      <c r="M21" s="36">
        <v>9.9000000000000005E-2</v>
      </c>
      <c r="N21" s="36">
        <v>0.10299999999999999</v>
      </c>
      <c r="O21" s="36">
        <v>0.14599999999999999</v>
      </c>
      <c r="P21" s="36">
        <v>7.6999999999999999E-2</v>
      </c>
      <c r="Q21" s="8"/>
      <c r="R21" s="8"/>
    </row>
    <row r="22" spans="1:18">
      <c r="A22" s="81">
        <f t="shared" si="0"/>
        <v>19</v>
      </c>
      <c r="B22" s="42" t="s">
        <v>712</v>
      </c>
      <c r="C22" s="24" t="s">
        <v>225</v>
      </c>
      <c r="D22" s="24" t="s">
        <v>205</v>
      </c>
      <c r="E22" s="36">
        <v>0.223</v>
      </c>
      <c r="F22" s="36">
        <v>9.5000000000000001E-2</v>
      </c>
      <c r="G22" s="36">
        <v>1.7999999999999999E-2</v>
      </c>
      <c r="H22" s="36">
        <v>8.6999999999999994E-2</v>
      </c>
      <c r="I22" s="8"/>
      <c r="J22" s="8"/>
      <c r="K22" s="8"/>
      <c r="L22" s="36">
        <v>0.251</v>
      </c>
      <c r="M22" s="36">
        <v>0.20399999999999999</v>
      </c>
      <c r="N22" s="36">
        <v>0.122</v>
      </c>
      <c r="O22" s="36">
        <v>0.23799999999999999</v>
      </c>
      <c r="P22" s="8"/>
      <c r="Q22" s="8"/>
      <c r="R22" s="8"/>
    </row>
    <row r="23" spans="1:18">
      <c r="A23" s="81">
        <f t="shared" si="0"/>
        <v>20</v>
      </c>
      <c r="B23" s="42" t="s">
        <v>715</v>
      </c>
      <c r="C23" s="24" t="s">
        <v>225</v>
      </c>
      <c r="D23" s="24" t="s">
        <v>196</v>
      </c>
      <c r="E23" s="36">
        <v>7.5999999999999998E-2</v>
      </c>
      <c r="F23" s="40">
        <v>0.22</v>
      </c>
      <c r="G23" s="36">
        <v>0.122</v>
      </c>
      <c r="H23" s="36">
        <v>0.17100000000000001</v>
      </c>
      <c r="I23" s="36">
        <v>0.188</v>
      </c>
      <c r="J23" s="8"/>
      <c r="K23" s="8"/>
      <c r="L23" s="36">
        <v>0.20499999999999999</v>
      </c>
      <c r="M23" s="36">
        <v>0.20100000000000001</v>
      </c>
      <c r="N23" s="36">
        <v>0.20300000000000001</v>
      </c>
      <c r="O23" s="36">
        <v>0.23799999999999999</v>
      </c>
      <c r="P23" s="36">
        <v>0.20499999999999999</v>
      </c>
      <c r="Q23" s="8"/>
      <c r="R23" s="8"/>
    </row>
    <row r="24" spans="1:18">
      <c r="A24" s="81">
        <f t="shared" si="0"/>
        <v>21</v>
      </c>
      <c r="B24" s="42" t="s">
        <v>718</v>
      </c>
      <c r="C24" s="24" t="s">
        <v>225</v>
      </c>
      <c r="D24" s="24" t="s">
        <v>150</v>
      </c>
      <c r="E24" s="40">
        <v>0.11</v>
      </c>
      <c r="F24" s="36">
        <v>3.2000000000000001E-2</v>
      </c>
      <c r="G24" s="36">
        <v>2.4E-2</v>
      </c>
      <c r="H24" s="36">
        <v>3.0000000000000001E-3</v>
      </c>
      <c r="I24" s="36">
        <v>8.9999999999999993E-3</v>
      </c>
      <c r="J24" s="8"/>
      <c r="K24" s="8"/>
      <c r="L24" s="36">
        <v>0.16400000000000001</v>
      </c>
      <c r="M24" s="40">
        <v>0.28999999999999998</v>
      </c>
      <c r="N24" s="36">
        <v>0.16200000000000001</v>
      </c>
      <c r="O24" s="36">
        <v>3.5000000000000003E-2</v>
      </c>
      <c r="P24" s="36">
        <v>0.14299999999999999</v>
      </c>
      <c r="Q24" s="8"/>
      <c r="R24" s="8"/>
    </row>
    <row r="25" spans="1:18">
      <c r="A25" s="81">
        <f t="shared" si="0"/>
        <v>22</v>
      </c>
      <c r="B25" s="42" t="s">
        <v>721</v>
      </c>
      <c r="C25" s="24" t="s">
        <v>45</v>
      </c>
      <c r="D25" s="24" t="s">
        <v>150</v>
      </c>
      <c r="E25" s="40">
        <v>0.1</v>
      </c>
      <c r="F25" s="40">
        <v>0.03</v>
      </c>
      <c r="G25" s="36">
        <v>2.1999999999999999E-2</v>
      </c>
      <c r="H25" s="36">
        <v>0.11700000000000001</v>
      </c>
      <c r="I25" s="36">
        <v>2.7E-2</v>
      </c>
      <c r="J25" s="8"/>
      <c r="K25" s="8"/>
      <c r="L25" s="40">
        <v>0.26</v>
      </c>
      <c r="M25" s="36">
        <v>0.17599999999999999</v>
      </c>
      <c r="N25" s="36">
        <v>0.13600000000000001</v>
      </c>
      <c r="O25" s="36">
        <v>0.18099999999999999</v>
      </c>
      <c r="P25" s="36">
        <v>0.13900000000000001</v>
      </c>
      <c r="Q25" s="8"/>
      <c r="R25" s="8"/>
    </row>
    <row r="26" spans="1:18">
      <c r="A26" s="81">
        <f t="shared" si="0"/>
        <v>23</v>
      </c>
      <c r="B26" s="42" t="s">
        <v>723</v>
      </c>
      <c r="C26" s="24" t="s">
        <v>45</v>
      </c>
      <c r="D26" s="24" t="s">
        <v>72</v>
      </c>
      <c r="E26" s="36">
        <v>1.7000000000000001E-2</v>
      </c>
      <c r="F26" s="36">
        <v>3.5999999999999997E-2</v>
      </c>
      <c r="G26" s="36">
        <v>1.6E-2</v>
      </c>
      <c r="H26" s="36">
        <v>6.4000000000000001E-2</v>
      </c>
      <c r="I26" s="36">
        <v>0.10100000000000001</v>
      </c>
      <c r="J26" s="8"/>
      <c r="K26" s="8"/>
      <c r="L26" s="36">
        <v>9.7000000000000003E-2</v>
      </c>
      <c r="M26" s="36">
        <v>0.20899999999999999</v>
      </c>
      <c r="N26" s="36">
        <v>8.4000000000000005E-2</v>
      </c>
      <c r="O26" s="36">
        <v>0.20599999999999999</v>
      </c>
      <c r="P26" s="36">
        <v>0.216</v>
      </c>
      <c r="Q26" s="8"/>
      <c r="R26" s="8"/>
    </row>
    <row r="27" spans="1:18">
      <c r="A27" s="81">
        <f t="shared" si="0"/>
        <v>24</v>
      </c>
      <c r="B27" s="42" t="s">
        <v>725</v>
      </c>
      <c r="C27" s="24" t="s">
        <v>45</v>
      </c>
      <c r="D27" s="24" t="s">
        <v>128</v>
      </c>
      <c r="E27" s="36">
        <v>8.5999999999999993E-2</v>
      </c>
      <c r="F27" s="36">
        <v>6.0000000000000001E-3</v>
      </c>
      <c r="G27" s="36">
        <v>4.1000000000000002E-2</v>
      </c>
      <c r="H27" s="36">
        <v>8.5000000000000006E-2</v>
      </c>
      <c r="I27" s="8"/>
      <c r="J27" s="8"/>
      <c r="K27" s="8"/>
      <c r="L27" s="36">
        <v>0.14899999999999999</v>
      </c>
      <c r="M27" s="36">
        <v>0.187</v>
      </c>
      <c r="N27" s="36">
        <v>0.216</v>
      </c>
      <c r="O27" s="36">
        <v>0.219</v>
      </c>
      <c r="P27" s="8"/>
      <c r="Q27" s="8"/>
      <c r="R27" s="8"/>
    </row>
    <row r="28" spans="1:18">
      <c r="A28" s="81">
        <f t="shared" si="0"/>
        <v>25</v>
      </c>
      <c r="B28" s="42" t="s">
        <v>727</v>
      </c>
      <c r="C28" s="24" t="s">
        <v>225</v>
      </c>
      <c r="D28" s="24" t="s">
        <v>88</v>
      </c>
      <c r="E28" s="36">
        <v>0.122</v>
      </c>
      <c r="F28" s="40">
        <v>0</v>
      </c>
      <c r="G28" s="40">
        <v>0</v>
      </c>
      <c r="H28" s="36">
        <v>0</v>
      </c>
      <c r="I28" s="36">
        <v>0</v>
      </c>
      <c r="J28" s="8"/>
      <c r="K28" s="8"/>
      <c r="L28" s="36">
        <v>0.36499999999999999</v>
      </c>
      <c r="M28" s="36">
        <v>5.2999999999999999E-2</v>
      </c>
      <c r="N28" s="40">
        <v>0.01</v>
      </c>
      <c r="O28" s="36">
        <v>1E-3</v>
      </c>
      <c r="P28" s="36">
        <v>0</v>
      </c>
      <c r="Q28" s="8"/>
      <c r="R28" s="8"/>
    </row>
    <row r="29" spans="1:18">
      <c r="A29" s="81">
        <f t="shared" si="0"/>
        <v>26</v>
      </c>
      <c r="B29" s="42" t="s">
        <v>729</v>
      </c>
      <c r="C29" s="24" t="s">
        <v>45</v>
      </c>
      <c r="D29" s="24" t="s">
        <v>128</v>
      </c>
      <c r="E29" s="36">
        <v>8.1000000000000003E-2</v>
      </c>
      <c r="F29" s="40">
        <v>0.03</v>
      </c>
      <c r="G29" s="36">
        <v>3.0000000000000001E-3</v>
      </c>
      <c r="H29" s="36">
        <v>1.4999999999999999E-2</v>
      </c>
      <c r="I29" s="36">
        <v>1E-3</v>
      </c>
      <c r="J29" s="36">
        <v>1.0999999999999999E-2</v>
      </c>
      <c r="K29" s="36"/>
      <c r="L29" s="36">
        <v>0.217</v>
      </c>
      <c r="M29" s="40">
        <v>0.1</v>
      </c>
      <c r="N29" s="36">
        <v>3.2000000000000001E-2</v>
      </c>
      <c r="O29" s="36">
        <v>8.5999999999999993E-2</v>
      </c>
      <c r="P29" s="36">
        <v>7.5999999999999998E-2</v>
      </c>
      <c r="Q29" s="36">
        <v>0.18099999999999999</v>
      </c>
      <c r="R29" s="36"/>
    </row>
    <row r="30" spans="1:18">
      <c r="A30" s="81">
        <f t="shared" si="0"/>
        <v>27</v>
      </c>
      <c r="B30" s="42" t="s">
        <v>732</v>
      </c>
      <c r="C30" s="24" t="s">
        <v>45</v>
      </c>
      <c r="D30" s="24" t="s">
        <v>314</v>
      </c>
      <c r="E30" s="36">
        <v>6.9000000000000006E-2</v>
      </c>
      <c r="F30" s="36">
        <v>2.1000000000000001E-2</v>
      </c>
      <c r="G30" s="36">
        <v>3.1E-2</v>
      </c>
      <c r="H30" s="36">
        <v>1.7999999999999999E-2</v>
      </c>
      <c r="I30" s="36">
        <v>4.1000000000000002E-2</v>
      </c>
      <c r="J30" s="8"/>
      <c r="K30" s="8"/>
      <c r="L30" s="36">
        <v>0.221</v>
      </c>
      <c r="M30" s="36">
        <v>0.18099999999999999</v>
      </c>
      <c r="N30" s="36">
        <v>0.191</v>
      </c>
      <c r="O30" s="36">
        <v>0.13800000000000001</v>
      </c>
      <c r="P30" s="36">
        <v>0.16900000000000001</v>
      </c>
      <c r="Q30" s="8"/>
      <c r="R30" s="8"/>
    </row>
    <row r="31" spans="1:18">
      <c r="A31" s="81">
        <f t="shared" si="0"/>
        <v>28</v>
      </c>
      <c r="B31" s="42" t="s">
        <v>734</v>
      </c>
      <c r="C31" s="24" t="s">
        <v>45</v>
      </c>
      <c r="D31" s="24" t="s">
        <v>323</v>
      </c>
      <c r="E31" s="40">
        <v>0.11</v>
      </c>
      <c r="F31" s="36">
        <v>1.4E-2</v>
      </c>
      <c r="G31" s="36">
        <v>0.61199999999999999</v>
      </c>
      <c r="H31" s="36">
        <v>0.11600000000000001</v>
      </c>
      <c r="I31" s="8"/>
      <c r="J31" s="8"/>
      <c r="K31" s="8"/>
      <c r="L31" s="36">
        <v>0.34399999999999997</v>
      </c>
      <c r="M31" s="36">
        <v>0.24099999999999999</v>
      </c>
      <c r="N31" s="36">
        <v>0.32500000000000001</v>
      </c>
      <c r="O31" s="36">
        <v>0.41899999999999998</v>
      </c>
      <c r="P31" s="8"/>
      <c r="Q31" s="8"/>
      <c r="R31" s="8"/>
    </row>
    <row r="32" spans="1:18">
      <c r="A32" s="81">
        <f t="shared" si="0"/>
        <v>29</v>
      </c>
      <c r="B32" s="42" t="s">
        <v>736</v>
      </c>
      <c r="C32" s="24" t="s">
        <v>332</v>
      </c>
      <c r="D32" s="24" t="s">
        <v>88</v>
      </c>
      <c r="E32" s="36">
        <v>3.0000000000000001E-3</v>
      </c>
      <c r="F32" s="36">
        <v>7.0000000000000001E-3</v>
      </c>
      <c r="G32" s="36">
        <v>1E-3</v>
      </c>
      <c r="H32" s="36">
        <v>0</v>
      </c>
      <c r="I32" s="8"/>
      <c r="J32" s="8"/>
      <c r="K32" s="8"/>
      <c r="L32" s="40">
        <v>7.0000000000000007E-2</v>
      </c>
      <c r="M32" s="40">
        <v>6.4000000000000001E-2</v>
      </c>
      <c r="N32" s="36">
        <v>4.7E-2</v>
      </c>
      <c r="O32" s="36">
        <v>4.3999999999999997E-2</v>
      </c>
      <c r="P32" s="8"/>
      <c r="Q32" s="8"/>
      <c r="R32" s="8"/>
    </row>
    <row r="33" spans="1:18">
      <c r="A33" s="81">
        <f t="shared" si="0"/>
        <v>30</v>
      </c>
      <c r="B33" s="42" t="s">
        <v>740</v>
      </c>
      <c r="C33" s="24" t="s">
        <v>73</v>
      </c>
      <c r="D33" s="24" t="s">
        <v>58</v>
      </c>
      <c r="E33" s="36">
        <v>0.27700000000000002</v>
      </c>
      <c r="F33" s="36">
        <v>0.14799999999999999</v>
      </c>
      <c r="G33" s="36">
        <v>0.17799999999999999</v>
      </c>
      <c r="H33" s="36">
        <v>1.4999999999999999E-2</v>
      </c>
      <c r="I33" s="8"/>
      <c r="J33" s="8"/>
      <c r="K33" s="8"/>
      <c r="L33" s="36">
        <v>0.28899999999999998</v>
      </c>
      <c r="M33" s="36">
        <v>0.17199999999999999</v>
      </c>
      <c r="N33" s="36">
        <v>0.13500000000000001</v>
      </c>
      <c r="O33" s="36">
        <v>5.7000000000000002E-2</v>
      </c>
      <c r="P33" s="8"/>
      <c r="Q33" s="8"/>
      <c r="R33" s="8"/>
    </row>
    <row r="34" spans="1:18">
      <c r="A34" s="129">
        <f t="shared" si="0"/>
        <v>31</v>
      </c>
      <c r="B34" s="65" t="s">
        <v>744</v>
      </c>
      <c r="C34" s="24" t="s">
        <v>73</v>
      </c>
      <c r="D34" s="24" t="s">
        <v>323</v>
      </c>
      <c r="E34" s="36">
        <v>0.20899999999999999</v>
      </c>
      <c r="F34" s="36">
        <v>0.19600000000000001</v>
      </c>
      <c r="G34" s="40">
        <v>0.02</v>
      </c>
      <c r="H34" s="36">
        <v>1.7000000000000001E-2</v>
      </c>
      <c r="I34" s="8"/>
      <c r="J34" s="8"/>
      <c r="K34" s="8"/>
      <c r="L34" s="36">
        <v>0.27200000000000002</v>
      </c>
      <c r="M34" s="36">
        <v>0.153</v>
      </c>
      <c r="N34" s="36">
        <v>0.108</v>
      </c>
      <c r="O34" s="36">
        <v>0.09</v>
      </c>
      <c r="P34" s="8"/>
      <c r="Q34" s="8"/>
      <c r="R34" s="8"/>
    </row>
    <row r="35" spans="1:18">
      <c r="A35" s="129">
        <f t="shared" si="0"/>
        <v>32</v>
      </c>
      <c r="B35" s="31" t="s">
        <v>746</v>
      </c>
      <c r="C35" s="24" t="s">
        <v>73</v>
      </c>
      <c r="D35" s="24" t="s">
        <v>58</v>
      </c>
      <c r="E35" s="36">
        <v>5.6000000000000001E-2</v>
      </c>
      <c r="F35" s="36">
        <v>3.5000000000000003E-2</v>
      </c>
      <c r="G35" s="8"/>
      <c r="H35" s="8"/>
      <c r="I35" s="8"/>
      <c r="J35" s="8"/>
      <c r="K35" s="8"/>
      <c r="L35" s="36">
        <v>0.20799999999999999</v>
      </c>
      <c r="M35" s="36">
        <v>0.16300000000000001</v>
      </c>
      <c r="N35" s="8"/>
      <c r="O35" s="8"/>
      <c r="P35" s="8"/>
      <c r="Q35" s="8"/>
      <c r="R35" s="8"/>
    </row>
    <row r="36" spans="1:18">
      <c r="A36" s="129">
        <f t="shared" si="0"/>
        <v>33</v>
      </c>
      <c r="B36" s="28" t="s">
        <v>748</v>
      </c>
      <c r="C36" s="24" t="s">
        <v>73</v>
      </c>
      <c r="D36" s="24" t="s">
        <v>499</v>
      </c>
      <c r="E36" s="40">
        <v>0</v>
      </c>
      <c r="F36" s="36">
        <v>1.4999999999999999E-2</v>
      </c>
      <c r="G36" s="36">
        <v>8.0000000000000002E-3</v>
      </c>
      <c r="H36" s="8"/>
      <c r="I36" s="8"/>
      <c r="J36" s="8"/>
      <c r="K36" s="8"/>
      <c r="L36" s="36">
        <v>9.0999999999999998E-2</v>
      </c>
      <c r="M36" s="36">
        <v>0.11899999999999999</v>
      </c>
      <c r="N36" s="36">
        <v>8.1000000000000003E-2</v>
      </c>
      <c r="O36" s="8"/>
      <c r="P36" s="8"/>
      <c r="Q36" s="8"/>
      <c r="R36" s="8"/>
    </row>
    <row r="37" spans="1:18" s="100" customFormat="1">
      <c r="A37" s="129">
        <f t="shared" si="0"/>
        <v>34</v>
      </c>
      <c r="B37" s="28" t="s">
        <v>753</v>
      </c>
      <c r="C37" s="24" t="s">
        <v>45</v>
      </c>
      <c r="D37" s="24" t="s">
        <v>88</v>
      </c>
      <c r="E37" s="36">
        <v>0.25600000000000001</v>
      </c>
      <c r="F37" s="36">
        <v>0</v>
      </c>
      <c r="G37" s="8"/>
      <c r="H37" s="8"/>
      <c r="I37" s="8"/>
      <c r="J37" s="8"/>
      <c r="K37" s="8"/>
      <c r="L37" s="36">
        <v>0.27200000000000002</v>
      </c>
      <c r="M37" s="36">
        <v>3.3000000000000002E-2</v>
      </c>
      <c r="N37" s="8"/>
      <c r="O37" s="8"/>
      <c r="P37" s="8"/>
      <c r="Q37" s="8"/>
      <c r="R37" s="8"/>
    </row>
    <row r="38" spans="1:18" s="100" customFormat="1">
      <c r="B38" s="28" t="s">
        <v>756</v>
      </c>
      <c r="C38" s="165" t="s">
        <v>45</v>
      </c>
      <c r="D38" s="163" t="s">
        <v>58</v>
      </c>
      <c r="E38" s="166">
        <v>0.48299999999999998</v>
      </c>
      <c r="F38" s="167"/>
      <c r="G38" s="167"/>
      <c r="H38" s="167"/>
      <c r="I38" s="167"/>
      <c r="J38" s="167"/>
      <c r="K38" s="167"/>
      <c r="L38" s="168">
        <v>0.28000000000000003</v>
      </c>
      <c r="M38" s="167"/>
      <c r="N38" s="167"/>
      <c r="O38" s="167"/>
      <c r="P38" s="167"/>
      <c r="Q38" s="167"/>
      <c r="R38" s="167"/>
    </row>
    <row r="39" spans="1:18" s="100" customFormat="1">
      <c r="B39" s="64" t="s">
        <v>764</v>
      </c>
      <c r="C39" s="169" t="s">
        <v>45</v>
      </c>
      <c r="D39" s="170" t="s">
        <v>323</v>
      </c>
      <c r="E39" s="171">
        <v>0.38600000000000001</v>
      </c>
      <c r="F39" s="125"/>
      <c r="G39" s="125"/>
      <c r="H39" s="125"/>
      <c r="I39" s="125"/>
      <c r="J39" s="125"/>
      <c r="K39" s="125"/>
      <c r="L39" s="171">
        <v>0.33600000000000002</v>
      </c>
      <c r="M39" s="125"/>
      <c r="N39" s="125"/>
      <c r="O39" s="125"/>
      <c r="P39" s="125"/>
      <c r="Q39" s="125"/>
      <c r="R39" s="125"/>
    </row>
    <row r="40" spans="1:18">
      <c r="A40" s="81"/>
      <c r="B40" s="90" t="s">
        <v>445</v>
      </c>
      <c r="C40" s="90"/>
      <c r="E40" s="86">
        <f>+AVERAGE(E4:E39)</f>
        <v>0.1510555555555555</v>
      </c>
      <c r="F40" s="86">
        <f t="shared" ref="F40:R40" si="1">+AVERAGE(F4:F39)</f>
        <v>9.1470588235294123E-2</v>
      </c>
      <c r="G40" s="86">
        <f t="shared" si="1"/>
        <v>6.0093749999999987E-2</v>
      </c>
      <c r="H40" s="86">
        <f t="shared" si="1"/>
        <v>7.1612903225806462E-2</v>
      </c>
      <c r="I40" s="86">
        <f t="shared" si="1"/>
        <v>4.0695652173913049E-2</v>
      </c>
      <c r="J40" s="86">
        <f t="shared" si="1"/>
        <v>5.445454545454545E-2</v>
      </c>
      <c r="K40" s="86">
        <f t="shared" si="1"/>
        <v>9.2999999999999999E-2</v>
      </c>
      <c r="L40" s="86">
        <f t="shared" si="1"/>
        <v>0.20397222222222228</v>
      </c>
      <c r="M40" s="86">
        <f t="shared" si="1"/>
        <v>0.16714705882352937</v>
      </c>
      <c r="N40" s="86">
        <f t="shared" si="1"/>
        <v>0.13859374999999999</v>
      </c>
      <c r="O40" s="86">
        <f t="shared" si="1"/>
        <v>0.15667741935483875</v>
      </c>
      <c r="P40" s="86">
        <f t="shared" si="1"/>
        <v>0.15291304347826087</v>
      </c>
      <c r="Q40" s="86">
        <f t="shared" si="1"/>
        <v>0.13381818181818184</v>
      </c>
      <c r="R40" s="86">
        <f t="shared" si="1"/>
        <v>0.159</v>
      </c>
    </row>
    <row r="44" spans="1:18">
      <c r="A44" s="94" t="s">
        <v>439</v>
      </c>
      <c r="B44" s="94" t="s">
        <v>447</v>
      </c>
      <c r="C44" s="93" t="s">
        <v>451</v>
      </c>
      <c r="D44" s="93" t="s">
        <v>455</v>
      </c>
      <c r="E44" s="93" t="s">
        <v>456</v>
      </c>
      <c r="F44" s="93" t="s">
        <v>570</v>
      </c>
      <c r="G44" s="93" t="s">
        <v>647</v>
      </c>
      <c r="H44" s="93" t="s">
        <v>774</v>
      </c>
      <c r="I44" s="93" t="s">
        <v>775</v>
      </c>
      <c r="J44" s="93" t="s">
        <v>452</v>
      </c>
      <c r="K44" s="93" t="s">
        <v>453</v>
      </c>
      <c r="L44" s="93" t="s">
        <v>454</v>
      </c>
      <c r="M44" s="93" t="s">
        <v>569</v>
      </c>
      <c r="N44" s="93" t="s">
        <v>646</v>
      </c>
      <c r="O44" s="93" t="s">
        <v>772</v>
      </c>
      <c r="P44" s="93" t="s">
        <v>773</v>
      </c>
    </row>
    <row r="45" spans="1:18">
      <c r="B45" t="s">
        <v>445</v>
      </c>
      <c r="C45" s="118">
        <f>+(L4+L5+L8+L9+L11+L12+L13+L14+L15+L16+L18+L19+L21+L25+L26+L27+L29+L30+L31+L32+L37+L38+L39)/23</f>
        <v>0.19513043478260872</v>
      </c>
      <c r="D45" s="118">
        <f>+(M4+M5+M8+M9+M11+M12+M13+M14+M15+M16+M18+M19+M21+M25+M26+M27+M29+M30+M31+M32+M37+M38+M39)/21</f>
        <v>0.16357142857142859</v>
      </c>
      <c r="E45" s="118">
        <f>+(N4+N5+N8+N9+N11+N12+N13+N14+N15+N16+N18+N19+N21+N25+N26+N27+N29+N30+N31+N32+N37+N38+N39)/20</f>
        <v>0.14325000000000002</v>
      </c>
      <c r="F45" s="118">
        <f>+(O4+O5+O8+O9+O11+O12+O13+O14+O15+O16+O18+O19+O21+O25+O26+O27+O29+O30+O31+O32+O37+O38+O39)/20</f>
        <v>0.17419999999999997</v>
      </c>
      <c r="G45" s="118">
        <f>+(P4+P5+P8+P9+P11+P12+P13+P14+P15+P16+P18+P19+P21+P25+P26+P27+P29+P30+P31+P32+P37+P38+P39)/15</f>
        <v>0.17120000000000005</v>
      </c>
      <c r="H45" s="118">
        <f>+(Q4+Q5+Q8+Q9+Q11+Q12+Q13+Q14+Q15+Q16+Q18+Q19+Q21+Q25+Q26+Q27+Q29+Q30+Q31+Q32+Q37+Q38+Q39)/8</f>
        <v>0.13137499999999999</v>
      </c>
      <c r="I45" s="118"/>
      <c r="J45" s="118">
        <f>+(E4+E5+E8+E9+E11+E12+E13+E14+E15+E16+E18+E19+E21+E25+E26+E27+E29+E30+E31+E32+E37+E38+E39)/23</f>
        <v>0.15230434782608696</v>
      </c>
      <c r="K45" s="118">
        <f>+(F4+F5+F8+F9+F11+F12+F13+F14+F15+F16+F18+F19+F21+F25+F26+F27+F29+F30+F31+F32+F37+F38+F39)/21</f>
        <v>8.8666666666666644E-2</v>
      </c>
      <c r="L45" s="118">
        <f>+(G4+G5+G8+G9+G11+G12+G13+G14+G15+G16+G18+G19+G21+G25+G26+G27+G29+G30+G31+G32+G37+G38+G39)/20</f>
        <v>6.094999999999999E-2</v>
      </c>
      <c r="M45" s="118">
        <f>+(H4+H5+H8+H9+H11+H12+H13+H14+H15+H16+H18+H19+H21+H25+H26+H27+H29+H30+H31+H32+H37+H38+H39)/20</f>
        <v>8.1350000000000006E-2</v>
      </c>
      <c r="N45" s="118">
        <f>+(I4+I5+I8+I9+I11+I12+I13+I14+I15+I16+I18+I19+I21+I25+I26+I27+I29+I30+I31+I32+I37+I38+I39)/15</f>
        <v>3.6266666666666669E-2</v>
      </c>
      <c r="O45" s="118">
        <f>+(J4+J5+J8+J9+J11+J12+J13+J14+J15+J16+J18+J19+J21+J25+J26+J27+J29+J30+J31+J32+J37+J38+J39)/8</f>
        <v>2.7375E-2</v>
      </c>
      <c r="P45" s="118"/>
    </row>
    <row r="46" spans="1:18">
      <c r="H46"/>
      <c r="I46"/>
      <c r="L46" s="100"/>
    </row>
    <row r="47" spans="1:18">
      <c r="H47"/>
      <c r="I47"/>
      <c r="L47" s="100"/>
    </row>
    <row r="48" spans="1:18">
      <c r="A48" s="94" t="s">
        <v>439</v>
      </c>
      <c r="B48" s="94" t="s">
        <v>448</v>
      </c>
      <c r="C48" s="93" t="s">
        <v>451</v>
      </c>
      <c r="D48" s="93" t="s">
        <v>455</v>
      </c>
      <c r="E48" s="93" t="s">
        <v>456</v>
      </c>
      <c r="F48" s="93" t="s">
        <v>570</v>
      </c>
      <c r="G48" s="93" t="s">
        <v>647</v>
      </c>
      <c r="H48" s="93" t="s">
        <v>774</v>
      </c>
      <c r="I48" s="93" t="s">
        <v>775</v>
      </c>
      <c r="J48" s="93" t="s">
        <v>452</v>
      </c>
      <c r="K48" s="93" t="s">
        <v>453</v>
      </c>
      <c r="L48" s="93" t="s">
        <v>454</v>
      </c>
      <c r="M48" s="93" t="s">
        <v>569</v>
      </c>
      <c r="N48" s="93" t="s">
        <v>646</v>
      </c>
      <c r="O48" s="93" t="s">
        <v>772</v>
      </c>
      <c r="P48" s="93" t="s">
        <v>773</v>
      </c>
    </row>
    <row r="49" spans="2:16">
      <c r="B49" s="94" t="s">
        <v>445</v>
      </c>
      <c r="C49" s="118">
        <f>+(L6+L7+L10+L17+L20+L22+L23+L24+L28+L33+L34+L35+L36)/13</f>
        <v>0.21961538461538466</v>
      </c>
      <c r="D49" s="118">
        <f t="shared" ref="D49:I49" si="2">+(M6+M7+M10+M17+M20+M22+M23+M24+M28+M33+M34+M35+M36)/13</f>
        <v>0.17292307692307693</v>
      </c>
      <c r="E49" s="118">
        <f>+(N6+N7+N10+N17+N20+N22+N23+N24+N28+N33+N34+N35+N36)/12</f>
        <v>0.13083333333333333</v>
      </c>
      <c r="F49" s="118">
        <f>+(O6+O7+O10+O17+O20+O22+O23+O24+O28+O33+O34+O35+O36)/11</f>
        <v>0.1248181818181818</v>
      </c>
      <c r="G49" s="118">
        <f>+(P6+P7+P10+P17+P20+P22+P23+P24+P28+P33+P34+P35+P36)/8</f>
        <v>0.11862499999999999</v>
      </c>
      <c r="H49" s="118">
        <f>+(Q6+Q7+Q10+Q17+Q20+Q22+Q23+Q24+Q28+Q33+Q34+Q35+Q36)/3</f>
        <v>0.14033333333333334</v>
      </c>
      <c r="I49" s="118">
        <f>+(R6+R7+R10+R17+R20+R22+R23+R24+R28+R33+R34+R35+R36)/1</f>
        <v>0.159</v>
      </c>
      <c r="J49" s="118">
        <f>+(E6+E7+E10+E17+E20+E22+E23+E24+E28+E33+E34+E35+E36)/13</f>
        <v>0.14884615384615388</v>
      </c>
      <c r="K49" s="118">
        <f>+(F6+F7+F10+F17+F20+F22+F23+F24+F28+F33+F34+F35+F36)/13</f>
        <v>9.5999999999999988E-2</v>
      </c>
      <c r="L49" s="118">
        <f>+(G6+G7+G10+G17+G20+G22+G23+G24+G28+G33+G34+G35+G36)/11</f>
        <v>6.4000000000000001E-2</v>
      </c>
      <c r="M49" s="118">
        <f t="shared" ref="K49:P49" si="3">+(H6+H7+H10+H17+H20+H22+H23+H24+H28+H33+H34+H35+H36)/13</f>
        <v>4.561538461538462E-2</v>
      </c>
      <c r="N49" s="118">
        <f>+(I6+I7+I10+I17+I20+I22+I23+I24+I28+I33+I34+I35+I36)/8</f>
        <v>4.9000000000000002E-2</v>
      </c>
      <c r="O49" s="118">
        <f>+(J6+J7+J10+J17+J20+J22+J23+J24+J28+J33+J34+J35+J36)/2</f>
        <v>0.19</v>
      </c>
      <c r="P49" s="118">
        <f>+(K6+K7+K10+K17+K20+K22+K23+K24+K28+K33+K34+K35+K36)/1</f>
        <v>9.2999999999999999E-2</v>
      </c>
    </row>
    <row r="50" spans="2:16">
      <c r="H50"/>
      <c r="I50"/>
      <c r="L50" s="100"/>
    </row>
    <row r="51" spans="2:16">
      <c r="H51"/>
      <c r="I51"/>
      <c r="L51" s="100"/>
    </row>
    <row r="52" spans="2:16">
      <c r="B52" s="94" t="s">
        <v>491</v>
      </c>
      <c r="C52" s="93" t="s">
        <v>451</v>
      </c>
      <c r="D52" s="93" t="s">
        <v>455</v>
      </c>
      <c r="E52" s="93" t="s">
        <v>456</v>
      </c>
      <c r="F52" s="93" t="s">
        <v>570</v>
      </c>
      <c r="G52" s="93" t="s">
        <v>647</v>
      </c>
      <c r="H52" s="93" t="s">
        <v>774</v>
      </c>
      <c r="I52" s="93" t="s">
        <v>775</v>
      </c>
      <c r="J52" s="93" t="s">
        <v>452</v>
      </c>
      <c r="K52" s="93" t="s">
        <v>453</v>
      </c>
      <c r="L52" s="93" t="s">
        <v>454</v>
      </c>
      <c r="M52" s="93" t="s">
        <v>569</v>
      </c>
      <c r="N52" s="93" t="s">
        <v>646</v>
      </c>
      <c r="O52" s="93" t="s">
        <v>772</v>
      </c>
      <c r="P52" s="93" t="s">
        <v>773</v>
      </c>
    </row>
    <row r="53" spans="2:16">
      <c r="B53" s="94" t="s">
        <v>426</v>
      </c>
      <c r="C53" s="118">
        <f>+(L8+L13+L18+L25+L30)/5</f>
        <v>0.17599999999999999</v>
      </c>
      <c r="D53" s="118">
        <f t="shared" ref="D53:F53" si="4">+(M8+M13+M18+M25+M30)/5</f>
        <v>0.15160000000000001</v>
      </c>
      <c r="E53" s="118">
        <f t="shared" si="4"/>
        <v>0.15460000000000002</v>
      </c>
      <c r="F53" s="118">
        <f t="shared" si="4"/>
        <v>0.15540000000000001</v>
      </c>
      <c r="G53" s="118">
        <f>+(P8+P13+P18+P25+P30)/4</f>
        <v>0.17849999999999999</v>
      </c>
      <c r="H53" s="118">
        <f>+(Q8+Q13+Q18+Q25+Q30)/1</f>
        <v>8.6999999999999994E-2</v>
      </c>
      <c r="J53" s="118">
        <f>+(E8+E13+E18+E25+E30)/5</f>
        <v>7.8999999999999987E-2</v>
      </c>
      <c r="K53" s="118">
        <f t="shared" ref="K53:O53" si="5">+(F8+F13+F18+F25+F30)/5</f>
        <v>4.82E-2</v>
      </c>
      <c r="L53" s="118">
        <f>+(G8+G13+G18+G25+G30)/4</f>
        <v>5.6750000000000002E-2</v>
      </c>
      <c r="M53" s="118">
        <f>+(H8+H13+H18+H25+H30)/4</f>
        <v>0.10875</v>
      </c>
      <c r="N53" s="118">
        <f>+(I8+I13+I18+I25+I30)/4</f>
        <v>4.8250000000000001E-2</v>
      </c>
      <c r="O53" s="118"/>
    </row>
    <row r="54" spans="2:16">
      <c r="B54" s="94" t="s">
        <v>427</v>
      </c>
      <c r="C54" s="118">
        <f>+(L4+L9+L11+L12+L14+L15+L16+L19+L26+L27+L29+L32+L37)/13</f>
        <v>0.17676923076923076</v>
      </c>
      <c r="D54" s="118">
        <f t="shared" ref="D54:I54" si="6">+(M4+M9+M11+M12+M14+M15+M16+M19+M26+M27+M29+M32+M37)/13</f>
        <v>0.16561538461538461</v>
      </c>
      <c r="E54" s="118">
        <f>+(N4+N9+N11+N12+N14+N15+N16+N19+N26+N27+N29+N32+N37)/11</f>
        <v>0.13236363636363635</v>
      </c>
      <c r="F54" s="118">
        <f>+(O4+O9+O11+O12+O14+O15+O16+O19+O26+O27+O29+O32+O37)/12</f>
        <v>0.159</v>
      </c>
      <c r="G54" s="118">
        <f>+(P4+P9+P11+P12+P14+P15+P16+P19+P26+P27+P29+P32+P37)/10</f>
        <v>0.1777</v>
      </c>
      <c r="H54" s="118">
        <f>+(Q4+Q9+Q11+Q12+Q14+Q15+Q16+Q19+Q26+Q27+Q29+Q32+Q37)/7</f>
        <v>0.13771428571428571</v>
      </c>
      <c r="I54" s="118"/>
      <c r="J54" s="118">
        <f>+(E4+E9+E11+E12+E14+E15+E16+E19+E26+E27+E29+E32+E37)/13</f>
        <v>0.15607692307692306</v>
      </c>
      <c r="K54" s="118">
        <f t="shared" ref="K54:P54" si="7">+(F4+F9+F11+F12+F14+F15+F16+F19+F26+F27+F29+F32+F37)/13</f>
        <v>0.10699999999999998</v>
      </c>
      <c r="L54" s="118">
        <f>+(G4+G9+G11+G12+G14+G15+G16+G19+G26+G27+G29+G32+G37)/12</f>
        <v>2.7166666666666669E-2</v>
      </c>
      <c r="M54" s="118">
        <f>+(H4+H9+H11+H12+H14+H15+H16+H19+H26+H27+H29+H32+H37)/12</f>
        <v>7.325000000000001E-2</v>
      </c>
      <c r="N54" s="118">
        <f>+(I4+I9+I11+I12+I14+I15+I16+I19+I26+I27+I29+I32+I37)/10</f>
        <v>3.5099999999999999E-2</v>
      </c>
      <c r="O54" s="118">
        <f>+(J4+J9+J11+J12+J14+J15+J16+J19+J26+J27+J29+J32+J37)/7</f>
        <v>3.1285714285714285E-2</v>
      </c>
      <c r="P54" s="118"/>
    </row>
    <row r="55" spans="2:16">
      <c r="B55" s="94" t="s">
        <v>428</v>
      </c>
      <c r="C55" s="118">
        <f>+(L31+L5+L21+L38+L39)/5</f>
        <v>0.26200000000000001</v>
      </c>
      <c r="D55" s="118">
        <f>+(M31+M5+M21+M38+M39)/3</f>
        <v>0.17466666666666666</v>
      </c>
      <c r="E55" s="118">
        <f t="shared" ref="E55:F55" si="8">+(N31+N5+N21+N38+N39)/3</f>
        <v>0.21199999999999999</v>
      </c>
      <c r="F55" s="118">
        <f t="shared" si="8"/>
        <v>0.26633333333333337</v>
      </c>
      <c r="G55" s="118">
        <f>+(P31+P5+P21+P38+P39)/1</f>
        <v>7.6999999999999999E-2</v>
      </c>
      <c r="J55" s="118">
        <f>+(E5+E21+E31+E38+E39)/5</f>
        <v>0.21580000000000005</v>
      </c>
      <c r="K55" s="118">
        <f>+(F5+F21+F31+F38+F39)/3</f>
        <v>7.6666666666666675E-2</v>
      </c>
      <c r="L55" s="118">
        <f t="shared" ref="L55:M55" si="9">+(G5+G21+G31+G38+G39)/3</f>
        <v>0.222</v>
      </c>
      <c r="M55" s="118">
        <f t="shared" si="9"/>
        <v>0.10433333333333333</v>
      </c>
    </row>
    <row r="56" spans="2:16">
      <c r="B56" s="94"/>
      <c r="H56"/>
      <c r="I56"/>
      <c r="L56" s="100"/>
    </row>
    <row r="57" spans="2:16">
      <c r="B57" s="94"/>
      <c r="H57"/>
      <c r="I57"/>
      <c r="L57" s="100"/>
    </row>
    <row r="58" spans="2:16">
      <c r="B58" s="94" t="s">
        <v>492</v>
      </c>
      <c r="C58" s="93" t="s">
        <v>451</v>
      </c>
      <c r="D58" s="93" t="s">
        <v>455</v>
      </c>
      <c r="E58" s="93" t="s">
        <v>456</v>
      </c>
      <c r="F58" s="93" t="s">
        <v>570</v>
      </c>
      <c r="G58" s="93" t="s">
        <v>647</v>
      </c>
      <c r="H58" s="93" t="s">
        <v>774</v>
      </c>
      <c r="I58" s="93" t="s">
        <v>775</v>
      </c>
      <c r="J58" s="93" t="s">
        <v>452</v>
      </c>
      <c r="K58" s="93" t="s">
        <v>453</v>
      </c>
      <c r="L58" s="93" t="s">
        <v>454</v>
      </c>
      <c r="M58" s="93" t="s">
        <v>569</v>
      </c>
      <c r="N58" s="93" t="s">
        <v>646</v>
      </c>
      <c r="O58" s="93" t="s">
        <v>772</v>
      </c>
      <c r="P58" s="93" t="s">
        <v>773</v>
      </c>
    </row>
    <row r="59" spans="2:16">
      <c r="B59" s="94" t="s">
        <v>426</v>
      </c>
      <c r="C59" s="118">
        <f>+(L23+L24+L36)/3</f>
        <v>0.15333333333333332</v>
      </c>
      <c r="D59" s="118">
        <f t="shared" ref="D59:G59" si="10">+(M23+M24+M36)/3</f>
        <v>0.20333333333333334</v>
      </c>
      <c r="E59" s="118">
        <f t="shared" si="10"/>
        <v>0.14866666666666667</v>
      </c>
      <c r="F59" s="118">
        <f>+(O23+O24+O36)/2</f>
        <v>0.13650000000000001</v>
      </c>
      <c r="G59" s="118">
        <f>+(P23+P24+P36)/2</f>
        <v>0.17399999999999999</v>
      </c>
      <c r="J59" s="118">
        <f>+(E23+E24+E36)/3</f>
        <v>6.2E-2</v>
      </c>
      <c r="K59" s="118">
        <f t="shared" ref="K59:N59" si="11">+(F23+F24+F36)/3</f>
        <v>8.900000000000001E-2</v>
      </c>
      <c r="L59" s="118">
        <f t="shared" si="11"/>
        <v>5.1333333333333335E-2</v>
      </c>
      <c r="M59" s="118">
        <f>+(H23+H24+H36)/2</f>
        <v>8.7000000000000008E-2</v>
      </c>
      <c r="N59" s="118">
        <f>+(I23+I24+I36)/2</f>
        <v>9.8500000000000004E-2</v>
      </c>
    </row>
    <row r="60" spans="2:16">
      <c r="B60" s="94" t="s">
        <v>427</v>
      </c>
      <c r="C60" s="118">
        <f>+(L6+L7+L10+L17+L22+L28)/6</f>
        <v>0.22750000000000001</v>
      </c>
      <c r="D60" s="118">
        <f t="shared" ref="D60:I60" si="12">+(M6+M7+M10+M17+M22+M28)/6</f>
        <v>0.15883333333333333</v>
      </c>
      <c r="E60" s="118">
        <f t="shared" si="12"/>
        <v>0.11733333333333333</v>
      </c>
      <c r="F60" s="118">
        <f t="shared" si="12"/>
        <v>0.12333333333333334</v>
      </c>
      <c r="G60" s="118">
        <f>+(P6+P7+P10+P17+P22+P28)/5</f>
        <v>9.5000000000000001E-2</v>
      </c>
      <c r="H60" s="118">
        <f>+(Q6+Q7+Q10+Q17+Q22+Q28)/3</f>
        <v>0.14033333333333334</v>
      </c>
      <c r="I60" s="118">
        <f>+(R6+R7+R10+R17+R22+R28)/1</f>
        <v>0.159</v>
      </c>
      <c r="J60" s="118">
        <f>+(E6+E7+E10+E17+E22+E28)/6</f>
        <v>0.19216666666666668</v>
      </c>
      <c r="K60" s="118">
        <f>+(F6+F7+F10+F17+F22+F28)/5</f>
        <v>0.11340000000000001</v>
      </c>
      <c r="L60" s="118">
        <f t="shared" ref="L60:M60" si="13">+(G6+G7+G10+G17+G22+G28)/5</f>
        <v>6.140000000000001E-2</v>
      </c>
      <c r="M60" s="118">
        <f t="shared" si="13"/>
        <v>6.7799999999999999E-2</v>
      </c>
      <c r="N60" s="118">
        <f>+(I6+I7+I10+I17+I22+I28)/3</f>
        <v>5.6333333333333339E-2</v>
      </c>
      <c r="O60" s="118">
        <f>+(J6+J7+J10+J17+J22+J28)/2</f>
        <v>0.19</v>
      </c>
      <c r="P60" s="118">
        <f>+(K6+K7+K10+K17+K22+K28)/1</f>
        <v>9.2999999999999999E-2</v>
      </c>
    </row>
    <row r="61" spans="2:16">
      <c r="B61" s="94" t="s">
        <v>428</v>
      </c>
      <c r="C61" s="118">
        <f>+(L20+L33+L34+L35)/4</f>
        <v>0.25750000000000001</v>
      </c>
      <c r="D61" s="118">
        <f>+(M20+M33+M34+M35)/4</f>
        <v>0.17125000000000001</v>
      </c>
      <c r="E61" s="118">
        <f>+(N20+N33+N34+N35)/3</f>
        <v>0.13999999999999999</v>
      </c>
      <c r="F61" s="118">
        <f>+(O20+O33+O34+O35)/3</f>
        <v>0.12</v>
      </c>
      <c r="G61" s="118">
        <f>+(P20+P33+P34+P35)/1</f>
        <v>0.126</v>
      </c>
      <c r="J61" s="118">
        <f>+(E34+E20+E33+E35)/4</f>
        <v>0.14900000000000002</v>
      </c>
      <c r="K61" s="118">
        <f t="shared" ref="K61:N61" si="14">+(F34+F20+F33+F35)/4</f>
        <v>0.10350000000000001</v>
      </c>
      <c r="L61" s="118">
        <f>+(G34+G20+G33+G35)/3</f>
        <v>8.1000000000000003E-2</v>
      </c>
      <c r="M61" s="118">
        <f>+(H34+H20+H33+H35)/3</f>
        <v>2.6666666666666668E-2</v>
      </c>
      <c r="N61" s="118">
        <f>+(I34+I20+I33+I35)/1</f>
        <v>2.5999999999999999E-2</v>
      </c>
    </row>
    <row r="62" spans="2:16">
      <c r="J62"/>
      <c r="K62"/>
      <c r="L62" s="100"/>
    </row>
    <row r="63" spans="2:16">
      <c r="H63"/>
      <c r="I63"/>
      <c r="L63" s="100"/>
    </row>
    <row r="64" spans="2:16">
      <c r="B64" s="94" t="s">
        <v>496</v>
      </c>
      <c r="C64" s="93" t="s">
        <v>451</v>
      </c>
      <c r="D64" s="93" t="s">
        <v>455</v>
      </c>
      <c r="E64" s="93" t="s">
        <v>456</v>
      </c>
      <c r="F64" s="93" t="s">
        <v>570</v>
      </c>
      <c r="G64" s="93" t="s">
        <v>647</v>
      </c>
      <c r="H64" s="93" t="s">
        <v>774</v>
      </c>
      <c r="I64" s="93" t="s">
        <v>775</v>
      </c>
      <c r="J64" s="93" t="s">
        <v>452</v>
      </c>
      <c r="K64" s="93" t="s">
        <v>453</v>
      </c>
      <c r="L64" s="93" t="s">
        <v>454</v>
      </c>
      <c r="M64" s="93" t="s">
        <v>569</v>
      </c>
      <c r="N64" s="93" t="s">
        <v>646</v>
      </c>
      <c r="O64" s="93" t="s">
        <v>772</v>
      </c>
      <c r="P64" s="93" t="s">
        <v>773</v>
      </c>
    </row>
    <row r="65" spans="2:16">
      <c r="B65" s="98" t="s">
        <v>447</v>
      </c>
      <c r="C65" s="118">
        <f>+C45</f>
        <v>0.19513043478260872</v>
      </c>
      <c r="D65" s="118">
        <f t="shared" ref="D65:F65" si="15">+D45</f>
        <v>0.16357142857142859</v>
      </c>
      <c r="E65" s="118">
        <f t="shared" si="15"/>
        <v>0.14325000000000002</v>
      </c>
      <c r="F65" s="118">
        <f t="shared" si="15"/>
        <v>0.17419999999999997</v>
      </c>
      <c r="G65" s="118">
        <f t="shared" ref="G65:I65" si="16">+G45</f>
        <v>0.17120000000000005</v>
      </c>
      <c r="H65" s="118">
        <f t="shared" si="16"/>
        <v>0.13137499999999999</v>
      </c>
      <c r="I65" s="118">
        <f t="shared" si="16"/>
        <v>0</v>
      </c>
      <c r="J65" s="118">
        <f>+J45</f>
        <v>0.15230434782608696</v>
      </c>
      <c r="K65" s="118">
        <f>+K45</f>
        <v>8.8666666666666644E-2</v>
      </c>
      <c r="L65" s="118">
        <f>+L45</f>
        <v>6.094999999999999E-2</v>
      </c>
      <c r="M65" s="118">
        <f>+M45</f>
        <v>8.1350000000000006E-2</v>
      </c>
      <c r="N65" s="118">
        <f t="shared" ref="N65:P65" si="17">+N45</f>
        <v>3.6266666666666669E-2</v>
      </c>
      <c r="O65" s="118">
        <f t="shared" si="17"/>
        <v>2.7375E-2</v>
      </c>
      <c r="P65" s="118">
        <f t="shared" si="17"/>
        <v>0</v>
      </c>
    </row>
    <row r="66" spans="2:16">
      <c r="B66" s="98" t="s">
        <v>448</v>
      </c>
      <c r="C66" s="118">
        <f>+C49</f>
        <v>0.21961538461538466</v>
      </c>
      <c r="D66" s="118">
        <f t="shared" ref="D66:F66" si="18">+D49</f>
        <v>0.17292307692307693</v>
      </c>
      <c r="E66" s="118">
        <f t="shared" si="18"/>
        <v>0.13083333333333333</v>
      </c>
      <c r="F66" s="118">
        <f t="shared" si="18"/>
        <v>0.1248181818181818</v>
      </c>
      <c r="G66" s="118">
        <f t="shared" ref="G66:I66" si="19">+G49</f>
        <v>0.11862499999999999</v>
      </c>
      <c r="H66" s="118">
        <f t="shared" si="19"/>
        <v>0.14033333333333334</v>
      </c>
      <c r="I66" s="118">
        <f t="shared" si="19"/>
        <v>0.159</v>
      </c>
      <c r="J66" s="118">
        <f>+J49</f>
        <v>0.14884615384615388</v>
      </c>
      <c r="K66" s="118">
        <f>+K49</f>
        <v>9.5999999999999988E-2</v>
      </c>
      <c r="L66" s="118">
        <f>+L49</f>
        <v>6.4000000000000001E-2</v>
      </c>
      <c r="M66" s="118">
        <f>+M49</f>
        <v>4.561538461538462E-2</v>
      </c>
      <c r="N66" s="118">
        <f t="shared" ref="N66:P66" si="20">+N49</f>
        <v>4.9000000000000002E-2</v>
      </c>
      <c r="O66" s="118">
        <f t="shared" si="20"/>
        <v>0.19</v>
      </c>
      <c r="P66" s="118">
        <f t="shared" si="20"/>
        <v>9.2999999999999999E-2</v>
      </c>
    </row>
    <row r="67" spans="2:16">
      <c r="H67"/>
      <c r="L67" s="100"/>
    </row>
  </sheetData>
  <autoFilter ref="A3:N40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0"/>
  <sheetViews>
    <sheetView workbookViewId="0">
      <selection activeCell="B4" sqref="B4:D39"/>
    </sheetView>
  </sheetViews>
  <sheetFormatPr baseColWidth="10" defaultRowHeight="15"/>
  <cols>
    <col min="2" max="2" width="55" bestFit="1" customWidth="1"/>
    <col min="4" max="4" width="11.42578125" style="94"/>
    <col min="8" max="8" width="11.42578125" style="100"/>
    <col min="10" max="11" width="11.42578125" style="135"/>
  </cols>
  <sheetData>
    <row r="2" spans="1:18">
      <c r="E2" s="160" t="s">
        <v>457</v>
      </c>
      <c r="F2" s="160"/>
      <c r="G2" s="160"/>
      <c r="H2" s="103"/>
      <c r="I2" s="160" t="s">
        <v>458</v>
      </c>
      <c r="J2" s="160"/>
      <c r="K2" s="160"/>
      <c r="L2" s="160"/>
      <c r="M2" s="160"/>
    </row>
    <row r="3" spans="1:18">
      <c r="A3" s="81" t="s">
        <v>439</v>
      </c>
      <c r="B3" s="81" t="s">
        <v>440</v>
      </c>
      <c r="C3" s="81" t="s">
        <v>446</v>
      </c>
      <c r="D3" s="94" t="s">
        <v>490</v>
      </c>
      <c r="E3" s="81" t="s">
        <v>459</v>
      </c>
      <c r="F3" s="81" t="s">
        <v>460</v>
      </c>
      <c r="G3" s="81" t="s">
        <v>461</v>
      </c>
      <c r="H3" s="100" t="s">
        <v>571</v>
      </c>
      <c r="I3" s="129" t="s">
        <v>648</v>
      </c>
      <c r="J3" s="135" t="s">
        <v>776</v>
      </c>
      <c r="K3" s="135" t="s">
        <v>777</v>
      </c>
      <c r="L3" s="81" t="s">
        <v>462</v>
      </c>
      <c r="M3" s="100" t="s">
        <v>463</v>
      </c>
      <c r="N3" s="100" t="s">
        <v>464</v>
      </c>
      <c r="O3" s="100" t="s">
        <v>572</v>
      </c>
      <c r="P3" s="129" t="s">
        <v>649</v>
      </c>
      <c r="Q3" s="135" t="s">
        <v>778</v>
      </c>
      <c r="R3" s="135" t="s">
        <v>779</v>
      </c>
    </row>
    <row r="4" spans="1:18">
      <c r="A4" s="81">
        <v>1</v>
      </c>
      <c r="B4" s="31" t="s">
        <v>577</v>
      </c>
      <c r="C4" s="13" t="s">
        <v>45</v>
      </c>
      <c r="D4" s="13" t="s">
        <v>44</v>
      </c>
      <c r="E4" s="33">
        <v>0.03</v>
      </c>
      <c r="F4" s="33">
        <v>1.7999999999999999E-2</v>
      </c>
      <c r="G4" s="33">
        <v>0.02</v>
      </c>
      <c r="H4" s="33">
        <v>3.5999999999999997E-2</v>
      </c>
      <c r="I4" s="33">
        <v>2.5999999999999999E-2</v>
      </c>
      <c r="J4" s="36">
        <v>2.8000000000000001E-2</v>
      </c>
      <c r="K4" s="36"/>
      <c r="L4" s="33">
        <v>3.0000000000000001E-3</v>
      </c>
      <c r="M4" s="33">
        <v>1E-3</v>
      </c>
      <c r="N4" s="33">
        <v>0</v>
      </c>
      <c r="O4" s="33">
        <v>8.0000000000000002E-3</v>
      </c>
      <c r="P4" s="33">
        <v>5.0000000000000001E-3</v>
      </c>
      <c r="Q4" s="36">
        <v>4.0000000000000001E-3</v>
      </c>
      <c r="R4" s="36"/>
    </row>
    <row r="5" spans="1:18" ht="30">
      <c r="A5" s="81">
        <f>+A4+1</f>
        <v>2</v>
      </c>
      <c r="B5" s="37" t="s">
        <v>54</v>
      </c>
      <c r="C5" s="13" t="s">
        <v>45</v>
      </c>
      <c r="D5" s="13" t="s">
        <v>58</v>
      </c>
      <c r="E5" s="33">
        <v>0.128</v>
      </c>
      <c r="F5" s="33">
        <v>8.3000000000000004E-2</v>
      </c>
      <c r="G5" s="33">
        <v>0.13900000000000001</v>
      </c>
      <c r="H5" s="33">
        <v>8.8999999999999996E-2</v>
      </c>
      <c r="I5" s="33"/>
      <c r="J5" s="8"/>
      <c r="K5" s="8"/>
      <c r="L5" s="33">
        <v>4.1000000000000002E-2</v>
      </c>
      <c r="M5" s="33">
        <v>9.8000000000000004E-2</v>
      </c>
      <c r="N5" s="33">
        <v>0.11799999999999999</v>
      </c>
      <c r="O5" s="33">
        <v>3.6999999999999998E-2</v>
      </c>
      <c r="P5" s="33"/>
      <c r="Q5" s="8"/>
      <c r="R5" s="8"/>
    </row>
    <row r="6" spans="1:18">
      <c r="A6" s="81">
        <f t="shared" ref="A6:A39" si="0">+A5+1</f>
        <v>3</v>
      </c>
      <c r="B6" s="41" t="s">
        <v>619</v>
      </c>
      <c r="C6" s="13" t="s">
        <v>73</v>
      </c>
      <c r="D6" s="13" t="s">
        <v>72</v>
      </c>
      <c r="E6" s="33">
        <v>0</v>
      </c>
      <c r="F6" s="33">
        <v>5.0000000000000001E-3</v>
      </c>
      <c r="G6" s="33">
        <v>3.0000000000000001E-3</v>
      </c>
      <c r="H6" s="33">
        <v>2.7E-2</v>
      </c>
      <c r="I6" s="33">
        <v>8.9999999999999993E-3</v>
      </c>
      <c r="J6" s="36">
        <v>4.0000000000000001E-3</v>
      </c>
      <c r="K6" s="36">
        <v>1.6E-2</v>
      </c>
      <c r="L6" s="33">
        <v>1E-3</v>
      </c>
      <c r="M6" s="35">
        <v>0</v>
      </c>
      <c r="N6" s="35">
        <v>0</v>
      </c>
      <c r="O6" s="35">
        <v>0</v>
      </c>
      <c r="P6" s="35">
        <v>0</v>
      </c>
      <c r="Q6" s="36">
        <v>1E-3</v>
      </c>
      <c r="R6" s="36">
        <v>4.0000000000000001E-3</v>
      </c>
    </row>
    <row r="7" spans="1:18">
      <c r="A7" s="81">
        <f t="shared" si="0"/>
        <v>4</v>
      </c>
      <c r="B7" s="42" t="s">
        <v>580</v>
      </c>
      <c r="C7" s="13" t="s">
        <v>73</v>
      </c>
      <c r="D7" s="13" t="s">
        <v>88</v>
      </c>
      <c r="E7" s="33">
        <v>4.0000000000000001E-3</v>
      </c>
      <c r="F7" s="33">
        <v>9.1999999999999998E-2</v>
      </c>
      <c r="G7" s="33">
        <v>9.5000000000000001E-2</v>
      </c>
      <c r="H7" s="33">
        <v>7.0999999999999994E-2</v>
      </c>
      <c r="I7" s="33">
        <v>0.183</v>
      </c>
      <c r="J7" s="36">
        <v>0.14399999999999999</v>
      </c>
      <c r="K7" s="36"/>
      <c r="L7" s="35">
        <v>0</v>
      </c>
      <c r="M7" s="33">
        <v>1.2999999999999999E-2</v>
      </c>
      <c r="N7" s="33">
        <v>2E-3</v>
      </c>
      <c r="O7" s="33">
        <v>1.7000000000000001E-2</v>
      </c>
      <c r="P7" s="33">
        <v>1.7999999999999999E-2</v>
      </c>
      <c r="Q7" s="36">
        <v>1.2999999999999999E-2</v>
      </c>
      <c r="R7" s="36"/>
    </row>
    <row r="8" spans="1:18">
      <c r="A8" s="81">
        <f t="shared" si="0"/>
        <v>5</v>
      </c>
      <c r="B8" s="42" t="s">
        <v>510</v>
      </c>
      <c r="C8" s="13" t="s">
        <v>45</v>
      </c>
      <c r="D8" s="13" t="s">
        <v>99</v>
      </c>
      <c r="E8" s="35">
        <v>0.1</v>
      </c>
      <c r="F8" s="33">
        <v>5.0999999999999997E-2</v>
      </c>
      <c r="G8" s="33">
        <v>5.1999999999999998E-2</v>
      </c>
      <c r="H8" s="33">
        <v>6.2E-2</v>
      </c>
      <c r="I8" s="33">
        <v>1.4999999999999999E-2</v>
      </c>
      <c r="J8" s="8"/>
      <c r="K8" s="8"/>
      <c r="L8" s="33">
        <v>2E-3</v>
      </c>
      <c r="M8" s="33">
        <v>1.0999999999999999E-2</v>
      </c>
      <c r="N8" s="33">
        <v>1.2999999999999999E-2</v>
      </c>
      <c r="O8" s="33">
        <v>3.0000000000000001E-3</v>
      </c>
      <c r="P8" s="33">
        <v>3.0000000000000001E-3</v>
      </c>
      <c r="Q8" s="8"/>
      <c r="R8" s="8"/>
    </row>
    <row r="9" spans="1:18">
      <c r="A9" s="81">
        <f t="shared" si="0"/>
        <v>6</v>
      </c>
      <c r="B9" s="31" t="s">
        <v>622</v>
      </c>
      <c r="C9" s="13" t="s">
        <v>45</v>
      </c>
      <c r="D9" s="13" t="s">
        <v>72</v>
      </c>
      <c r="E9" s="35">
        <v>0</v>
      </c>
      <c r="F9" s="33">
        <v>1E-3</v>
      </c>
      <c r="G9" s="33">
        <v>2E-3</v>
      </c>
      <c r="H9" s="33">
        <v>7.0000000000000001E-3</v>
      </c>
      <c r="I9" s="130">
        <v>3.2000000000000001E-2</v>
      </c>
      <c r="J9" s="36">
        <v>2.1999999999999999E-2</v>
      </c>
      <c r="K9" s="36"/>
      <c r="L9" s="35">
        <v>0</v>
      </c>
      <c r="M9" s="35">
        <v>0</v>
      </c>
      <c r="N9" s="35">
        <v>0</v>
      </c>
      <c r="O9" s="33">
        <v>1E-3</v>
      </c>
      <c r="P9" s="28">
        <v>0.3</v>
      </c>
      <c r="Q9" s="36">
        <v>2E-3</v>
      </c>
      <c r="R9" s="36"/>
    </row>
    <row r="10" spans="1:18">
      <c r="A10" s="81">
        <f t="shared" si="0"/>
        <v>7</v>
      </c>
      <c r="B10" s="45" t="s">
        <v>624</v>
      </c>
      <c r="C10" s="13" t="s">
        <v>73</v>
      </c>
      <c r="D10" s="13" t="s">
        <v>88</v>
      </c>
      <c r="E10" s="33">
        <v>1.6E-2</v>
      </c>
      <c r="F10" s="33">
        <v>2E-3</v>
      </c>
      <c r="G10" s="33">
        <v>8.0000000000000002E-3</v>
      </c>
      <c r="H10" s="33">
        <v>1.0999999999999999E-2</v>
      </c>
      <c r="I10" s="33">
        <v>2.1000000000000001E-2</v>
      </c>
      <c r="J10" s="36">
        <v>4.4999999999999998E-2</v>
      </c>
      <c r="K10" s="36"/>
      <c r="L10" s="33">
        <v>5.0000000000000001E-3</v>
      </c>
      <c r="M10" s="33">
        <v>0</v>
      </c>
      <c r="N10" s="33">
        <v>0</v>
      </c>
      <c r="O10" s="33">
        <v>2E-3</v>
      </c>
      <c r="P10" s="33">
        <v>0</v>
      </c>
      <c r="Q10" s="36">
        <v>2E-3</v>
      </c>
      <c r="R10" s="36"/>
    </row>
    <row r="11" spans="1:18">
      <c r="A11" s="81">
        <f t="shared" si="0"/>
        <v>8</v>
      </c>
      <c r="B11" s="31" t="s">
        <v>626</v>
      </c>
      <c r="C11" s="13" t="s">
        <v>45</v>
      </c>
      <c r="D11" s="13" t="s">
        <v>128</v>
      </c>
      <c r="E11" s="33">
        <v>3.0000000000000001E-3</v>
      </c>
      <c r="F11" s="33">
        <v>1E-3</v>
      </c>
      <c r="G11" s="33">
        <v>8.0000000000000002E-3</v>
      </c>
      <c r="H11" s="33">
        <v>0.121</v>
      </c>
      <c r="I11" s="33">
        <v>6.0999999999999999E-2</v>
      </c>
      <c r="J11" s="36">
        <v>3.5999999999999997E-2</v>
      </c>
      <c r="K11" s="36"/>
      <c r="L11" s="33">
        <v>1E-3</v>
      </c>
      <c r="M11" s="33">
        <v>0</v>
      </c>
      <c r="N11" s="35">
        <v>0</v>
      </c>
      <c r="O11" s="33">
        <v>1.9E-2</v>
      </c>
      <c r="P11" s="33">
        <v>7.0000000000000001E-3</v>
      </c>
      <c r="Q11" s="36">
        <v>5.0000000000000001E-3</v>
      </c>
      <c r="R11" s="36"/>
    </row>
    <row r="12" spans="1:18">
      <c r="A12" s="81">
        <f t="shared" si="0"/>
        <v>9</v>
      </c>
      <c r="B12" s="48" t="s">
        <v>629</v>
      </c>
      <c r="C12" s="13" t="s">
        <v>45</v>
      </c>
      <c r="D12" s="13" t="s">
        <v>72</v>
      </c>
      <c r="E12" s="33">
        <v>4.3999999999999997E-2</v>
      </c>
      <c r="F12" s="33">
        <v>8.5999999999999993E-2</v>
      </c>
      <c r="G12" s="33">
        <v>3.1E-2</v>
      </c>
      <c r="H12" s="33">
        <v>2.1000000000000001E-2</v>
      </c>
      <c r="I12" s="33">
        <v>2.3E-2</v>
      </c>
      <c r="J12" s="36">
        <v>1.7000000000000001E-2</v>
      </c>
      <c r="K12" s="36"/>
      <c r="L12" s="33">
        <v>5.0000000000000001E-3</v>
      </c>
      <c r="M12" s="33">
        <v>6.0000000000000001E-3</v>
      </c>
      <c r="N12" s="33">
        <v>2E-3</v>
      </c>
      <c r="O12" s="33">
        <v>1E-3</v>
      </c>
      <c r="P12" s="33">
        <v>1E-3</v>
      </c>
      <c r="Q12" s="78">
        <v>0</v>
      </c>
      <c r="R12" s="78"/>
    </row>
    <row r="13" spans="1:18">
      <c r="A13" s="81">
        <f t="shared" si="0"/>
        <v>10</v>
      </c>
      <c r="B13" s="42" t="s">
        <v>525</v>
      </c>
      <c r="C13" s="13" t="s">
        <v>45</v>
      </c>
      <c r="D13" s="13" t="s">
        <v>150</v>
      </c>
      <c r="E13" s="33">
        <v>2.5000000000000001E-2</v>
      </c>
      <c r="F13" s="28">
        <v>0</v>
      </c>
      <c r="G13" s="33">
        <v>1.6E-2</v>
      </c>
      <c r="H13" s="33">
        <v>3.0000000000000001E-3</v>
      </c>
      <c r="I13" s="33">
        <v>1E-3</v>
      </c>
      <c r="J13" s="33">
        <v>1E-3</v>
      </c>
      <c r="K13" s="33"/>
      <c r="L13" s="35">
        <v>0</v>
      </c>
      <c r="M13" s="33">
        <v>1E-3</v>
      </c>
      <c r="N13" s="33">
        <v>1E-3</v>
      </c>
      <c r="O13" s="33">
        <v>0</v>
      </c>
      <c r="P13" s="33">
        <v>0</v>
      </c>
      <c r="Q13" s="33">
        <v>0</v>
      </c>
      <c r="R13" s="33"/>
    </row>
    <row r="14" spans="1:18">
      <c r="A14" s="81">
        <f t="shared" si="0"/>
        <v>11</v>
      </c>
      <c r="B14" s="42" t="s">
        <v>631</v>
      </c>
      <c r="C14" s="13" t="s">
        <v>45</v>
      </c>
      <c r="D14" s="13" t="s">
        <v>128</v>
      </c>
      <c r="E14" s="33">
        <v>3.9E-2</v>
      </c>
      <c r="F14" s="33">
        <v>8.0000000000000002E-3</v>
      </c>
      <c r="G14" s="33">
        <v>2.3E-2</v>
      </c>
      <c r="H14" s="33">
        <v>1.2E-2</v>
      </c>
      <c r="I14" s="33">
        <v>0.01</v>
      </c>
      <c r="J14" s="33">
        <v>0.01</v>
      </c>
      <c r="K14" s="33"/>
      <c r="L14" s="35">
        <v>0</v>
      </c>
      <c r="M14" s="33">
        <v>2E-3</v>
      </c>
      <c r="N14" s="33">
        <v>1E-3</v>
      </c>
      <c r="O14" s="33">
        <v>4.0000000000000001E-3</v>
      </c>
      <c r="P14" s="33">
        <v>2E-3</v>
      </c>
      <c r="Q14" s="33">
        <v>0</v>
      </c>
      <c r="R14" s="33"/>
    </row>
    <row r="15" spans="1:18">
      <c r="A15" s="81">
        <f t="shared" si="0"/>
        <v>12</v>
      </c>
      <c r="B15" s="31" t="s">
        <v>529</v>
      </c>
      <c r="C15" s="13" t="s">
        <v>45</v>
      </c>
      <c r="D15" s="13" t="s">
        <v>128</v>
      </c>
      <c r="E15" s="33">
        <v>6.4000000000000001E-2</v>
      </c>
      <c r="F15" s="33">
        <v>6.9000000000000006E-2</v>
      </c>
      <c r="G15" s="28">
        <v>0</v>
      </c>
      <c r="H15" s="33">
        <v>8.8999999999999996E-2</v>
      </c>
      <c r="I15" s="33">
        <v>7.0000000000000007E-2</v>
      </c>
      <c r="J15" s="13"/>
      <c r="K15" s="13"/>
      <c r="L15" s="33">
        <v>3.7999999999999999E-2</v>
      </c>
      <c r="M15" s="33">
        <v>1E-3</v>
      </c>
      <c r="N15" s="28">
        <v>0</v>
      </c>
      <c r="O15" s="33">
        <v>6.0000000000000001E-3</v>
      </c>
      <c r="P15" s="33">
        <v>2E-3</v>
      </c>
      <c r="Q15" s="13"/>
      <c r="R15" s="13"/>
    </row>
    <row r="16" spans="1:18">
      <c r="A16" s="81">
        <f t="shared" si="0"/>
        <v>13</v>
      </c>
      <c r="B16" s="50" t="s">
        <v>632</v>
      </c>
      <c r="C16" s="13" t="s">
        <v>45</v>
      </c>
      <c r="D16" s="13" t="s">
        <v>88</v>
      </c>
      <c r="E16" s="35">
        <v>0</v>
      </c>
      <c r="F16" s="35">
        <v>0</v>
      </c>
      <c r="G16" s="35">
        <v>0</v>
      </c>
      <c r="H16" s="33">
        <v>8.6999999999999994E-2</v>
      </c>
      <c r="I16" s="33">
        <v>7.0000000000000001E-3</v>
      </c>
      <c r="J16" s="33">
        <v>0.01</v>
      </c>
      <c r="K16" s="33"/>
      <c r="L16" s="35">
        <v>0</v>
      </c>
      <c r="M16" s="33">
        <v>8.0000000000000002E-3</v>
      </c>
      <c r="N16" s="35">
        <v>0</v>
      </c>
      <c r="O16" s="35">
        <v>0.06</v>
      </c>
      <c r="P16" s="33">
        <v>4.0000000000000001E-3</v>
      </c>
      <c r="Q16" s="33">
        <v>2E-3</v>
      </c>
      <c r="R16" s="33"/>
    </row>
    <row r="17" spans="1:18">
      <c r="A17" s="81">
        <f t="shared" si="0"/>
        <v>14</v>
      </c>
      <c r="B17" s="31" t="s">
        <v>584</v>
      </c>
      <c r="C17" s="13" t="s">
        <v>73</v>
      </c>
      <c r="D17" s="28" t="s">
        <v>72</v>
      </c>
      <c r="E17" s="35">
        <v>0.02</v>
      </c>
      <c r="F17" s="33">
        <v>4.0000000000000001E-3</v>
      </c>
      <c r="G17" s="33">
        <v>6.0000000000000001E-3</v>
      </c>
      <c r="H17" s="33">
        <v>2E-3</v>
      </c>
      <c r="I17" s="33">
        <v>2E-3</v>
      </c>
      <c r="J17" s="13"/>
      <c r="K17" s="13"/>
      <c r="L17" s="33">
        <v>1E-3</v>
      </c>
      <c r="M17" s="35">
        <v>0</v>
      </c>
      <c r="N17" s="35">
        <v>0</v>
      </c>
      <c r="O17" s="33">
        <v>8.0000000000000002E-3</v>
      </c>
      <c r="P17" s="33">
        <v>0</v>
      </c>
      <c r="Q17" s="13"/>
      <c r="R17" s="13"/>
    </row>
    <row r="18" spans="1:18">
      <c r="A18" s="81">
        <f t="shared" si="0"/>
        <v>15</v>
      </c>
      <c r="B18" s="31" t="s">
        <v>636</v>
      </c>
      <c r="C18" s="13" t="s">
        <v>45</v>
      </c>
      <c r="D18" s="28" t="s">
        <v>196</v>
      </c>
      <c r="E18" s="33">
        <v>5.8999999999999997E-2</v>
      </c>
      <c r="F18" s="33">
        <v>3.1E-2</v>
      </c>
      <c r="G18" s="33">
        <v>4.2000000000000003E-2</v>
      </c>
      <c r="H18" s="33">
        <v>1.7000000000000001E-2</v>
      </c>
      <c r="I18" s="13"/>
      <c r="J18" s="13"/>
      <c r="K18" s="13"/>
      <c r="L18" s="35">
        <v>0</v>
      </c>
      <c r="M18" s="33">
        <v>2E-3</v>
      </c>
      <c r="N18" s="33">
        <v>1.0999999999999999E-2</v>
      </c>
      <c r="O18" s="33">
        <v>1.6E-2</v>
      </c>
      <c r="P18" s="13"/>
      <c r="Q18" s="13"/>
      <c r="R18" s="13"/>
    </row>
    <row r="19" spans="1:18">
      <c r="A19" s="81">
        <f t="shared" si="0"/>
        <v>16</v>
      </c>
      <c r="B19" s="31" t="s">
        <v>586</v>
      </c>
      <c r="C19" s="24" t="s">
        <v>45</v>
      </c>
      <c r="D19" s="24" t="s">
        <v>205</v>
      </c>
      <c r="E19" s="33">
        <v>6.3E-2</v>
      </c>
      <c r="F19" s="33">
        <v>5.3999999999999999E-2</v>
      </c>
      <c r="G19" s="35">
        <v>0.08</v>
      </c>
      <c r="H19" s="33">
        <v>0.125</v>
      </c>
      <c r="I19" s="35">
        <v>0.1</v>
      </c>
      <c r="J19" s="13"/>
      <c r="K19" s="13"/>
      <c r="L19" s="33">
        <v>5.0000000000000001E-3</v>
      </c>
      <c r="M19" s="33">
        <v>1.0999999999999999E-2</v>
      </c>
      <c r="N19" s="33">
        <v>1.4999999999999999E-2</v>
      </c>
      <c r="O19" s="33">
        <v>4.5999999999999999E-2</v>
      </c>
      <c r="P19" s="35">
        <v>0.02</v>
      </c>
      <c r="Q19" s="13"/>
      <c r="R19" s="13"/>
    </row>
    <row r="20" spans="1:18">
      <c r="A20" s="81">
        <f t="shared" si="0"/>
        <v>17</v>
      </c>
      <c r="B20" s="41" t="s">
        <v>589</v>
      </c>
      <c r="C20" s="24" t="s">
        <v>225</v>
      </c>
      <c r="D20" s="24" t="s">
        <v>58</v>
      </c>
      <c r="E20" s="36">
        <v>1.2999999999999999E-2</v>
      </c>
      <c r="F20" s="36">
        <v>2.9000000000000001E-2</v>
      </c>
      <c r="G20" s="36">
        <v>2.9000000000000001E-2</v>
      </c>
      <c r="H20" s="36">
        <v>2.5000000000000001E-2</v>
      </c>
      <c r="I20" s="36">
        <v>4.8000000000000001E-2</v>
      </c>
      <c r="J20" s="8"/>
      <c r="K20" s="8"/>
      <c r="L20" s="40">
        <v>0</v>
      </c>
      <c r="M20" s="36">
        <v>2.3E-2</v>
      </c>
      <c r="N20" s="36">
        <v>2E-3</v>
      </c>
      <c r="O20" s="36">
        <v>5.0000000000000001E-3</v>
      </c>
      <c r="P20" s="36">
        <v>5.0000000000000001E-3</v>
      </c>
      <c r="Q20" s="8"/>
      <c r="R20" s="8"/>
    </row>
    <row r="21" spans="1:18">
      <c r="A21" s="81">
        <f t="shared" si="0"/>
        <v>18</v>
      </c>
      <c r="B21" s="42" t="s">
        <v>592</v>
      </c>
      <c r="C21" s="24" t="s">
        <v>45</v>
      </c>
      <c r="D21" s="24" t="s">
        <v>58</v>
      </c>
      <c r="E21" s="36">
        <v>2.3E-2</v>
      </c>
      <c r="F21" s="36">
        <v>4.2000000000000003E-2</v>
      </c>
      <c r="G21" s="36">
        <v>4.9000000000000002E-2</v>
      </c>
      <c r="H21" s="36">
        <v>1.9E-2</v>
      </c>
      <c r="I21" s="36">
        <v>4.3999999999999997E-2</v>
      </c>
      <c r="J21" s="8"/>
      <c r="K21" s="8"/>
      <c r="L21" s="36">
        <v>1E-3</v>
      </c>
      <c r="M21" s="36">
        <v>3.2000000000000001E-2</v>
      </c>
      <c r="N21" s="36">
        <v>1E-3</v>
      </c>
      <c r="O21" s="36">
        <v>0</v>
      </c>
      <c r="P21" s="36">
        <v>0</v>
      </c>
      <c r="Q21" s="8"/>
      <c r="R21" s="8"/>
    </row>
    <row r="22" spans="1:18">
      <c r="A22" s="81">
        <f t="shared" si="0"/>
        <v>19</v>
      </c>
      <c r="B22" s="42" t="s">
        <v>594</v>
      </c>
      <c r="C22" s="24" t="s">
        <v>225</v>
      </c>
      <c r="D22" s="24" t="s">
        <v>205</v>
      </c>
      <c r="E22" s="36">
        <v>6.0999999999999999E-2</v>
      </c>
      <c r="F22" s="36">
        <v>5.6000000000000001E-2</v>
      </c>
      <c r="G22" s="36">
        <v>7.6999999999999999E-2</v>
      </c>
      <c r="H22" s="36">
        <v>6.7000000000000004E-2</v>
      </c>
      <c r="I22" s="8"/>
      <c r="J22" s="8"/>
      <c r="K22" s="8"/>
      <c r="L22" s="36">
        <v>1.4999999999999999E-2</v>
      </c>
      <c r="M22" s="36">
        <v>2.4E-2</v>
      </c>
      <c r="N22" s="36">
        <v>6.0000000000000001E-3</v>
      </c>
      <c r="O22" s="36">
        <v>5.2999999999999999E-2</v>
      </c>
      <c r="P22" s="8"/>
      <c r="Q22" s="8"/>
      <c r="R22" s="8"/>
    </row>
    <row r="23" spans="1:18">
      <c r="A23" s="81">
        <f t="shared" si="0"/>
        <v>20</v>
      </c>
      <c r="B23" s="42" t="s">
        <v>597</v>
      </c>
      <c r="C23" s="24" t="s">
        <v>225</v>
      </c>
      <c r="D23" s="24" t="s">
        <v>196</v>
      </c>
      <c r="E23" s="36">
        <v>0.14899999999999999</v>
      </c>
      <c r="F23" s="36">
        <v>4.4999999999999998E-2</v>
      </c>
      <c r="G23" s="36">
        <v>6.8000000000000005E-2</v>
      </c>
      <c r="H23" s="36">
        <v>3.5000000000000003E-2</v>
      </c>
      <c r="I23" s="36">
        <v>5.0999999999999997E-2</v>
      </c>
      <c r="J23" s="8"/>
      <c r="K23" s="8"/>
      <c r="L23" s="36">
        <v>5.8999999999999997E-2</v>
      </c>
      <c r="M23" s="36">
        <v>2.5999999999999999E-2</v>
      </c>
      <c r="N23" s="36">
        <v>8.0000000000000002E-3</v>
      </c>
      <c r="O23" s="40">
        <v>0</v>
      </c>
      <c r="P23" s="36">
        <v>1.2E-2</v>
      </c>
      <c r="Q23" s="8"/>
      <c r="R23" s="8"/>
    </row>
    <row r="24" spans="1:18">
      <c r="A24" s="81">
        <f t="shared" si="0"/>
        <v>21</v>
      </c>
      <c r="B24" s="42" t="s">
        <v>599</v>
      </c>
      <c r="C24" s="24" t="s">
        <v>225</v>
      </c>
      <c r="D24" s="24" t="s">
        <v>150</v>
      </c>
      <c r="E24" s="40">
        <v>0.09</v>
      </c>
      <c r="F24" s="36">
        <v>1.9E-2</v>
      </c>
      <c r="G24" s="36">
        <v>2.8000000000000001E-2</v>
      </c>
      <c r="H24" s="36">
        <v>4.2999999999999997E-2</v>
      </c>
      <c r="I24" s="36">
        <v>1.2999999999999999E-2</v>
      </c>
      <c r="J24" s="8"/>
      <c r="K24" s="8"/>
      <c r="L24" s="40">
        <v>0.01</v>
      </c>
      <c r="M24" s="36">
        <v>1E-3</v>
      </c>
      <c r="N24" s="36">
        <v>1E-3</v>
      </c>
      <c r="O24" s="36">
        <v>5.0000000000000001E-3</v>
      </c>
      <c r="P24" s="36">
        <v>2E-3</v>
      </c>
      <c r="Q24" s="8"/>
      <c r="R24" s="8"/>
    </row>
    <row r="25" spans="1:18">
      <c r="A25" s="81">
        <f t="shared" si="0"/>
        <v>22</v>
      </c>
      <c r="B25" s="42" t="s">
        <v>601</v>
      </c>
      <c r="C25" s="24" t="s">
        <v>45</v>
      </c>
      <c r="D25" s="24" t="s">
        <v>150</v>
      </c>
      <c r="E25" s="40">
        <v>0</v>
      </c>
      <c r="F25" s="36">
        <v>7.0000000000000001E-3</v>
      </c>
      <c r="G25" s="40">
        <v>0</v>
      </c>
      <c r="H25" s="40">
        <v>0</v>
      </c>
      <c r="I25" s="36">
        <v>2.5999999999999999E-2</v>
      </c>
      <c r="J25" s="8"/>
      <c r="K25" s="8"/>
      <c r="L25" s="40">
        <v>0</v>
      </c>
      <c r="M25" s="40">
        <v>0</v>
      </c>
      <c r="N25" s="40">
        <v>0</v>
      </c>
      <c r="O25" s="40">
        <v>0</v>
      </c>
      <c r="P25" s="36">
        <v>4.0000000000000001E-3</v>
      </c>
      <c r="Q25" s="8"/>
      <c r="R25" s="8"/>
    </row>
    <row r="26" spans="1:18">
      <c r="A26" s="81">
        <f t="shared" si="0"/>
        <v>23</v>
      </c>
      <c r="B26" s="42" t="s">
        <v>537</v>
      </c>
      <c r="C26" s="24" t="s">
        <v>45</v>
      </c>
      <c r="D26" s="24" t="s">
        <v>72</v>
      </c>
      <c r="E26" s="36">
        <v>2.8000000000000001E-2</v>
      </c>
      <c r="F26" s="40">
        <v>0.01</v>
      </c>
      <c r="G26" s="36">
        <v>5.2999999999999999E-2</v>
      </c>
      <c r="H26" s="36">
        <v>5.2999999999999999E-2</v>
      </c>
      <c r="I26" s="36">
        <v>1.9E-2</v>
      </c>
      <c r="J26" s="8"/>
      <c r="K26" s="8"/>
      <c r="L26" s="40">
        <v>0</v>
      </c>
      <c r="M26" s="40">
        <v>0</v>
      </c>
      <c r="N26" s="36">
        <v>1.4E-2</v>
      </c>
      <c r="O26" s="36">
        <v>3.0000000000000001E-3</v>
      </c>
      <c r="P26" s="36">
        <v>2E-3</v>
      </c>
      <c r="Q26" s="8"/>
      <c r="R26" s="8"/>
    </row>
    <row r="27" spans="1:18">
      <c r="A27" s="81">
        <f t="shared" si="0"/>
        <v>24</v>
      </c>
      <c r="B27" s="42" t="s">
        <v>540</v>
      </c>
      <c r="C27" s="24" t="s">
        <v>45</v>
      </c>
      <c r="D27" s="24" t="s">
        <v>128</v>
      </c>
      <c r="E27" s="36">
        <v>4.0000000000000001E-3</v>
      </c>
      <c r="F27" s="40">
        <v>0.04</v>
      </c>
      <c r="G27" s="40">
        <v>0.01</v>
      </c>
      <c r="H27" s="40">
        <v>0.01</v>
      </c>
      <c r="I27" s="8"/>
      <c r="J27" s="8"/>
      <c r="K27" s="8"/>
      <c r="L27" s="36">
        <v>0.191</v>
      </c>
      <c r="M27" s="40">
        <v>0</v>
      </c>
      <c r="N27" s="40">
        <v>0</v>
      </c>
      <c r="O27" s="36">
        <v>0</v>
      </c>
      <c r="P27" s="8"/>
      <c r="Q27" s="8"/>
      <c r="R27" s="8"/>
    </row>
    <row r="28" spans="1:18">
      <c r="A28" s="81">
        <f t="shared" si="0"/>
        <v>25</v>
      </c>
      <c r="B28" s="42" t="s">
        <v>602</v>
      </c>
      <c r="C28" s="24" t="s">
        <v>225</v>
      </c>
      <c r="D28" s="24" t="s">
        <v>88</v>
      </c>
      <c r="E28" s="36">
        <v>0</v>
      </c>
      <c r="F28" s="36">
        <v>2E-3</v>
      </c>
      <c r="G28" s="36">
        <v>4.0000000000000001E-3</v>
      </c>
      <c r="H28" s="36">
        <v>1E-3</v>
      </c>
      <c r="I28" s="36">
        <v>7.0000000000000001E-3</v>
      </c>
      <c r="J28" s="8"/>
      <c r="K28" s="8"/>
      <c r="L28" s="40">
        <v>0</v>
      </c>
      <c r="M28" s="40">
        <v>0</v>
      </c>
      <c r="N28" s="40">
        <v>0</v>
      </c>
      <c r="O28" s="40">
        <v>0</v>
      </c>
      <c r="P28" s="36">
        <v>2E-3</v>
      </c>
      <c r="Q28" s="8"/>
      <c r="R28" s="8"/>
    </row>
    <row r="29" spans="1:18">
      <c r="A29" s="81">
        <f t="shared" si="0"/>
        <v>26</v>
      </c>
      <c r="B29" s="42" t="s">
        <v>606</v>
      </c>
      <c r="C29" s="24" t="s">
        <v>45</v>
      </c>
      <c r="D29" s="24" t="s">
        <v>128</v>
      </c>
      <c r="E29" s="36">
        <v>1.2999999999999999E-2</v>
      </c>
      <c r="F29" s="36">
        <v>6.0000000000000001E-3</v>
      </c>
      <c r="G29" s="36">
        <v>3.5999999999999997E-2</v>
      </c>
      <c r="H29" s="36">
        <v>1.2999999999999999E-2</v>
      </c>
      <c r="I29" s="36">
        <v>6.5000000000000002E-2</v>
      </c>
      <c r="J29" s="36">
        <v>3.2000000000000001E-2</v>
      </c>
      <c r="K29" s="36"/>
      <c r="L29" s="36">
        <v>3.0000000000000001E-3</v>
      </c>
      <c r="M29" s="40">
        <v>0</v>
      </c>
      <c r="N29" s="36">
        <v>1E-3</v>
      </c>
      <c r="O29" s="36">
        <v>0</v>
      </c>
      <c r="P29" s="36">
        <v>1.4999999999999999E-2</v>
      </c>
      <c r="Q29" s="36">
        <v>2E-3</v>
      </c>
      <c r="R29" s="36"/>
    </row>
    <row r="30" spans="1:18">
      <c r="A30" s="81">
        <f t="shared" si="0"/>
        <v>27</v>
      </c>
      <c r="B30" s="42" t="s">
        <v>637</v>
      </c>
      <c r="C30" s="24" t="s">
        <v>45</v>
      </c>
      <c r="D30" s="24" t="s">
        <v>314</v>
      </c>
      <c r="E30" s="36">
        <v>1.2999999999999999E-2</v>
      </c>
      <c r="F30" s="36">
        <v>1.4999999999999999E-2</v>
      </c>
      <c r="G30" s="36">
        <v>1.7000000000000001E-2</v>
      </c>
      <c r="H30" s="36">
        <v>1.7000000000000001E-2</v>
      </c>
      <c r="I30" s="36">
        <v>2.9000000000000001E-2</v>
      </c>
      <c r="J30" s="8"/>
      <c r="K30" s="8"/>
      <c r="L30" s="40">
        <v>0.01</v>
      </c>
      <c r="M30" s="36">
        <v>1E-3</v>
      </c>
      <c r="N30" s="36">
        <v>0</v>
      </c>
      <c r="O30" s="36">
        <v>3.0000000000000001E-3</v>
      </c>
      <c r="P30" s="36">
        <v>0</v>
      </c>
      <c r="Q30" s="8"/>
      <c r="R30" s="8"/>
    </row>
    <row r="31" spans="1:18">
      <c r="A31" s="81">
        <f t="shared" si="0"/>
        <v>28</v>
      </c>
      <c r="B31" s="42" t="s">
        <v>552</v>
      </c>
      <c r="C31" s="24" t="s">
        <v>45</v>
      </c>
      <c r="D31" s="24" t="s">
        <v>323</v>
      </c>
      <c r="E31" s="36">
        <v>3.0000000000000001E-3</v>
      </c>
      <c r="F31" s="40">
        <v>0</v>
      </c>
      <c r="G31" s="36">
        <v>0</v>
      </c>
      <c r="H31" s="36">
        <v>0</v>
      </c>
      <c r="I31" s="8"/>
      <c r="J31" s="8"/>
      <c r="K31" s="8"/>
      <c r="L31" s="40">
        <v>0</v>
      </c>
      <c r="M31" s="40">
        <v>0</v>
      </c>
      <c r="N31" s="36">
        <v>0</v>
      </c>
      <c r="O31" s="36">
        <v>0</v>
      </c>
      <c r="P31" s="8"/>
      <c r="Q31" s="8"/>
      <c r="R31" s="8"/>
    </row>
    <row r="32" spans="1:18">
      <c r="A32" s="81">
        <f t="shared" si="0"/>
        <v>29</v>
      </c>
      <c r="B32" s="42" t="s">
        <v>607</v>
      </c>
      <c r="C32" s="24" t="s">
        <v>332</v>
      </c>
      <c r="D32" s="24" t="s">
        <v>88</v>
      </c>
      <c r="E32" s="36">
        <v>2.8000000000000001E-2</v>
      </c>
      <c r="F32" s="36">
        <v>6.2E-2</v>
      </c>
      <c r="G32" s="36">
        <v>7.8E-2</v>
      </c>
      <c r="H32" s="36">
        <v>9.0999999999999998E-2</v>
      </c>
      <c r="I32" s="8"/>
      <c r="J32" s="8"/>
      <c r="K32" s="8"/>
      <c r="L32" s="36">
        <v>5.0000000000000001E-3</v>
      </c>
      <c r="M32" s="36">
        <v>8.9999999999999993E-3</v>
      </c>
      <c r="N32" s="36">
        <v>4.3999999999999997E-2</v>
      </c>
      <c r="O32" s="36">
        <v>2.3E-2</v>
      </c>
      <c r="P32" s="8"/>
      <c r="Q32" s="8"/>
      <c r="R32" s="8"/>
    </row>
    <row r="33" spans="1:18">
      <c r="A33" s="81">
        <f t="shared" si="0"/>
        <v>30</v>
      </c>
      <c r="B33" s="42" t="s">
        <v>611</v>
      </c>
      <c r="C33" s="24" t="s">
        <v>73</v>
      </c>
      <c r="D33" s="24" t="s">
        <v>58</v>
      </c>
      <c r="E33" s="40">
        <v>0.02</v>
      </c>
      <c r="F33" s="36">
        <v>1.4999999999999999E-2</v>
      </c>
      <c r="G33" s="36">
        <v>2E-3</v>
      </c>
      <c r="H33" s="36">
        <v>0.01</v>
      </c>
      <c r="I33" s="8"/>
      <c r="J33" s="8"/>
      <c r="K33" s="8"/>
      <c r="L33" s="40">
        <v>0</v>
      </c>
      <c r="M33" s="40">
        <v>0</v>
      </c>
      <c r="N33" s="36">
        <v>3.4000000000000002E-2</v>
      </c>
      <c r="O33" s="36">
        <v>1.6E-2</v>
      </c>
      <c r="P33" s="8"/>
      <c r="Q33" s="8"/>
      <c r="R33" s="8"/>
    </row>
    <row r="34" spans="1:18">
      <c r="A34" s="81">
        <f t="shared" si="0"/>
        <v>31</v>
      </c>
      <c r="B34" s="65" t="s">
        <v>639</v>
      </c>
      <c r="C34" s="24" t="s">
        <v>73</v>
      </c>
      <c r="D34" s="24" t="s">
        <v>323</v>
      </c>
      <c r="E34" s="40">
        <v>0</v>
      </c>
      <c r="F34" s="36">
        <v>1E-3</v>
      </c>
      <c r="G34" s="36">
        <v>1.6E-2</v>
      </c>
      <c r="H34" s="36">
        <v>2.5000000000000001E-2</v>
      </c>
      <c r="I34" s="8"/>
      <c r="J34" s="8"/>
      <c r="K34" s="8"/>
      <c r="L34" s="40">
        <v>0</v>
      </c>
      <c r="M34" s="40">
        <v>0</v>
      </c>
      <c r="N34" s="36">
        <v>1E-3</v>
      </c>
      <c r="O34" s="36">
        <v>0</v>
      </c>
      <c r="P34" s="8"/>
      <c r="Q34" s="8"/>
      <c r="R34" s="8"/>
    </row>
    <row r="35" spans="1:18">
      <c r="A35" s="81">
        <f t="shared" si="0"/>
        <v>32</v>
      </c>
      <c r="B35" s="31" t="s">
        <v>557</v>
      </c>
      <c r="C35" s="24" t="s">
        <v>73</v>
      </c>
      <c r="D35" s="24" t="s">
        <v>58</v>
      </c>
      <c r="E35" s="36">
        <v>8.9999999999999993E-3</v>
      </c>
      <c r="F35" s="36">
        <v>1.2E-2</v>
      </c>
      <c r="G35" s="8"/>
      <c r="H35" s="8"/>
      <c r="I35" s="8"/>
      <c r="J35" s="8"/>
      <c r="K35" s="8"/>
      <c r="L35" s="36">
        <v>4.0000000000000001E-3</v>
      </c>
      <c r="M35" s="36">
        <v>0</v>
      </c>
      <c r="N35" s="8"/>
      <c r="O35" s="8"/>
      <c r="P35" s="8"/>
      <c r="Q35" s="8"/>
      <c r="R35" s="8"/>
    </row>
    <row r="36" spans="1:18">
      <c r="A36" s="81">
        <f t="shared" si="0"/>
        <v>33</v>
      </c>
      <c r="B36" s="28" t="s">
        <v>642</v>
      </c>
      <c r="C36" s="24" t="s">
        <v>73</v>
      </c>
      <c r="D36" s="24" t="s">
        <v>499</v>
      </c>
      <c r="E36" s="36">
        <v>1.2999999999999999E-2</v>
      </c>
      <c r="F36" s="36">
        <v>0.01</v>
      </c>
      <c r="G36" s="36">
        <v>1.4999999999999999E-2</v>
      </c>
      <c r="H36" s="8"/>
      <c r="I36" s="8"/>
      <c r="J36" s="8"/>
      <c r="K36" s="8"/>
      <c r="L36" s="36">
        <v>0</v>
      </c>
      <c r="M36" s="36">
        <v>0</v>
      </c>
      <c r="N36" s="36">
        <v>0</v>
      </c>
      <c r="O36" s="8"/>
      <c r="P36" s="8"/>
      <c r="Q36" s="8"/>
      <c r="R36" s="8"/>
    </row>
    <row r="37" spans="1:18" s="94" customFormat="1">
      <c r="A37" s="135">
        <f t="shared" si="0"/>
        <v>34</v>
      </c>
      <c r="B37" s="28" t="s">
        <v>644</v>
      </c>
      <c r="C37" s="24" t="s">
        <v>45</v>
      </c>
      <c r="D37" s="24" t="s">
        <v>88</v>
      </c>
      <c r="E37" s="40">
        <v>0</v>
      </c>
      <c r="F37" s="36">
        <v>2E-3</v>
      </c>
      <c r="G37" s="8"/>
      <c r="H37" s="8"/>
      <c r="I37" s="8"/>
      <c r="J37" s="8"/>
      <c r="K37" s="8"/>
      <c r="L37" s="40">
        <v>0</v>
      </c>
      <c r="M37" s="36">
        <v>0</v>
      </c>
      <c r="N37" s="8"/>
      <c r="O37" s="8"/>
      <c r="P37" s="8"/>
      <c r="Q37" s="8"/>
      <c r="R37" s="8"/>
    </row>
    <row r="38" spans="1:18" s="100" customFormat="1">
      <c r="A38" s="135">
        <f t="shared" si="0"/>
        <v>35</v>
      </c>
      <c r="B38" s="28" t="s">
        <v>756</v>
      </c>
      <c r="C38" s="163" t="s">
        <v>45</v>
      </c>
      <c r="D38" s="163" t="s">
        <v>58</v>
      </c>
      <c r="E38" s="36">
        <v>2.1999999999999999E-2</v>
      </c>
      <c r="F38" s="8"/>
      <c r="G38" s="8"/>
      <c r="H38" s="8"/>
      <c r="I38" s="8"/>
      <c r="J38" s="8"/>
      <c r="K38" s="8"/>
      <c r="L38" s="36">
        <v>8.0000000000000002E-3</v>
      </c>
      <c r="M38" s="8"/>
      <c r="N38" s="8"/>
      <c r="O38" s="8"/>
      <c r="P38" s="8"/>
      <c r="Q38" s="8"/>
      <c r="R38" s="8"/>
    </row>
    <row r="39" spans="1:18">
      <c r="A39" s="135">
        <f t="shared" si="0"/>
        <v>36</v>
      </c>
      <c r="B39" s="64" t="s">
        <v>764</v>
      </c>
      <c r="C39" s="163" t="s">
        <v>45</v>
      </c>
      <c r="D39" s="163" t="s">
        <v>323</v>
      </c>
      <c r="E39" s="78">
        <v>0</v>
      </c>
      <c r="F39" s="135"/>
      <c r="G39" s="135"/>
      <c r="H39" s="135"/>
      <c r="I39" s="135"/>
      <c r="L39" s="78">
        <v>2E-3</v>
      </c>
      <c r="M39" s="135"/>
      <c r="N39" s="135"/>
      <c r="O39" s="135"/>
      <c r="P39" s="135"/>
      <c r="Q39" s="135"/>
      <c r="R39" s="135"/>
    </row>
    <row r="40" spans="1:18">
      <c r="A40" s="135"/>
      <c r="E40" s="87"/>
    </row>
    <row r="43" spans="1:18">
      <c r="B43" s="94" t="s">
        <v>447</v>
      </c>
      <c r="C43" s="100" t="s">
        <v>459</v>
      </c>
      <c r="D43" s="100" t="s">
        <v>460</v>
      </c>
      <c r="E43" s="100" t="s">
        <v>461</v>
      </c>
      <c r="F43" s="100" t="s">
        <v>571</v>
      </c>
      <c r="G43" s="129" t="s">
        <v>648</v>
      </c>
      <c r="H43" s="135" t="s">
        <v>776</v>
      </c>
      <c r="I43" s="135" t="s">
        <v>777</v>
      </c>
      <c r="J43" s="100" t="s">
        <v>462</v>
      </c>
      <c r="K43" s="100" t="s">
        <v>463</v>
      </c>
      <c r="L43" s="100" t="s">
        <v>464</v>
      </c>
      <c r="M43" s="100" t="s">
        <v>572</v>
      </c>
      <c r="N43" s="129" t="s">
        <v>649</v>
      </c>
      <c r="O43" s="135" t="s">
        <v>778</v>
      </c>
      <c r="P43" s="135" t="s">
        <v>779</v>
      </c>
      <c r="Q43" s="135"/>
      <c r="R43" s="135"/>
    </row>
    <row r="44" spans="1:18">
      <c r="B44" s="94" t="s">
        <v>445</v>
      </c>
      <c r="C44" s="86">
        <f>+(E4+E5+E8+E9+E11+E12+E13+E14+E15+E16+E18+E19+E21+E25+E26+E27+E29+E30+E31+E32+E37+E38+E39)/23</f>
        <v>2.9956521739130437E-2</v>
      </c>
      <c r="D44" s="86">
        <f>+(F4+F5+F8+F9+F11+F12+F13+F14+F15+F16+F18+F19+F21+F25+F26+F27+F29+F30+F31+F32+F37+F38+F39)/21</f>
        <v>2.7904761904761908E-2</v>
      </c>
      <c r="E44" s="86">
        <f>+(G4+G5+G8+G9+G11+G12+G13+G14+G15+G16+G18+G19+G21+G25+G26+G27+G29+G30+G31+G32+G37+G38+G39)/20</f>
        <v>3.2800000000000003E-2</v>
      </c>
      <c r="F44" s="86">
        <f>+(H4+H5+H8+H9+H11+H12+H13+H14+H15+H16+H18+H19+H21+H25+H26+H27+H29+H30+H31+H32+H37+H38+H39)/20</f>
        <v>4.3600000000000007E-2</v>
      </c>
      <c r="G44" s="86">
        <f>+(I4+I5+I8+I9+I11+I12+I13+I14+I15+I16+I18+I19+I21+I25+I26+I27+I29+I30+I31+I32+I37+I38+I39)/15</f>
        <v>3.5200000000000002E-2</v>
      </c>
      <c r="H44" s="86">
        <f>+(J4+J5+J8+J9+J11+J12+J13+J14+J15+J16+J18+J19+J21+J25+J26+J27+J29+J30+J31+J32+J37+J38+J39)/8</f>
        <v>1.9499999999999997E-2</v>
      </c>
      <c r="I44" s="86"/>
      <c r="J44" s="86">
        <f>+(L4+L5+L8+L9+L11+L12+L13+L14+L15+L16+L18+L19+L21+L25+L26+L27+L29+L30+L31+L32+L37+L38+L39)/23</f>
        <v>1.3695652173913046E-2</v>
      </c>
      <c r="K44" s="86">
        <f>+(M4+M5+M8+M9+M11+M12+M13+M14+M15+M16+M18+M19+M21+M25+M26+M27+M29+M30+M31+M32+M37+M38+M39)/21</f>
        <v>8.7142857142857161E-3</v>
      </c>
      <c r="L44" s="86">
        <f>+(N4+N5+N8+N9+N11+N12+N13+N14+N15+N16+N18+N19+N21+N25+N26+N27+N29+N30+N31+N32+N37+N38+N39)/20</f>
        <v>1.1050000000000001E-2</v>
      </c>
      <c r="M44" s="86">
        <f>+(O4+O5+O8+O9+O11+O12+O13+O14+O15+O16+O18+O19+O21+O25+O26+O27+O29+O30+O31+O32+O37+O38+O39)/20</f>
        <v>1.15E-2</v>
      </c>
      <c r="N44" s="86">
        <f>+(P4+P5+P8+P9+P11+P12+P13+P14+P15+P16+P18+P19+P21+P25+P26+P27+P29+P30+P31+P32+P37+P38+P39)/15</f>
        <v>2.4333333333333335E-2</v>
      </c>
      <c r="O44" s="86">
        <f>+(Q4+Q5+Q8+Q9+Q11+Q12+Q13+Q14+Q15+Q16+Q18+Q19+Q21+Q25+Q26+Q27+Q29+Q30+Q31+Q32+Q37+Q38+Q39)/8</f>
        <v>1.8749999999999999E-3</v>
      </c>
    </row>
    <row r="45" spans="1:18">
      <c r="B45" s="94"/>
      <c r="D45"/>
      <c r="H45" s="94"/>
      <c r="I45" s="100"/>
    </row>
    <row r="46" spans="1:18">
      <c r="B46" s="94"/>
      <c r="D46"/>
      <c r="H46" s="94"/>
      <c r="I46" s="100"/>
    </row>
    <row r="47" spans="1:18">
      <c r="B47" s="94" t="s">
        <v>448</v>
      </c>
      <c r="C47" s="129" t="s">
        <v>459</v>
      </c>
      <c r="D47" s="129" t="s">
        <v>460</v>
      </c>
      <c r="E47" s="129" t="s">
        <v>461</v>
      </c>
      <c r="F47" s="129" t="s">
        <v>571</v>
      </c>
      <c r="G47" s="129" t="s">
        <v>648</v>
      </c>
      <c r="H47" s="135" t="s">
        <v>776</v>
      </c>
      <c r="I47" s="135" t="s">
        <v>777</v>
      </c>
      <c r="J47" s="129" t="s">
        <v>462</v>
      </c>
      <c r="K47" s="129" t="s">
        <v>463</v>
      </c>
      <c r="L47" s="129" t="s">
        <v>464</v>
      </c>
      <c r="M47" s="129" t="s">
        <v>572</v>
      </c>
      <c r="N47" s="129" t="s">
        <v>649</v>
      </c>
      <c r="O47" s="135" t="s">
        <v>778</v>
      </c>
      <c r="P47" s="135" t="s">
        <v>779</v>
      </c>
    </row>
    <row r="48" spans="1:18">
      <c r="B48" s="94" t="s">
        <v>445</v>
      </c>
      <c r="C48" s="86">
        <f>+(E6+E7+E10+E17+E20+E22+E23+E24+E28+E33+E34+E35+E36)/13</f>
        <v>3.0384615384615385E-2</v>
      </c>
      <c r="D48" s="86">
        <f t="shared" ref="D48:I48" si="1">+(F6+F7+F10+F17+F20+F22+F23+F24+F28+F33+F34+F35+F36)/13</f>
        <v>2.2461538461538463E-2</v>
      </c>
      <c r="E48" s="86">
        <f>+(G6+G7+G10+G17+G20+G22+G23+G24+G28+G33+G34+G35+G36)/12</f>
        <v>2.9250000000000009E-2</v>
      </c>
      <c r="F48" s="86">
        <f>+(H6+H7+H10+H17+H20+H22+H23+H24+H28+H33+H34+H35+H36)/11</f>
        <v>2.8818181818181819E-2</v>
      </c>
      <c r="G48" s="86">
        <f>+(I6+I7+I10+I17+I20+I22+I23+I24+I28+I33+I34+I35+I36)/8</f>
        <v>4.1750000000000002E-2</v>
      </c>
      <c r="H48" s="86">
        <f>+(J6+J7+J10+J17+J20+J22+J23+J24+J28+J33+J34+J35+J36)/3</f>
        <v>6.433333333333334E-2</v>
      </c>
      <c r="I48" s="86">
        <f>+(K6+K7+K10+K17+K20+K22+K23+K24+K28+K33+K34+K35+K36)/1</f>
        <v>1.6E-2</v>
      </c>
      <c r="J48" s="86">
        <f>+(L6+L7+L10+L17+L20+L22+L23+L24+L28+L33+L34+L35+L36)/13</f>
        <v>7.3076923076923067E-3</v>
      </c>
      <c r="K48" s="86">
        <f t="shared" ref="K48" si="2">+(M6+M7+M10+M17+M20+M22+M23+M24+M28+M33+M34+M35+M36)/13</f>
        <v>6.6923076923076918E-3</v>
      </c>
      <c r="L48" s="86">
        <f>+(N6+N7+N10+N17+N20+N22+N23+N24+N28+N33+N34+N35+N36)/12</f>
        <v>4.5000000000000005E-3</v>
      </c>
      <c r="M48" s="86">
        <f>+(O6+O7+O10+O17+O20+O22+O23+O24+O28+O33+O34+O35+O36)/11</f>
        <v>9.6363636363636356E-3</v>
      </c>
      <c r="N48" s="86">
        <f>+(P6+P7+P10+P17+P20+P22+P23+P24+P28+P33+P34+P35+P36)/8</f>
        <v>4.8750000000000009E-3</v>
      </c>
      <c r="O48" s="86">
        <f>+(Q6+Q7+Q10+Q17+Q20+Q22+Q23+Q24+Q28+Q33+Q34+Q35+Q36)/3</f>
        <v>5.3333333333333332E-3</v>
      </c>
      <c r="P48" s="86">
        <f>+(R6+R7+R10+R17+R20+R22+R23+R24+R28+R33+R34+R35+R36)/1</f>
        <v>4.0000000000000001E-3</v>
      </c>
    </row>
    <row r="49" spans="2:16">
      <c r="B49" s="94"/>
      <c r="D49"/>
      <c r="J49" s="94"/>
      <c r="K49" s="100"/>
    </row>
    <row r="50" spans="2:16">
      <c r="B50" s="94"/>
      <c r="D50"/>
      <c r="J50" s="94"/>
      <c r="K50" s="100"/>
    </row>
    <row r="51" spans="2:16">
      <c r="B51" s="94" t="s">
        <v>491</v>
      </c>
      <c r="C51" s="129" t="s">
        <v>459</v>
      </c>
      <c r="D51" s="129" t="s">
        <v>460</v>
      </c>
      <c r="E51" s="129" t="s">
        <v>461</v>
      </c>
      <c r="F51" s="129" t="s">
        <v>571</v>
      </c>
      <c r="G51" s="129" t="s">
        <v>648</v>
      </c>
      <c r="H51" s="135" t="s">
        <v>776</v>
      </c>
      <c r="I51" s="135" t="s">
        <v>777</v>
      </c>
      <c r="J51" s="129" t="s">
        <v>462</v>
      </c>
      <c r="K51" s="129" t="s">
        <v>463</v>
      </c>
      <c r="L51" s="129" t="s">
        <v>464</v>
      </c>
      <c r="M51" s="129" t="s">
        <v>572</v>
      </c>
      <c r="N51" s="129" t="s">
        <v>649</v>
      </c>
      <c r="O51" s="135" t="s">
        <v>778</v>
      </c>
      <c r="P51" s="135" t="s">
        <v>779</v>
      </c>
    </row>
    <row r="52" spans="2:16">
      <c r="B52" s="94" t="s">
        <v>426</v>
      </c>
      <c r="C52" s="118">
        <f>+(E8+E13+E18+E25+E30)/5</f>
        <v>3.9400000000000004E-2</v>
      </c>
      <c r="D52" s="118">
        <f t="shared" ref="D52:G52" si="3">+(F8+F13+F18+F25+F30)/5</f>
        <v>2.0799999999999999E-2</v>
      </c>
      <c r="E52" s="118">
        <f t="shared" si="3"/>
        <v>2.5399999999999999E-2</v>
      </c>
      <c r="F52" s="118">
        <f t="shared" si="3"/>
        <v>1.9800000000000002E-2</v>
      </c>
      <c r="G52" s="118">
        <f>+(I8+I13+I18+I25+I30)/4</f>
        <v>1.7749999999999998E-2</v>
      </c>
      <c r="H52" s="118">
        <f>+(J8+J13+J18+J25+J30)/1</f>
        <v>1E-3</v>
      </c>
      <c r="J52" s="118">
        <f>+(L8+L13+L18+L25+L30)/5</f>
        <v>2.4000000000000002E-3</v>
      </c>
      <c r="K52" s="118">
        <f t="shared" ref="K52" si="4">+(M8+M13+M18+M25+M30)/5</f>
        <v>3.0000000000000001E-3</v>
      </c>
      <c r="L52" s="118">
        <f t="shared" ref="L52" si="5">+(N8+N13+N18+N25+N30)/5</f>
        <v>4.9999999999999992E-3</v>
      </c>
      <c r="M52" s="118">
        <f t="shared" ref="M52" si="6">+(O8+O13+O18+O25+O30)/5</f>
        <v>4.3999999999999994E-3</v>
      </c>
      <c r="N52" s="118">
        <f>+(P8+P13+P18+P25+P30)/4</f>
        <v>1.75E-3</v>
      </c>
      <c r="O52" s="118">
        <f>+(Q8+Q13+Q18+Q25+Q30)/1</f>
        <v>0</v>
      </c>
    </row>
    <row r="53" spans="2:16">
      <c r="B53" s="94" t="s">
        <v>427</v>
      </c>
      <c r="C53" s="118">
        <f>+(E4+E9+E11+E12+E14+E15+E16+E19+E26+E27+E29+E32+E37)/13</f>
        <v>2.4307692307692311E-2</v>
      </c>
      <c r="D53" s="118">
        <f t="shared" ref="D53:I53" si="7">+(F4+F9+F11+F12+F14+F15+F16+F19+F26+F27+F29+F32+F37)/13</f>
        <v>2.7461538461538461E-2</v>
      </c>
      <c r="E53" s="118">
        <f>+(G4+G9+G11+G12+G14+G15+G16+G19+G26+G27+G29+G32+G37)/12</f>
        <v>2.8416666666666663E-2</v>
      </c>
      <c r="F53" s="118">
        <f>+(H4+H9+H11+H12+H14+H15+H16+H19+H26+H27+H29+H32+H37)/12</f>
        <v>5.541666666666667E-2</v>
      </c>
      <c r="G53" s="118">
        <f>+(I4+I9+I11+I12+I14+I15+I16+I19+I26+I27+I29+I32+I37)/10</f>
        <v>4.1300000000000003E-2</v>
      </c>
      <c r="H53" s="118">
        <f>+(J4+J9+J11+J12+J14+J15+J16+J19+J26+J27+J29+J32+J37)/7</f>
        <v>2.2142857142857138E-2</v>
      </c>
      <c r="I53" s="118"/>
      <c r="J53" s="118">
        <f>+(L4+L9+L11+L12+L14+L15+L16+L19+L26+L27+L29+L32+L37)/13</f>
        <v>1.9307692307692307E-2</v>
      </c>
      <c r="K53" s="118">
        <f t="shared" ref="K53" si="8">+(M4+M9+M11+M12+M14+M15+M16+M19+M26+M27+M29+M32+M37)/13</f>
        <v>2.9230769230769232E-3</v>
      </c>
      <c r="L53" s="118">
        <f>+(N4+N9+N11+N12+N14+N15+N16+N19+N26+N27+N29+N32+N37)/12</f>
        <v>6.4166666666666669E-3</v>
      </c>
      <c r="M53" s="118">
        <f>+(O4+O9+O11+O12+O14+O15+O16+O19+O26+O27+O29+O32+O37)/12</f>
        <v>1.4250000000000001E-2</v>
      </c>
      <c r="N53" s="118">
        <f>+(P4+P9+P11+P12+P14+P15+P16+P19+P26+P27+P29+P32+P37)/10</f>
        <v>3.5800000000000005E-2</v>
      </c>
      <c r="O53" s="118">
        <f>+(Q4+Q9+Q11+Q12+Q14+Q15+Q16+Q19+Q26+Q27+Q29+Q32+Q37)/7</f>
        <v>2.142857142857143E-3</v>
      </c>
      <c r="P53" s="118"/>
    </row>
    <row r="54" spans="2:16">
      <c r="B54" s="94" t="s">
        <v>428</v>
      </c>
      <c r="C54" s="118">
        <f>(E5+E21+E31+E38+E39)/5</f>
        <v>3.5199999999999995E-2</v>
      </c>
      <c r="D54" s="118">
        <f>(F5+F21+F31+F38+F39)/3</f>
        <v>4.1666666666666664E-2</v>
      </c>
      <c r="E54" s="118">
        <f t="shared" ref="E54:F54" si="9">(G5+G21+G31+G38+G39)/3</f>
        <v>6.2666666666666662E-2</v>
      </c>
      <c r="F54" s="118">
        <f t="shared" si="9"/>
        <v>3.5999999999999997E-2</v>
      </c>
      <c r="G54" s="118">
        <f>(I5+I21+I31+I38+I39)/1</f>
        <v>4.3999999999999997E-2</v>
      </c>
      <c r="J54" s="118">
        <f>(L5+L21+L31+L38+L39)/5</f>
        <v>1.0400000000000001E-2</v>
      </c>
      <c r="K54" s="118">
        <f>(M5+M21+M31+M38+M39)/3</f>
        <v>4.3333333333333335E-2</v>
      </c>
      <c r="L54" s="118">
        <f t="shared" ref="L54" si="10">(N5+N21+N31+N38+N39)/3</f>
        <v>3.9666666666666663E-2</v>
      </c>
      <c r="M54" s="118">
        <f t="shared" ref="M54" si="11">(O5+O21+O31+O38+O39)/3</f>
        <v>1.2333333333333333E-2</v>
      </c>
      <c r="N54" s="118">
        <f>(P5+P21+P31+P38+P39)/1</f>
        <v>0</v>
      </c>
      <c r="O54" s="135"/>
      <c r="P54" s="135"/>
    </row>
    <row r="55" spans="2:16">
      <c r="B55" s="94"/>
      <c r="D55"/>
      <c r="J55" s="94"/>
      <c r="K55" s="100"/>
    </row>
    <row r="56" spans="2:16">
      <c r="B56" s="94"/>
      <c r="D56"/>
      <c r="J56" s="94"/>
      <c r="K56" s="100"/>
    </row>
    <row r="57" spans="2:16">
      <c r="B57" s="94" t="s">
        <v>492</v>
      </c>
      <c r="C57" s="129" t="s">
        <v>459</v>
      </c>
      <c r="D57" s="129" t="s">
        <v>460</v>
      </c>
      <c r="E57" s="129" t="s">
        <v>461</v>
      </c>
      <c r="F57" s="129" t="s">
        <v>571</v>
      </c>
      <c r="G57" s="129" t="s">
        <v>648</v>
      </c>
      <c r="H57" s="135" t="s">
        <v>776</v>
      </c>
      <c r="I57" s="135" t="s">
        <v>777</v>
      </c>
      <c r="J57" s="129" t="s">
        <v>462</v>
      </c>
      <c r="K57" s="129" t="s">
        <v>463</v>
      </c>
      <c r="L57" s="129" t="s">
        <v>464</v>
      </c>
      <c r="M57" s="129" t="s">
        <v>572</v>
      </c>
      <c r="N57" s="129" t="s">
        <v>649</v>
      </c>
      <c r="O57" s="135" t="s">
        <v>778</v>
      </c>
      <c r="P57" s="135" t="s">
        <v>779</v>
      </c>
    </row>
    <row r="58" spans="2:16">
      <c r="B58" s="94" t="s">
        <v>426</v>
      </c>
      <c r="C58" s="118">
        <f>+(+E24+E23+E36)/3</f>
        <v>8.4000000000000005E-2</v>
      </c>
      <c r="D58" s="118">
        <f t="shared" ref="D58:G58" si="12">+(+F24+F23+F36)/3</f>
        <v>2.4666666666666667E-2</v>
      </c>
      <c r="E58" s="118">
        <f t="shared" si="12"/>
        <v>3.6999999999999998E-2</v>
      </c>
      <c r="F58" s="118">
        <f>+(+H24+H23+H36)/2</f>
        <v>3.9E-2</v>
      </c>
      <c r="G58" s="118">
        <f>+(+I24+I23+I36)/2</f>
        <v>3.2000000000000001E-2</v>
      </c>
      <c r="J58" s="118">
        <f>+(+L24+L23+L36)/3</f>
        <v>2.2999999999999996E-2</v>
      </c>
      <c r="K58" s="118">
        <f t="shared" ref="K58" si="13">+(+M24+M23+M36)/3</f>
        <v>8.9999999999999993E-3</v>
      </c>
      <c r="L58" s="118">
        <f t="shared" ref="L58" si="14">+(+N24+N23+N36)/3</f>
        <v>3.0000000000000005E-3</v>
      </c>
      <c r="M58" s="118">
        <f>+(+O24+O23+O36)/2</f>
        <v>2.5000000000000001E-3</v>
      </c>
      <c r="N58" s="118">
        <f>+(+P24+P23+P36)/2</f>
        <v>7.0000000000000001E-3</v>
      </c>
    </row>
    <row r="59" spans="2:16">
      <c r="B59" s="94" t="s">
        <v>427</v>
      </c>
      <c r="C59" s="118">
        <f>+(E6+E7+E10+E17+E22+E28)/6</f>
        <v>1.6833333333333336E-2</v>
      </c>
      <c r="D59" s="118">
        <f t="shared" ref="D59:F59" si="15">+(F6+F7+F10+F17+F22+F28)/6</f>
        <v>2.6833333333333334E-2</v>
      </c>
      <c r="E59" s="118">
        <f t="shared" si="15"/>
        <v>3.216666666666667E-2</v>
      </c>
      <c r="F59" s="118">
        <f t="shared" si="15"/>
        <v>2.9833333333333333E-2</v>
      </c>
      <c r="G59" s="118">
        <f>+(I6+I7+I10+I17+I22+I28)/5</f>
        <v>4.4400000000000002E-2</v>
      </c>
      <c r="H59" s="118">
        <f>+(J6+J7+J10+J17+J22+J28)/3</f>
        <v>6.433333333333334E-2</v>
      </c>
      <c r="I59" s="118">
        <f>+(K6+K7+K10+K17+K22+K28)/1</f>
        <v>1.6E-2</v>
      </c>
      <c r="J59" s="118">
        <f>+(L6+L7+L10+L17+L22+L28)/6</f>
        <v>3.6666666666666666E-3</v>
      </c>
      <c r="K59" s="118">
        <f t="shared" ref="K59" si="16">+(M6+M7+M10+M17+M22+M28)/6</f>
        <v>6.1666666666666667E-3</v>
      </c>
      <c r="L59" s="118">
        <f t="shared" ref="L59" si="17">+(N6+N7+N10+N17+N22+N28)/6</f>
        <v>1.3333333333333333E-3</v>
      </c>
      <c r="M59" s="118">
        <f t="shared" ref="M59" si="18">+(O6+O7+O10+O17+O22+O28)/6</f>
        <v>1.3333333333333334E-2</v>
      </c>
      <c r="N59" s="118">
        <f>+(P6+P7+P10+P17+P22+P28)/5</f>
        <v>3.9999999999999992E-3</v>
      </c>
      <c r="O59" s="118">
        <f>+(Q6+Q7+Q10+Q17+Q22+Q28)/3</f>
        <v>5.3333333333333332E-3</v>
      </c>
      <c r="P59" s="118">
        <f>+(R6+R7+R10+R17+R22+R28)/1</f>
        <v>4.0000000000000001E-3</v>
      </c>
    </row>
    <row r="60" spans="2:16">
      <c r="B60" s="94" t="s">
        <v>428</v>
      </c>
      <c r="C60" s="118">
        <f>+(E20+E33+E34+E35)/4</f>
        <v>1.0500000000000001E-2</v>
      </c>
      <c r="D60" s="118">
        <f t="shared" ref="D60:G60" si="19">+(F20+F33+F34+F35)/4</f>
        <v>1.4249999999999999E-2</v>
      </c>
      <c r="E60" s="118">
        <f>+(G20+G33+G34+G35)/3</f>
        <v>1.5666666666666666E-2</v>
      </c>
      <c r="F60" s="118">
        <f>+(H20+H33+H34+H35)/3</f>
        <v>0.02</v>
      </c>
      <c r="G60" s="118">
        <f>+(I20+I33+I34+I35)/1</f>
        <v>4.8000000000000001E-2</v>
      </c>
      <c r="J60" s="118">
        <f>+(L20+L33+L34+L35)/4</f>
        <v>1E-3</v>
      </c>
      <c r="K60" s="118">
        <f t="shared" ref="K60" si="20">+(M20+M33+M34+M35)/4</f>
        <v>5.7499999999999999E-3</v>
      </c>
      <c r="L60" s="118">
        <f>+(N20+N33+N34+N35)/3</f>
        <v>1.2333333333333335E-2</v>
      </c>
      <c r="M60" s="118">
        <f>+(O20+O33+O34+O35)/3</f>
        <v>7.0000000000000001E-3</v>
      </c>
      <c r="N60" s="118">
        <f>+(P20+P33+P34+P35)/1</f>
        <v>5.0000000000000001E-3</v>
      </c>
    </row>
  </sheetData>
  <autoFilter ref="A3:M39"/>
  <mergeCells count="2">
    <mergeCell ref="E2:G2"/>
    <mergeCell ref="I2:M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1"/>
  <sheetViews>
    <sheetView zoomScale="82" zoomScaleNormal="82" workbookViewId="0">
      <selection activeCell="B4" sqref="B4:D39"/>
    </sheetView>
  </sheetViews>
  <sheetFormatPr baseColWidth="10" defaultRowHeight="15"/>
  <cols>
    <col min="1" max="1" width="5.28515625" bestFit="1" customWidth="1"/>
    <col min="2" max="2" width="55" bestFit="1" customWidth="1"/>
    <col min="4" max="4" width="11.42578125" style="94"/>
  </cols>
  <sheetData>
    <row r="2" spans="1:11">
      <c r="E2" s="160" t="s">
        <v>465</v>
      </c>
      <c r="F2" s="160"/>
      <c r="G2" s="160"/>
    </row>
    <row r="3" spans="1:11">
      <c r="A3" s="81" t="s">
        <v>439</v>
      </c>
      <c r="B3" s="81" t="s">
        <v>440</v>
      </c>
      <c r="C3" s="81" t="s">
        <v>446</v>
      </c>
      <c r="D3" s="94" t="s">
        <v>490</v>
      </c>
      <c r="E3" s="81" t="s">
        <v>466</v>
      </c>
      <c r="F3" s="81" t="s">
        <v>467</v>
      </c>
      <c r="G3" s="81" t="s">
        <v>468</v>
      </c>
      <c r="H3" s="129" t="s">
        <v>573</v>
      </c>
      <c r="I3" s="129" t="s">
        <v>650</v>
      </c>
      <c r="J3" s="135" t="s">
        <v>780</v>
      </c>
      <c r="K3" s="135" t="s">
        <v>781</v>
      </c>
    </row>
    <row r="4" spans="1:11">
      <c r="A4" s="81">
        <v>1</v>
      </c>
      <c r="B4" s="31" t="s">
        <v>577</v>
      </c>
      <c r="C4" s="13" t="s">
        <v>45</v>
      </c>
      <c r="D4" s="13" t="s">
        <v>44</v>
      </c>
      <c r="E4" s="24">
        <v>56.6</v>
      </c>
      <c r="F4" s="24">
        <v>48.4</v>
      </c>
      <c r="G4" s="24">
        <v>29.9</v>
      </c>
      <c r="H4" s="24">
        <v>41.6</v>
      </c>
      <c r="I4" s="24">
        <v>38.1</v>
      </c>
      <c r="J4" s="24">
        <v>38.1</v>
      </c>
      <c r="K4" s="24"/>
    </row>
    <row r="5" spans="1:11" ht="30">
      <c r="A5" s="81">
        <f>+A4+1</f>
        <v>2</v>
      </c>
      <c r="B5" s="37" t="s">
        <v>54</v>
      </c>
      <c r="C5" s="13" t="s">
        <v>45</v>
      </c>
      <c r="D5" s="13" t="s">
        <v>58</v>
      </c>
      <c r="E5" s="24">
        <v>67.900000000000006</v>
      </c>
      <c r="F5" s="24">
        <v>90.4</v>
      </c>
      <c r="G5" s="24">
        <v>92</v>
      </c>
      <c r="H5" s="24">
        <v>76</v>
      </c>
      <c r="I5" s="24"/>
      <c r="J5" s="24"/>
      <c r="K5" s="24"/>
    </row>
    <row r="6" spans="1:11">
      <c r="A6" s="81">
        <f t="shared" ref="A6:A36" si="0">+A5+1</f>
        <v>3</v>
      </c>
      <c r="B6" s="41" t="s">
        <v>619</v>
      </c>
      <c r="C6" s="13" t="s">
        <v>73</v>
      </c>
      <c r="D6" s="13" t="s">
        <v>72</v>
      </c>
      <c r="E6" s="28">
        <v>63.2</v>
      </c>
      <c r="F6" s="28">
        <v>57.5</v>
      </c>
      <c r="G6" s="28">
        <v>58.3</v>
      </c>
      <c r="H6" s="28">
        <v>49</v>
      </c>
      <c r="I6" s="28">
        <v>38.200000000000003</v>
      </c>
      <c r="J6" s="28">
        <v>82.1</v>
      </c>
      <c r="K6" s="28">
        <v>32.6</v>
      </c>
    </row>
    <row r="7" spans="1:11">
      <c r="A7" s="81">
        <f t="shared" si="0"/>
        <v>4</v>
      </c>
      <c r="B7" s="42" t="s">
        <v>580</v>
      </c>
      <c r="C7" s="13" t="s">
        <v>73</v>
      </c>
      <c r="D7" s="13" t="s">
        <v>88</v>
      </c>
      <c r="E7" s="28">
        <v>93</v>
      </c>
      <c r="F7" s="28">
        <v>76.2</v>
      </c>
      <c r="G7" s="28">
        <v>43.6</v>
      </c>
      <c r="H7" s="28">
        <v>40.5</v>
      </c>
      <c r="I7" s="28">
        <v>61.1</v>
      </c>
      <c r="J7" s="28">
        <v>48.8</v>
      </c>
      <c r="K7" s="28"/>
    </row>
    <row r="8" spans="1:11">
      <c r="A8" s="81">
        <f t="shared" si="0"/>
        <v>5</v>
      </c>
      <c r="B8" s="42" t="s">
        <v>510</v>
      </c>
      <c r="C8" s="13" t="s">
        <v>45</v>
      </c>
      <c r="D8" s="13" t="s">
        <v>99</v>
      </c>
      <c r="E8" s="28">
        <v>64.900000000000006</v>
      </c>
      <c r="F8" s="28">
        <v>42.9</v>
      </c>
      <c r="G8" s="28">
        <v>60.3</v>
      </c>
      <c r="H8" s="28">
        <v>64.599999999999994</v>
      </c>
      <c r="I8" s="28">
        <v>46.9</v>
      </c>
      <c r="J8" s="13"/>
      <c r="K8" s="13"/>
    </row>
    <row r="9" spans="1:11">
      <c r="A9" s="81">
        <f t="shared" si="0"/>
        <v>6</v>
      </c>
      <c r="B9" s="31" t="s">
        <v>622</v>
      </c>
      <c r="C9" s="13" t="s">
        <v>45</v>
      </c>
      <c r="D9" s="13" t="s">
        <v>72</v>
      </c>
      <c r="E9" s="28">
        <v>102.7</v>
      </c>
      <c r="F9" s="28">
        <v>72.2</v>
      </c>
      <c r="G9" s="28">
        <v>52</v>
      </c>
      <c r="H9" s="28">
        <v>95.2</v>
      </c>
      <c r="I9" s="28">
        <v>22</v>
      </c>
      <c r="J9" s="28">
        <v>17.399999999999999</v>
      </c>
      <c r="K9" s="28"/>
    </row>
    <row r="10" spans="1:11">
      <c r="A10" s="81">
        <f t="shared" si="0"/>
        <v>7</v>
      </c>
      <c r="B10" s="45" t="s">
        <v>624</v>
      </c>
      <c r="C10" s="13" t="s">
        <v>73</v>
      </c>
      <c r="D10" s="13" t="s">
        <v>88</v>
      </c>
      <c r="E10" s="28">
        <v>19.7</v>
      </c>
      <c r="F10" s="28">
        <v>15</v>
      </c>
      <c r="G10" s="28">
        <v>7.6</v>
      </c>
      <c r="H10" s="28">
        <v>12.2</v>
      </c>
      <c r="I10" s="28">
        <v>7.8</v>
      </c>
      <c r="J10" s="28">
        <v>14.8</v>
      </c>
      <c r="K10" s="28"/>
    </row>
    <row r="11" spans="1:11">
      <c r="A11" s="81">
        <f t="shared" si="0"/>
        <v>8</v>
      </c>
      <c r="B11" s="31" t="s">
        <v>626</v>
      </c>
      <c r="C11" s="13" t="s">
        <v>45</v>
      </c>
      <c r="D11" s="13" t="s">
        <v>128</v>
      </c>
      <c r="E11" s="28">
        <v>92.2</v>
      </c>
      <c r="F11" s="28">
        <v>124.6</v>
      </c>
      <c r="G11" s="28">
        <v>17.2</v>
      </c>
      <c r="H11" s="28"/>
      <c r="I11" s="28">
        <v>33.9</v>
      </c>
      <c r="J11" s="28">
        <v>43</v>
      </c>
      <c r="K11" s="28"/>
    </row>
    <row r="12" spans="1:11">
      <c r="A12" s="81">
        <f t="shared" si="0"/>
        <v>9</v>
      </c>
      <c r="B12" s="48" t="s">
        <v>629</v>
      </c>
      <c r="C12" s="13" t="s">
        <v>45</v>
      </c>
      <c r="D12" s="13" t="s">
        <v>72</v>
      </c>
      <c r="E12" s="28">
        <v>26.2</v>
      </c>
      <c r="F12" s="28">
        <v>28.9</v>
      </c>
      <c r="G12" s="28">
        <v>16.100000000000001</v>
      </c>
      <c r="H12" s="28">
        <v>16.899999999999999</v>
      </c>
      <c r="I12" s="28">
        <v>21.7</v>
      </c>
      <c r="J12" s="28">
        <v>20.2</v>
      </c>
      <c r="K12" s="28"/>
    </row>
    <row r="13" spans="1:11">
      <c r="A13" s="81">
        <f t="shared" si="0"/>
        <v>10</v>
      </c>
      <c r="B13" s="42" t="s">
        <v>525</v>
      </c>
      <c r="C13" s="13" t="s">
        <v>45</v>
      </c>
      <c r="D13" s="13" t="s">
        <v>150</v>
      </c>
      <c r="E13" s="28">
        <v>8.3000000000000007</v>
      </c>
      <c r="F13" s="28">
        <v>7.9</v>
      </c>
      <c r="G13" s="28">
        <v>6.6</v>
      </c>
      <c r="H13" s="28">
        <v>3</v>
      </c>
      <c r="I13" s="28">
        <v>11.5</v>
      </c>
      <c r="J13" s="28">
        <v>7.2</v>
      </c>
      <c r="K13" s="28"/>
    </row>
    <row r="14" spans="1:11">
      <c r="A14" s="81">
        <f t="shared" si="0"/>
        <v>11</v>
      </c>
      <c r="B14" s="42" t="s">
        <v>631</v>
      </c>
      <c r="C14" s="13" t="s">
        <v>45</v>
      </c>
      <c r="D14" s="13" t="s">
        <v>128</v>
      </c>
      <c r="E14" s="28">
        <v>12.7</v>
      </c>
      <c r="F14" s="28">
        <v>4</v>
      </c>
      <c r="G14" s="28">
        <v>8.3000000000000007</v>
      </c>
      <c r="H14" s="28">
        <v>18.100000000000001</v>
      </c>
      <c r="I14" s="28">
        <v>25</v>
      </c>
      <c r="J14" s="28">
        <v>12.4</v>
      </c>
      <c r="K14" s="28"/>
    </row>
    <row r="15" spans="1:11">
      <c r="A15" s="81">
        <f t="shared" si="0"/>
        <v>12</v>
      </c>
      <c r="B15" s="31" t="s">
        <v>529</v>
      </c>
      <c r="C15" s="13" t="s">
        <v>45</v>
      </c>
      <c r="D15" s="13" t="s">
        <v>128</v>
      </c>
      <c r="E15" s="28">
        <v>34.9</v>
      </c>
      <c r="F15" s="28">
        <v>31.6</v>
      </c>
      <c r="G15" s="28">
        <v>0</v>
      </c>
      <c r="H15" s="28">
        <v>49.8</v>
      </c>
      <c r="I15" s="28">
        <v>42</v>
      </c>
      <c r="J15" s="13"/>
      <c r="K15" s="13"/>
    </row>
    <row r="16" spans="1:11">
      <c r="A16" s="81">
        <f t="shared" si="0"/>
        <v>13</v>
      </c>
      <c r="B16" s="50" t="s">
        <v>632</v>
      </c>
      <c r="C16" s="13" t="s">
        <v>45</v>
      </c>
      <c r="D16" s="13" t="s">
        <v>88</v>
      </c>
      <c r="E16" s="28">
        <v>91.4</v>
      </c>
      <c r="F16" s="28">
        <v>48.8</v>
      </c>
      <c r="G16" s="28">
        <v>8</v>
      </c>
      <c r="H16" s="28">
        <v>44.6</v>
      </c>
      <c r="I16" s="28">
        <v>25.9</v>
      </c>
      <c r="J16" s="28">
        <v>13.3</v>
      </c>
      <c r="K16" s="28"/>
    </row>
    <row r="17" spans="1:11">
      <c r="A17" s="81">
        <f t="shared" si="0"/>
        <v>14</v>
      </c>
      <c r="B17" s="31" t="s">
        <v>584</v>
      </c>
      <c r="C17" s="13" t="s">
        <v>73</v>
      </c>
      <c r="D17" s="28" t="s">
        <v>72</v>
      </c>
      <c r="E17" s="28">
        <v>24.9</v>
      </c>
      <c r="F17" s="28">
        <v>11</v>
      </c>
      <c r="G17" s="28">
        <v>10</v>
      </c>
      <c r="H17" s="28">
        <v>16.399999999999999</v>
      </c>
      <c r="I17" s="28">
        <v>15</v>
      </c>
      <c r="J17" s="13"/>
      <c r="K17" s="13"/>
    </row>
    <row r="18" spans="1:11">
      <c r="A18" s="81">
        <f t="shared" si="0"/>
        <v>15</v>
      </c>
      <c r="B18" s="31" t="s">
        <v>636</v>
      </c>
      <c r="C18" s="13" t="s">
        <v>45</v>
      </c>
      <c r="D18" s="28" t="s">
        <v>196</v>
      </c>
      <c r="E18" s="28">
        <v>39.6</v>
      </c>
      <c r="F18" s="28">
        <v>37.5</v>
      </c>
      <c r="G18" s="28">
        <v>30.5</v>
      </c>
      <c r="H18" s="28">
        <v>42.5</v>
      </c>
      <c r="I18" s="13"/>
      <c r="J18" s="13"/>
      <c r="K18" s="13"/>
    </row>
    <row r="19" spans="1:11">
      <c r="A19" s="81">
        <f t="shared" si="0"/>
        <v>16</v>
      </c>
      <c r="B19" s="31" t="s">
        <v>586</v>
      </c>
      <c r="C19" s="24" t="s">
        <v>45</v>
      </c>
      <c r="D19" s="24" t="s">
        <v>205</v>
      </c>
      <c r="E19" s="28">
        <v>32.700000000000003</v>
      </c>
      <c r="F19" s="28">
        <v>41.8</v>
      </c>
      <c r="G19" s="28">
        <v>41.8</v>
      </c>
      <c r="H19" s="28">
        <v>67</v>
      </c>
      <c r="I19" s="28">
        <v>42.2</v>
      </c>
      <c r="J19" s="13"/>
      <c r="K19" s="13"/>
    </row>
    <row r="20" spans="1:11">
      <c r="A20" s="81">
        <f t="shared" si="0"/>
        <v>17</v>
      </c>
      <c r="B20" s="41" t="s">
        <v>589</v>
      </c>
      <c r="C20" s="24" t="s">
        <v>225</v>
      </c>
      <c r="D20" s="24" t="s">
        <v>58</v>
      </c>
      <c r="E20" s="24">
        <v>32.6</v>
      </c>
      <c r="F20" s="24">
        <v>35.200000000000003</v>
      </c>
      <c r="G20" s="24">
        <v>28.9</v>
      </c>
      <c r="H20" s="24">
        <v>32.200000000000003</v>
      </c>
      <c r="I20" s="24">
        <v>27.3</v>
      </c>
      <c r="J20" s="8"/>
      <c r="K20" s="8"/>
    </row>
    <row r="21" spans="1:11">
      <c r="A21" s="81">
        <f t="shared" si="0"/>
        <v>18</v>
      </c>
      <c r="B21" s="42" t="s">
        <v>592</v>
      </c>
      <c r="C21" s="24" t="s">
        <v>45</v>
      </c>
      <c r="D21" s="24" t="s">
        <v>58</v>
      </c>
      <c r="E21" s="24">
        <v>24.9</v>
      </c>
      <c r="F21" s="24">
        <v>35.799999999999997</v>
      </c>
      <c r="G21" s="24">
        <v>22.4</v>
      </c>
      <c r="H21" s="24">
        <v>23</v>
      </c>
      <c r="I21" s="24">
        <v>16.7</v>
      </c>
      <c r="J21" s="8"/>
      <c r="K21" s="8"/>
    </row>
    <row r="22" spans="1:11">
      <c r="A22" s="81">
        <f t="shared" si="0"/>
        <v>19</v>
      </c>
      <c r="B22" s="42" t="s">
        <v>594</v>
      </c>
      <c r="C22" s="24" t="s">
        <v>225</v>
      </c>
      <c r="D22" s="24" t="s">
        <v>205</v>
      </c>
      <c r="E22" s="24">
        <v>74.900000000000006</v>
      </c>
      <c r="F22" s="24">
        <v>52.2</v>
      </c>
      <c r="G22" s="24">
        <v>32.9</v>
      </c>
      <c r="H22" s="24">
        <v>64.900000000000006</v>
      </c>
      <c r="I22" s="8"/>
      <c r="J22" s="8"/>
      <c r="K22" s="8"/>
    </row>
    <row r="23" spans="1:11">
      <c r="A23" s="81">
        <f t="shared" si="0"/>
        <v>20</v>
      </c>
      <c r="B23" s="42" t="s">
        <v>597</v>
      </c>
      <c r="C23" s="24" t="s">
        <v>225</v>
      </c>
      <c r="D23" s="24" t="s">
        <v>196</v>
      </c>
      <c r="E23" s="24">
        <v>82</v>
      </c>
      <c r="F23" s="24">
        <v>69.900000000000006</v>
      </c>
      <c r="G23" s="24">
        <v>54.5</v>
      </c>
      <c r="H23" s="24">
        <v>54.8</v>
      </c>
      <c r="I23" s="24">
        <v>62.3</v>
      </c>
      <c r="J23" s="8"/>
      <c r="K23" s="8"/>
    </row>
    <row r="24" spans="1:11">
      <c r="A24" s="81">
        <f t="shared" si="0"/>
        <v>21</v>
      </c>
      <c r="B24" s="42" t="s">
        <v>599</v>
      </c>
      <c r="C24" s="24" t="s">
        <v>225</v>
      </c>
      <c r="D24" s="24" t="s">
        <v>150</v>
      </c>
      <c r="E24" s="24">
        <v>52.6</v>
      </c>
      <c r="F24" s="24">
        <v>33.200000000000003</v>
      </c>
      <c r="G24" s="24">
        <v>23.8</v>
      </c>
      <c r="H24" s="24">
        <v>15.1</v>
      </c>
      <c r="I24" s="24">
        <v>16.600000000000001</v>
      </c>
      <c r="J24" s="8"/>
      <c r="K24" s="8"/>
    </row>
    <row r="25" spans="1:11">
      <c r="A25" s="81">
        <f t="shared" si="0"/>
        <v>22</v>
      </c>
      <c r="B25" s="42" t="s">
        <v>601</v>
      </c>
      <c r="C25" s="24" t="s">
        <v>45</v>
      </c>
      <c r="D25" s="24" t="s">
        <v>150</v>
      </c>
      <c r="E25" s="24">
        <v>36.799999999999997</v>
      </c>
      <c r="F25" s="24">
        <v>20.6</v>
      </c>
      <c r="G25" s="24">
        <v>14.4</v>
      </c>
      <c r="H25" s="24">
        <v>33.200000000000003</v>
      </c>
      <c r="I25" s="24">
        <v>22.9</v>
      </c>
      <c r="J25" s="8"/>
      <c r="K25" s="8"/>
    </row>
    <row r="26" spans="1:11">
      <c r="A26" s="81">
        <f t="shared" si="0"/>
        <v>23</v>
      </c>
      <c r="B26" s="42" t="s">
        <v>537</v>
      </c>
      <c r="C26" s="24" t="s">
        <v>45</v>
      </c>
      <c r="D26" s="24" t="s">
        <v>72</v>
      </c>
      <c r="E26" s="24">
        <v>17.2</v>
      </c>
      <c r="F26" s="24">
        <v>24.9</v>
      </c>
      <c r="G26" s="24">
        <v>26.2</v>
      </c>
      <c r="H26" s="24">
        <v>40.299999999999997</v>
      </c>
      <c r="I26" s="24">
        <v>38.6</v>
      </c>
      <c r="J26" s="8"/>
      <c r="K26" s="8"/>
    </row>
    <row r="27" spans="1:11">
      <c r="A27" s="81">
        <f t="shared" si="0"/>
        <v>24</v>
      </c>
      <c r="B27" s="42" t="s">
        <v>540</v>
      </c>
      <c r="C27" s="24" t="s">
        <v>45</v>
      </c>
      <c r="D27" s="24" t="s">
        <v>128</v>
      </c>
      <c r="E27" s="24">
        <v>83.9</v>
      </c>
      <c r="F27" s="24">
        <v>25.5</v>
      </c>
      <c r="G27" s="24">
        <v>26.2</v>
      </c>
      <c r="H27" s="24">
        <v>33.5</v>
      </c>
      <c r="I27" s="8"/>
      <c r="J27" s="8"/>
      <c r="K27" s="8"/>
    </row>
    <row r="28" spans="1:11">
      <c r="A28" s="81">
        <f t="shared" si="0"/>
        <v>25</v>
      </c>
      <c r="B28" s="42" t="s">
        <v>602</v>
      </c>
      <c r="C28" s="24" t="s">
        <v>225</v>
      </c>
      <c r="D28" s="24" t="s">
        <v>88</v>
      </c>
      <c r="E28" s="24">
        <v>48.7</v>
      </c>
      <c r="F28" s="24">
        <v>4.7</v>
      </c>
      <c r="G28" s="24">
        <v>1.8</v>
      </c>
      <c r="H28" s="24">
        <v>0.3</v>
      </c>
      <c r="I28" s="24">
        <v>2.2999999999999998</v>
      </c>
      <c r="J28" s="8"/>
      <c r="K28" s="8"/>
    </row>
    <row r="29" spans="1:11">
      <c r="A29" s="81">
        <f t="shared" si="0"/>
        <v>26</v>
      </c>
      <c r="B29" s="42" t="s">
        <v>606</v>
      </c>
      <c r="C29" s="24" t="s">
        <v>45</v>
      </c>
      <c r="D29" s="24" t="s">
        <v>128</v>
      </c>
      <c r="E29" s="24">
        <v>34.299999999999997</v>
      </c>
      <c r="F29" s="24">
        <v>14.2</v>
      </c>
      <c r="G29" s="24">
        <v>12</v>
      </c>
      <c r="H29" s="24">
        <v>12.4</v>
      </c>
      <c r="I29" s="24">
        <v>26.3</v>
      </c>
      <c r="J29" s="24">
        <v>25.1</v>
      </c>
      <c r="K29" s="24"/>
    </row>
    <row r="30" spans="1:11">
      <c r="A30" s="81">
        <f t="shared" si="0"/>
        <v>27</v>
      </c>
      <c r="B30" s="42" t="s">
        <v>637</v>
      </c>
      <c r="C30" s="24" t="s">
        <v>45</v>
      </c>
      <c r="D30" s="24" t="s">
        <v>314</v>
      </c>
      <c r="E30" s="24">
        <v>34.799999999999997</v>
      </c>
      <c r="F30" s="24">
        <v>21.7</v>
      </c>
      <c r="G30" s="24">
        <v>24.3</v>
      </c>
      <c r="H30" s="24">
        <v>18.899999999999999</v>
      </c>
      <c r="I30" s="24">
        <v>27</v>
      </c>
      <c r="J30" s="8"/>
      <c r="K30" s="8"/>
    </row>
    <row r="31" spans="1:11">
      <c r="A31" s="81">
        <f t="shared" si="0"/>
        <v>28</v>
      </c>
      <c r="B31" s="42" t="s">
        <v>552</v>
      </c>
      <c r="C31" s="24" t="s">
        <v>45</v>
      </c>
      <c r="D31" s="24" t="s">
        <v>323</v>
      </c>
      <c r="E31" s="24">
        <v>45.8</v>
      </c>
      <c r="F31" s="24">
        <v>21.5</v>
      </c>
      <c r="G31" s="107">
        <v>123.9</v>
      </c>
      <c r="H31" s="24">
        <v>52.1</v>
      </c>
      <c r="I31" s="8"/>
      <c r="J31" s="8"/>
      <c r="K31" s="8"/>
    </row>
    <row r="32" spans="1:11">
      <c r="A32" s="81">
        <f t="shared" si="0"/>
        <v>29</v>
      </c>
      <c r="B32" s="42" t="s">
        <v>607</v>
      </c>
      <c r="C32" s="24" t="s">
        <v>332</v>
      </c>
      <c r="D32" s="24" t="s">
        <v>88</v>
      </c>
      <c r="E32" s="24">
        <v>14.3</v>
      </c>
      <c r="F32" s="24">
        <v>23.8</v>
      </c>
      <c r="G32" s="24">
        <v>35.799999999999997</v>
      </c>
      <c r="H32" s="24">
        <v>32.299999999999997</v>
      </c>
      <c r="I32" s="8"/>
      <c r="J32" s="8"/>
      <c r="K32" s="8"/>
    </row>
    <row r="33" spans="1:11">
      <c r="A33" s="81">
        <f t="shared" si="0"/>
        <v>30</v>
      </c>
      <c r="B33" s="42" t="s">
        <v>611</v>
      </c>
      <c r="C33" s="24" t="s">
        <v>73</v>
      </c>
      <c r="D33" s="24" t="s">
        <v>58</v>
      </c>
      <c r="E33" s="24">
        <v>72.2</v>
      </c>
      <c r="F33" s="24">
        <v>41</v>
      </c>
      <c r="G33" s="24">
        <v>50</v>
      </c>
      <c r="H33" s="24">
        <v>14.2</v>
      </c>
      <c r="I33" s="8"/>
      <c r="J33" s="8"/>
      <c r="K33" s="8"/>
    </row>
    <row r="34" spans="1:11">
      <c r="A34" s="81">
        <f t="shared" si="0"/>
        <v>31</v>
      </c>
      <c r="B34" s="65" t="s">
        <v>639</v>
      </c>
      <c r="C34" s="24" t="s">
        <v>73</v>
      </c>
      <c r="D34" s="24" t="s">
        <v>323</v>
      </c>
      <c r="E34" s="24">
        <v>55.2</v>
      </c>
      <c r="F34" s="24">
        <v>43.8</v>
      </c>
      <c r="G34" s="24">
        <v>16</v>
      </c>
      <c r="H34" s="24">
        <v>15.9</v>
      </c>
      <c r="I34" s="8"/>
      <c r="J34" s="8"/>
      <c r="K34" s="8"/>
    </row>
    <row r="35" spans="1:11">
      <c r="A35" s="81">
        <f t="shared" si="0"/>
        <v>32</v>
      </c>
      <c r="B35" s="31" t="s">
        <v>557</v>
      </c>
      <c r="C35" s="24" t="s">
        <v>73</v>
      </c>
      <c r="D35" s="24" t="s">
        <v>58</v>
      </c>
      <c r="E35" s="24">
        <v>29</v>
      </c>
      <c r="F35" s="24">
        <v>21.5</v>
      </c>
      <c r="G35" s="8"/>
      <c r="H35" s="8"/>
      <c r="I35" s="8"/>
      <c r="J35" s="8"/>
      <c r="K35" s="8"/>
    </row>
    <row r="36" spans="1:11">
      <c r="A36" s="81">
        <f t="shared" si="0"/>
        <v>33</v>
      </c>
      <c r="B36" s="28" t="s">
        <v>642</v>
      </c>
      <c r="C36" s="24" t="s">
        <v>73</v>
      </c>
      <c r="D36" s="24" t="s">
        <v>499</v>
      </c>
      <c r="E36" s="24">
        <v>10.4</v>
      </c>
      <c r="F36" s="24">
        <v>14.3</v>
      </c>
      <c r="G36" s="24">
        <v>11.4</v>
      </c>
      <c r="H36" s="8"/>
      <c r="I36" s="8"/>
      <c r="J36" s="8"/>
      <c r="K36" s="8"/>
    </row>
    <row r="37" spans="1:11">
      <c r="A37" s="81"/>
      <c r="B37" s="28" t="s">
        <v>644</v>
      </c>
      <c r="C37" s="24" t="s">
        <v>45</v>
      </c>
      <c r="D37" s="24" t="s">
        <v>88</v>
      </c>
      <c r="E37" s="24">
        <v>62.7</v>
      </c>
      <c r="F37" s="24">
        <v>3.1</v>
      </c>
      <c r="G37" s="8"/>
      <c r="H37" s="8"/>
      <c r="I37" s="8"/>
      <c r="J37" s="8"/>
      <c r="K37" s="8"/>
    </row>
    <row r="38" spans="1:11">
      <c r="B38" s="28" t="s">
        <v>756</v>
      </c>
      <c r="C38" s="163" t="s">
        <v>45</v>
      </c>
      <c r="D38" s="163" t="s">
        <v>58</v>
      </c>
      <c r="E38" s="24">
        <v>107.4</v>
      </c>
      <c r="F38" s="8"/>
      <c r="G38" s="8"/>
      <c r="H38" s="8"/>
      <c r="I38" s="8"/>
      <c r="J38" s="8"/>
      <c r="K38" s="8"/>
    </row>
    <row r="39" spans="1:11">
      <c r="B39" s="64" t="s">
        <v>764</v>
      </c>
      <c r="C39" s="163" t="s">
        <v>45</v>
      </c>
      <c r="D39" s="163" t="s">
        <v>323</v>
      </c>
      <c r="E39" s="66">
        <v>89.2</v>
      </c>
      <c r="F39" s="135"/>
      <c r="G39" s="135"/>
      <c r="H39" s="135"/>
      <c r="I39" s="135"/>
      <c r="J39" s="135"/>
      <c r="K39" s="135"/>
    </row>
    <row r="40" spans="1:11" s="135" customFormat="1">
      <c r="B40" s="119"/>
      <c r="C40" s="98"/>
      <c r="D40" s="98"/>
    </row>
    <row r="41" spans="1:11" s="135" customFormat="1">
      <c r="B41" s="119"/>
      <c r="C41" s="98"/>
      <c r="D41" s="98"/>
    </row>
    <row r="44" spans="1:11">
      <c r="B44" s="94" t="s">
        <v>447</v>
      </c>
      <c r="C44" s="94" t="s">
        <v>466</v>
      </c>
      <c r="D44" s="94" t="s">
        <v>467</v>
      </c>
      <c r="E44" s="94" t="s">
        <v>468</v>
      </c>
      <c r="F44" s="100" t="s">
        <v>573</v>
      </c>
      <c r="G44" s="129" t="s">
        <v>650</v>
      </c>
      <c r="H44" s="135" t="s">
        <v>780</v>
      </c>
      <c r="I44" s="135" t="s">
        <v>781</v>
      </c>
    </row>
    <row r="45" spans="1:11">
      <c r="B45" s="94" t="s">
        <v>445</v>
      </c>
      <c r="C45" s="120">
        <f>+(E4+E5+E8+E9+E11+E12+E13+E14+E15+E16+E18+E19+E21+E25+E26+E27+E29+E30+E31+E32+E37+E38+E39)/23</f>
        <v>51.365217391304341</v>
      </c>
      <c r="D45" s="120">
        <f>+(F4+F5+F8+F9+F11+F12+F13+F14+F15+F16+F18+F19+F21+F25+F26+F27+F29+F30+F31+F32+F37+F38+F39)/21</f>
        <v>36.671428571428571</v>
      </c>
      <c r="E45" s="120">
        <f>+(G4+G5+G8+G9+G11+G12+G13+G14+G15+G16+G18+G19+G21+G25+G26+G27+G29+G30+G31+G32+G37+G38+G39)/20</f>
        <v>32.394999999999996</v>
      </c>
      <c r="F45" s="120">
        <f>+(H4+H5+H8+H9+H11+H12+H13+H14+H15+H16+H18+H19+H21+H25+H26+H27+H29+H30+H31+H32+H37+H38+H39)/20</f>
        <v>38.249999999999993</v>
      </c>
      <c r="G45" s="120">
        <f>+(I4+I5+I8+I9+I11+I12+I13+I14+I15+I16+I18+I19+I21+I25+I26+I27+I29+I30+I31+I32+I37+I38+I39)/15</f>
        <v>29.38</v>
      </c>
      <c r="H45" s="120">
        <f>+(J4+J5+J8+J9+J11+J12+J13+J14+J15+J16+J18+J19+J21+J25+J26+J27+J29+J30+J31+J32+J37+J38+J39)/8</f>
        <v>22.087500000000002</v>
      </c>
      <c r="I45" s="120"/>
    </row>
    <row r="46" spans="1:11">
      <c r="B46" s="94"/>
    </row>
    <row r="47" spans="1:11">
      <c r="B47" s="94"/>
    </row>
    <row r="48" spans="1:11">
      <c r="B48" s="94" t="s">
        <v>448</v>
      </c>
      <c r="C48" s="129" t="s">
        <v>466</v>
      </c>
      <c r="D48" s="129" t="s">
        <v>467</v>
      </c>
      <c r="E48" s="129" t="s">
        <v>468</v>
      </c>
      <c r="F48" s="129" t="s">
        <v>573</v>
      </c>
      <c r="G48" s="135" t="s">
        <v>650</v>
      </c>
      <c r="H48" s="135" t="s">
        <v>780</v>
      </c>
      <c r="I48" s="135" t="s">
        <v>781</v>
      </c>
    </row>
    <row r="49" spans="2:9">
      <c r="B49" s="94" t="s">
        <v>445</v>
      </c>
      <c r="C49" s="99">
        <f>+(E6+E7+E10+E17+E20+E22+E23+E24+E28+E33+E34+E35+E36)/13</f>
        <v>50.646153846153844</v>
      </c>
      <c r="D49" s="99">
        <f t="shared" ref="D49:I49" si="1">+(F6+F7+F10+F17+F20+F22+F23+F24+F28+F33+F34+F35+F36)/13</f>
        <v>36.57692307692308</v>
      </c>
      <c r="E49" s="99">
        <f>+(G6+G7+G10+G17+G20+G22+G23+G24+G28+G33+G34+G35+G36)/12</f>
        <v>28.233333333333334</v>
      </c>
      <c r="F49" s="99">
        <f>+(H6+H7+H10+H17+H20+H22+H23+H24+H28+H33+H34+H35+H36)/11</f>
        <v>28.681818181818183</v>
      </c>
      <c r="G49" s="99">
        <f>+(I6+I7+I10+I17+I20+I22+I23+I24+I28+I33+I34+I35+I36)/8</f>
        <v>28.824999999999999</v>
      </c>
      <c r="H49" s="99">
        <f>+(J6+J7+J10+J17+J20+J22+J23+J24+J28+J33+J34+J35+J36)/3</f>
        <v>48.566666666666663</v>
      </c>
      <c r="I49" s="99">
        <f>+(K6+K7+K10+K17+K20+K22+K23+K24+K28+K33+K34+K35+K36)/1</f>
        <v>32.6</v>
      </c>
    </row>
    <row r="50" spans="2:9">
      <c r="B50" s="94"/>
    </row>
    <row r="51" spans="2:9">
      <c r="B51" s="94"/>
    </row>
    <row r="52" spans="2:9">
      <c r="B52" s="94" t="s">
        <v>491</v>
      </c>
      <c r="C52" s="129" t="s">
        <v>466</v>
      </c>
      <c r="D52" s="129" t="s">
        <v>467</v>
      </c>
      <c r="E52" s="129" t="s">
        <v>468</v>
      </c>
      <c r="F52" s="129" t="s">
        <v>573</v>
      </c>
      <c r="G52" s="135" t="s">
        <v>650</v>
      </c>
      <c r="H52" s="135" t="s">
        <v>780</v>
      </c>
      <c r="I52" s="135" t="s">
        <v>781</v>
      </c>
    </row>
    <row r="53" spans="2:9">
      <c r="B53" s="94" t="s">
        <v>426</v>
      </c>
      <c r="C53" s="99">
        <f>+(E8+E13+E18+E25+E30)/5</f>
        <v>36.88000000000001</v>
      </c>
      <c r="D53" s="99">
        <f t="shared" ref="D53:G53" si="2">+(F8+F13+F18+F25+F30)/5</f>
        <v>26.119999999999997</v>
      </c>
      <c r="E53" s="99">
        <f t="shared" si="2"/>
        <v>27.22</v>
      </c>
      <c r="F53" s="99">
        <f t="shared" si="2"/>
        <v>32.440000000000005</v>
      </c>
      <c r="G53" s="99">
        <f>+(I8+I13+I18+I25+I30)/4</f>
        <v>27.074999999999999</v>
      </c>
      <c r="H53" s="99">
        <f>+(J8+J13+J18+J25+J30)/1</f>
        <v>7.2</v>
      </c>
    </row>
    <row r="54" spans="2:9">
      <c r="B54" s="94" t="s">
        <v>427</v>
      </c>
      <c r="C54" s="99">
        <f>+(E4+E9+E11+E12+E14+E15+E19+E16+E26+E27+E29+E32+E37)/13</f>
        <v>50.907692307692301</v>
      </c>
      <c r="D54" s="99">
        <f t="shared" ref="D54:E54" si="3">+(F4+F9+F11+F12+F14+F15+F19+F16+F26+F27+F29+F32+F37)/13</f>
        <v>37.830769230769235</v>
      </c>
      <c r="E54" s="99">
        <f>+(G4+G9+G11+G12+G14+G15+G19+G16+G26+G27+G29+G32+G37)/12</f>
        <v>22.791666666666668</v>
      </c>
      <c r="F54" s="99">
        <f>+(H4+H9+H11+H12+H14+H15+H19+H16+H26+H27+H29+H32+H37)/11</f>
        <v>41.06363636363637</v>
      </c>
      <c r="G54" s="99">
        <f>+(I4+I9+I11+I12+I14+I15+I19+I16+I26+I27+I29+I32+I37)/10</f>
        <v>31.57</v>
      </c>
      <c r="H54" s="99">
        <f>+(J4+J9+J11+J12+J14+J15+J19+J16+J26+J27+J29+J32+J37)/7</f>
        <v>24.214285714285715</v>
      </c>
    </row>
    <row r="55" spans="2:9">
      <c r="B55" s="94" t="s">
        <v>428</v>
      </c>
      <c r="C55" s="99">
        <f>+(E5+E21+E31+E38+E39)/5</f>
        <v>67.040000000000006</v>
      </c>
      <c r="D55" s="99">
        <f>+(F5+F21+F31+F38+F39)/3</f>
        <v>49.233333333333327</v>
      </c>
      <c r="E55" s="99">
        <f>+(G5+G21+G31+G38+G39)/3</f>
        <v>79.433333333333337</v>
      </c>
      <c r="F55" s="99">
        <f t="shared" ref="E55:F55" si="4">+(H5+H21+H31+H38+H39)/3</f>
        <v>50.366666666666667</v>
      </c>
      <c r="G55" s="99">
        <f>+(I5+I21+I31+I38+I39)/1</f>
        <v>16.7</v>
      </c>
    </row>
    <row r="56" spans="2:9">
      <c r="B56" s="94"/>
    </row>
    <row r="57" spans="2:9">
      <c r="B57" s="94"/>
    </row>
    <row r="58" spans="2:9">
      <c r="B58" s="94" t="s">
        <v>492</v>
      </c>
      <c r="C58" s="129" t="s">
        <v>466</v>
      </c>
      <c r="D58" s="129" t="s">
        <v>467</v>
      </c>
      <c r="E58" s="129" t="s">
        <v>468</v>
      </c>
      <c r="F58" s="129" t="s">
        <v>573</v>
      </c>
      <c r="G58" s="135" t="s">
        <v>650</v>
      </c>
      <c r="H58" s="135" t="s">
        <v>780</v>
      </c>
      <c r="I58" s="135" t="s">
        <v>781</v>
      </c>
    </row>
    <row r="59" spans="2:9">
      <c r="B59" s="94" t="s">
        <v>426</v>
      </c>
      <c r="C59" s="99">
        <f>+(E23+E24+E36)/3</f>
        <v>48.333333333333336</v>
      </c>
      <c r="D59" s="99">
        <f t="shared" ref="D59:G59" si="5">+(F23+F24+F36)/3</f>
        <v>39.133333333333333</v>
      </c>
      <c r="E59" s="99">
        <f t="shared" si="5"/>
        <v>29.900000000000002</v>
      </c>
      <c r="F59" s="99">
        <f>+(H23+H24+H36)/2</f>
        <v>34.949999999999996</v>
      </c>
      <c r="G59" s="99">
        <f>+(I23+I24+I36)/2</f>
        <v>39.450000000000003</v>
      </c>
    </row>
    <row r="60" spans="2:9">
      <c r="B60" s="94" t="s">
        <v>427</v>
      </c>
      <c r="C60" s="99">
        <f>+(E6+E7+E10+E17+E22+E28)/6</f>
        <v>54.066666666666663</v>
      </c>
      <c r="D60" s="99">
        <f t="shared" ref="D60:I60" si="6">+(F6+F7+F10+F17+F22+F28)/6</f>
        <v>36.099999999999994</v>
      </c>
      <c r="E60" s="99">
        <f t="shared" si="6"/>
        <v>25.700000000000003</v>
      </c>
      <c r="F60" s="99">
        <f t="shared" si="6"/>
        <v>30.55</v>
      </c>
      <c r="G60" s="99">
        <f>+(I6+I7+I10+I17+I22+I28)/5</f>
        <v>24.880000000000003</v>
      </c>
      <c r="H60" s="99">
        <f>+(J6+J7+J10+J17+J22+J28)/3</f>
        <v>48.566666666666663</v>
      </c>
      <c r="I60" s="99">
        <f>+(K6+K7+K10+K17+K22+K28)/1</f>
        <v>32.6</v>
      </c>
    </row>
    <row r="61" spans="2:9">
      <c r="B61" s="94" t="s">
        <v>428</v>
      </c>
      <c r="C61" s="99">
        <f>(E20+E33+E34+E35)/4</f>
        <v>47.25</v>
      </c>
      <c r="D61" s="99">
        <f t="shared" ref="D61:G61" si="7">(F20+F33+F34+F35)/4</f>
        <v>35.375</v>
      </c>
      <c r="E61" s="99">
        <f>(G20+G33+G34+G35)/3</f>
        <v>31.633333333333336</v>
      </c>
      <c r="F61" s="99">
        <f>(H20+H33+H34+H35)/3</f>
        <v>20.766666666666669</v>
      </c>
      <c r="G61" s="99">
        <f>(I20+I33+I34+I35)/1</f>
        <v>27.3</v>
      </c>
    </row>
  </sheetData>
  <autoFilter ref="A3:G39"/>
  <mergeCells count="1">
    <mergeCell ref="E2:G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A19" workbookViewId="0">
      <selection activeCell="B4" sqref="B4:D39"/>
    </sheetView>
  </sheetViews>
  <sheetFormatPr baseColWidth="10" defaultRowHeight="15"/>
  <cols>
    <col min="1" max="1" width="5.28515625" bestFit="1" customWidth="1"/>
    <col min="2" max="2" width="55" bestFit="1" customWidth="1"/>
    <col min="4" max="4" width="11.42578125" style="94"/>
  </cols>
  <sheetData>
    <row r="1" spans="1:11">
      <c r="A1" t="s">
        <v>469</v>
      </c>
    </row>
    <row r="2" spans="1:11">
      <c r="E2" s="160" t="s">
        <v>470</v>
      </c>
      <c r="F2" s="160"/>
      <c r="G2" s="160"/>
    </row>
    <row r="3" spans="1:11">
      <c r="A3" s="81" t="s">
        <v>439</v>
      </c>
      <c r="B3" s="81" t="s">
        <v>440</v>
      </c>
      <c r="C3" s="81" t="s">
        <v>446</v>
      </c>
      <c r="D3" s="94" t="s">
        <v>490</v>
      </c>
      <c r="E3" s="81" t="s">
        <v>471</v>
      </c>
      <c r="F3" s="81" t="s">
        <v>472</v>
      </c>
      <c r="G3" s="81" t="s">
        <v>473</v>
      </c>
      <c r="H3" s="100" t="s">
        <v>574</v>
      </c>
      <c r="I3" s="129" t="s">
        <v>651</v>
      </c>
      <c r="J3" s="135" t="s">
        <v>782</v>
      </c>
      <c r="K3" s="135" t="s">
        <v>783</v>
      </c>
    </row>
    <row r="4" spans="1:11">
      <c r="A4" s="81">
        <v>1</v>
      </c>
      <c r="B4" s="31" t="s">
        <v>577</v>
      </c>
      <c r="C4" s="13" t="s">
        <v>45</v>
      </c>
      <c r="D4" s="13" t="s">
        <v>44</v>
      </c>
      <c r="E4" s="36">
        <v>0.23899999999999999</v>
      </c>
      <c r="F4" s="36">
        <v>0.86599999999999999</v>
      </c>
      <c r="G4" s="36">
        <v>0.91100000000000003</v>
      </c>
      <c r="H4" s="36">
        <v>0.89500000000000002</v>
      </c>
      <c r="I4" s="36">
        <v>0.77700000000000002</v>
      </c>
      <c r="J4" s="36">
        <v>0.82799999999999996</v>
      </c>
      <c r="K4" s="36"/>
    </row>
    <row r="5" spans="1:11" ht="30">
      <c r="A5" s="81">
        <f>+A4+1</f>
        <v>2</v>
      </c>
      <c r="B5" s="37" t="s">
        <v>54</v>
      </c>
      <c r="C5" s="13" t="s">
        <v>45</v>
      </c>
      <c r="D5" s="13" t="s">
        <v>58</v>
      </c>
      <c r="E5" s="36">
        <v>0.61399999999999999</v>
      </c>
      <c r="F5" s="36">
        <v>0.19800000000000001</v>
      </c>
      <c r="G5" s="36">
        <v>0.69599999999999995</v>
      </c>
      <c r="H5" s="36">
        <v>0.52600000000000002</v>
      </c>
      <c r="I5" s="8"/>
      <c r="J5" s="8"/>
      <c r="K5" s="8"/>
    </row>
    <row r="6" spans="1:11">
      <c r="A6" s="81">
        <f t="shared" ref="A6:A36" si="0">+A5+1</f>
        <v>3</v>
      </c>
      <c r="B6" s="41" t="s">
        <v>619</v>
      </c>
      <c r="C6" s="13" t="s">
        <v>73</v>
      </c>
      <c r="D6" s="13" t="s">
        <v>72</v>
      </c>
      <c r="E6" s="33">
        <v>0.95699999999999996</v>
      </c>
      <c r="F6" s="36">
        <v>0.96499999999999997</v>
      </c>
      <c r="G6" s="132">
        <v>0.96799999999999997</v>
      </c>
      <c r="H6" s="36">
        <v>0.96499999999999997</v>
      </c>
      <c r="I6" s="36">
        <v>0.96799999999999997</v>
      </c>
      <c r="J6" s="36">
        <v>0.98399999999999999</v>
      </c>
      <c r="K6" s="36">
        <v>0.97299999999999998</v>
      </c>
    </row>
    <row r="7" spans="1:11">
      <c r="A7" s="81">
        <f t="shared" si="0"/>
        <v>4</v>
      </c>
      <c r="B7" s="42" t="s">
        <v>580</v>
      </c>
      <c r="C7" s="13" t="s">
        <v>73</v>
      </c>
      <c r="D7" s="13" t="s">
        <v>88</v>
      </c>
      <c r="E7" s="33">
        <v>0.71899999999999997</v>
      </c>
      <c r="F7" s="36">
        <v>0.77400000000000002</v>
      </c>
      <c r="G7" s="36">
        <v>0.86399999999999999</v>
      </c>
      <c r="H7" s="36">
        <v>0.84599999999999997</v>
      </c>
      <c r="I7" s="36">
        <v>0.82199999999999995</v>
      </c>
      <c r="J7" s="36">
        <v>0.65500000000000003</v>
      </c>
      <c r="K7" s="36"/>
    </row>
    <row r="8" spans="1:11">
      <c r="A8" s="81">
        <f t="shared" si="0"/>
        <v>5</v>
      </c>
      <c r="B8" s="42" t="s">
        <v>510</v>
      </c>
      <c r="C8" s="13" t="s">
        <v>45</v>
      </c>
      <c r="D8" s="13" t="s">
        <v>99</v>
      </c>
      <c r="E8" s="35">
        <v>0.43</v>
      </c>
      <c r="F8" s="36">
        <v>0.73299999999999998</v>
      </c>
      <c r="G8" s="40">
        <v>0.7</v>
      </c>
      <c r="H8" s="36">
        <v>0.64900000000000002</v>
      </c>
      <c r="I8" s="36">
        <v>0.67500000000000004</v>
      </c>
      <c r="J8" s="8"/>
      <c r="K8" s="8"/>
    </row>
    <row r="9" spans="1:11">
      <c r="A9" s="81">
        <f t="shared" si="0"/>
        <v>6</v>
      </c>
      <c r="B9" s="31" t="s">
        <v>622</v>
      </c>
      <c r="C9" s="13" t="s">
        <v>45</v>
      </c>
      <c r="D9" s="13" t="s">
        <v>72</v>
      </c>
      <c r="E9" s="33">
        <v>0.58599999999999997</v>
      </c>
      <c r="F9" s="36">
        <v>0.41799999999999998</v>
      </c>
      <c r="G9" s="36">
        <v>0.44500000000000001</v>
      </c>
      <c r="H9" s="36">
        <v>0.52500000000000002</v>
      </c>
      <c r="I9" s="36">
        <v>0.83299999999999996</v>
      </c>
      <c r="J9" s="36">
        <v>0.93200000000000005</v>
      </c>
      <c r="K9" s="36"/>
    </row>
    <row r="10" spans="1:11">
      <c r="A10" s="81">
        <f t="shared" si="0"/>
        <v>7</v>
      </c>
      <c r="B10" s="45" t="s">
        <v>624</v>
      </c>
      <c r="C10" s="13" t="s">
        <v>73</v>
      </c>
      <c r="D10" s="13" t="s">
        <v>88</v>
      </c>
      <c r="E10" s="33">
        <v>0.25800000000000001</v>
      </c>
      <c r="F10" s="36">
        <v>0.874</v>
      </c>
      <c r="G10" s="40">
        <v>0.95</v>
      </c>
      <c r="H10" s="36">
        <v>0.75900000000000001</v>
      </c>
      <c r="I10" s="36">
        <v>0.97499999999999998</v>
      </c>
      <c r="J10" s="36">
        <v>0.93500000000000005</v>
      </c>
      <c r="K10" s="36"/>
    </row>
    <row r="11" spans="1:11">
      <c r="A11" s="81">
        <f t="shared" si="0"/>
        <v>8</v>
      </c>
      <c r="B11" s="31" t="s">
        <v>626</v>
      </c>
      <c r="C11" s="13" t="s">
        <v>45</v>
      </c>
      <c r="D11" s="13" t="s">
        <v>128</v>
      </c>
      <c r="E11" s="33">
        <v>0.34899999999999998</v>
      </c>
      <c r="F11" s="36">
        <v>0.35299999999999998</v>
      </c>
      <c r="G11" s="36">
        <v>0.85599999999999998</v>
      </c>
      <c r="H11" s="36">
        <v>0.54100000000000004</v>
      </c>
      <c r="I11" s="36">
        <v>0.85399999999999998</v>
      </c>
      <c r="J11" s="36">
        <v>0.88900000000000001</v>
      </c>
      <c r="K11" s="36"/>
    </row>
    <row r="12" spans="1:11">
      <c r="A12" s="81">
        <f t="shared" si="0"/>
        <v>9</v>
      </c>
      <c r="B12" s="48" t="s">
        <v>629</v>
      </c>
      <c r="C12" s="13" t="s">
        <v>45</v>
      </c>
      <c r="D12" s="13" t="s">
        <v>72</v>
      </c>
      <c r="E12" s="33">
        <v>0.92500000000000004</v>
      </c>
      <c r="F12" s="40">
        <v>0.93</v>
      </c>
      <c r="G12" s="40">
        <v>0.94</v>
      </c>
      <c r="H12" s="36">
        <v>0.95699999999999996</v>
      </c>
      <c r="I12" s="36">
        <v>0.96299999999999997</v>
      </c>
      <c r="J12" s="36">
        <v>0.97399999999999998</v>
      </c>
      <c r="K12" s="36"/>
    </row>
    <row r="13" spans="1:11">
      <c r="A13" s="81">
        <f t="shared" si="0"/>
        <v>10</v>
      </c>
      <c r="B13" s="42" t="s">
        <v>525</v>
      </c>
      <c r="C13" s="13" t="s">
        <v>45</v>
      </c>
      <c r="D13" s="13" t="s">
        <v>150</v>
      </c>
      <c r="E13" s="33">
        <v>0.25900000000000001</v>
      </c>
      <c r="F13" s="33">
        <v>0.26300000000000001</v>
      </c>
      <c r="G13" s="33">
        <v>0.40500000000000003</v>
      </c>
      <c r="H13" s="33">
        <v>0.54700000000000004</v>
      </c>
      <c r="I13" s="33">
        <v>0.877</v>
      </c>
      <c r="J13" s="33">
        <v>0.89800000000000002</v>
      </c>
      <c r="K13" s="33"/>
    </row>
    <row r="14" spans="1:11">
      <c r="A14" s="81">
        <f t="shared" si="0"/>
        <v>11</v>
      </c>
      <c r="B14" s="42" t="s">
        <v>631</v>
      </c>
      <c r="C14" s="13" t="s">
        <v>45</v>
      </c>
      <c r="D14" s="13" t="s">
        <v>128</v>
      </c>
      <c r="E14" s="33">
        <v>0.86499999999999999</v>
      </c>
      <c r="F14" s="33">
        <v>0.91800000000000004</v>
      </c>
      <c r="G14" s="33">
        <v>0.95899999999999996</v>
      </c>
      <c r="H14" s="35">
        <v>0.92</v>
      </c>
      <c r="I14" s="33">
        <v>0.91200000000000003</v>
      </c>
      <c r="J14" s="33">
        <v>0.91600000000000004</v>
      </c>
      <c r="K14" s="33"/>
    </row>
    <row r="15" spans="1:11">
      <c r="A15" s="81">
        <f t="shared" si="0"/>
        <v>12</v>
      </c>
      <c r="B15" s="31" t="s">
        <v>529</v>
      </c>
      <c r="C15" s="13" t="s">
        <v>45</v>
      </c>
      <c r="D15" s="13" t="s">
        <v>128</v>
      </c>
      <c r="E15" s="33">
        <v>0.94699999999999995</v>
      </c>
      <c r="F15" s="33">
        <v>0.89700000000000002</v>
      </c>
      <c r="G15" s="28">
        <v>0</v>
      </c>
      <c r="H15" s="33">
        <v>0.94399999999999995</v>
      </c>
      <c r="I15" s="33">
        <v>0.95599999999999996</v>
      </c>
      <c r="J15" s="13"/>
      <c r="K15" s="13"/>
    </row>
    <row r="16" spans="1:11">
      <c r="A16" s="81">
        <f t="shared" si="0"/>
        <v>13</v>
      </c>
      <c r="B16" s="50" t="s">
        <v>632</v>
      </c>
      <c r="C16" s="13" t="s">
        <v>45</v>
      </c>
      <c r="D16" s="13" t="s">
        <v>88</v>
      </c>
      <c r="E16" s="35">
        <v>0.55000000000000004</v>
      </c>
      <c r="F16" s="33">
        <v>0.755</v>
      </c>
      <c r="G16" s="33">
        <v>0.76600000000000001</v>
      </c>
      <c r="H16" s="33">
        <v>0.73099999999999998</v>
      </c>
      <c r="I16" s="33">
        <v>0.78200000000000003</v>
      </c>
      <c r="J16" s="33">
        <v>0.71799999999999997</v>
      </c>
      <c r="K16" s="33"/>
    </row>
    <row r="17" spans="1:11">
      <c r="A17" s="81">
        <f t="shared" si="0"/>
        <v>14</v>
      </c>
      <c r="B17" s="31" t="s">
        <v>584</v>
      </c>
      <c r="C17" s="13" t="s">
        <v>73</v>
      </c>
      <c r="D17" s="28" t="s">
        <v>72</v>
      </c>
      <c r="E17" s="33">
        <v>0.96399999999999997</v>
      </c>
      <c r="F17" s="33">
        <v>0.98199999999999998</v>
      </c>
      <c r="G17" s="33">
        <v>0.96799999999999997</v>
      </c>
      <c r="H17" s="33">
        <v>0.96499999999999997</v>
      </c>
      <c r="I17" s="33">
        <v>0.96699999999999997</v>
      </c>
      <c r="J17" s="13"/>
      <c r="K17" s="13"/>
    </row>
    <row r="18" spans="1:11">
      <c r="A18" s="81">
        <f t="shared" si="0"/>
        <v>15</v>
      </c>
      <c r="B18" s="31" t="s">
        <v>636</v>
      </c>
      <c r="C18" s="13" t="s">
        <v>45</v>
      </c>
      <c r="D18" s="28" t="s">
        <v>196</v>
      </c>
      <c r="E18" s="33">
        <v>0.753</v>
      </c>
      <c r="F18" s="33">
        <v>0.80300000000000005</v>
      </c>
      <c r="G18" s="33">
        <v>0.70399999999999996</v>
      </c>
      <c r="H18" s="33">
        <v>0.85799999999999998</v>
      </c>
      <c r="I18" s="13"/>
      <c r="J18" s="13"/>
      <c r="K18" s="13"/>
    </row>
    <row r="19" spans="1:11">
      <c r="A19" s="81">
        <f t="shared" si="0"/>
        <v>16</v>
      </c>
      <c r="B19" s="31" t="s">
        <v>586</v>
      </c>
      <c r="C19" s="24" t="s">
        <v>45</v>
      </c>
      <c r="D19" s="24" t="s">
        <v>205</v>
      </c>
      <c r="E19" s="33">
        <v>0.72599999999999998</v>
      </c>
      <c r="F19" s="33">
        <v>0.88400000000000001</v>
      </c>
      <c r="G19" s="33">
        <v>0.83699999999999997</v>
      </c>
      <c r="H19" s="33">
        <v>0.76200000000000001</v>
      </c>
      <c r="I19" s="33">
        <v>0.77200000000000002</v>
      </c>
      <c r="J19" s="13"/>
      <c r="K19" s="13"/>
    </row>
    <row r="20" spans="1:11">
      <c r="A20" s="81">
        <f t="shared" si="0"/>
        <v>17</v>
      </c>
      <c r="B20" s="41" t="s">
        <v>589</v>
      </c>
      <c r="C20" s="24" t="s">
        <v>225</v>
      </c>
      <c r="D20" s="24" t="s">
        <v>58</v>
      </c>
      <c r="E20" s="40">
        <v>0.94</v>
      </c>
      <c r="F20" s="36">
        <v>0.95399999999999996</v>
      </c>
      <c r="G20" s="40">
        <v>0.94</v>
      </c>
      <c r="H20" s="36">
        <v>0.84399999999999997</v>
      </c>
      <c r="I20" s="36">
        <v>0.9</v>
      </c>
      <c r="J20" s="8"/>
      <c r="K20" s="8"/>
    </row>
    <row r="21" spans="1:11">
      <c r="A21" s="81">
        <f t="shared" si="0"/>
        <v>18</v>
      </c>
      <c r="B21" s="42" t="s">
        <v>592</v>
      </c>
      <c r="C21" s="24" t="s">
        <v>45</v>
      </c>
      <c r="D21" s="24" t="s">
        <v>58</v>
      </c>
      <c r="E21" s="40">
        <v>0.98</v>
      </c>
      <c r="F21" s="36">
        <v>0.98799999999999999</v>
      </c>
      <c r="G21" s="36">
        <v>0.95599999999999996</v>
      </c>
      <c r="H21" s="36">
        <v>0.94699999999999995</v>
      </c>
      <c r="I21" s="40">
        <v>0.96</v>
      </c>
      <c r="J21" s="8"/>
      <c r="K21" s="8"/>
    </row>
    <row r="22" spans="1:11">
      <c r="A22" s="81">
        <f t="shared" si="0"/>
        <v>19</v>
      </c>
      <c r="B22" s="42" t="s">
        <v>594</v>
      </c>
      <c r="C22" s="24" t="s">
        <v>225</v>
      </c>
      <c r="D22" s="24" t="s">
        <v>205</v>
      </c>
      <c r="E22" s="36">
        <v>0.61299999999999999</v>
      </c>
      <c r="F22" s="36">
        <v>0.871</v>
      </c>
      <c r="G22" s="36">
        <v>0.88300000000000001</v>
      </c>
      <c r="H22" s="36">
        <v>0.91700000000000004</v>
      </c>
      <c r="I22" s="8"/>
      <c r="J22" s="8"/>
      <c r="K22" s="8"/>
    </row>
    <row r="23" spans="1:11">
      <c r="A23" s="81">
        <f t="shared" si="0"/>
        <v>20</v>
      </c>
      <c r="B23" s="42" t="s">
        <v>597</v>
      </c>
      <c r="C23" s="24" t="s">
        <v>225</v>
      </c>
      <c r="D23" s="24" t="s">
        <v>196</v>
      </c>
      <c r="E23" s="36">
        <v>0.996</v>
      </c>
      <c r="F23" s="36">
        <v>0.91700000000000004</v>
      </c>
      <c r="G23" s="36">
        <v>0.94599999999999995</v>
      </c>
      <c r="H23" s="36">
        <v>0.93899999999999995</v>
      </c>
      <c r="I23" s="36">
        <v>0.93300000000000005</v>
      </c>
      <c r="J23" s="8"/>
      <c r="K23" s="8"/>
    </row>
    <row r="24" spans="1:11">
      <c r="A24" s="81">
        <f t="shared" si="0"/>
        <v>21</v>
      </c>
      <c r="B24" s="42" t="s">
        <v>599</v>
      </c>
      <c r="C24" s="24" t="s">
        <v>225</v>
      </c>
      <c r="D24" s="24" t="s">
        <v>150</v>
      </c>
      <c r="E24" s="36">
        <v>0.79900000000000004</v>
      </c>
      <c r="F24" s="36">
        <v>0.871</v>
      </c>
      <c r="G24" s="36">
        <v>0.86399999999999999</v>
      </c>
      <c r="H24" s="36">
        <v>0.89500000000000002</v>
      </c>
      <c r="I24" s="36">
        <v>0.96899999999999997</v>
      </c>
      <c r="J24" s="8"/>
      <c r="K24" s="8"/>
    </row>
    <row r="25" spans="1:11">
      <c r="A25" s="81">
        <f t="shared" si="0"/>
        <v>22</v>
      </c>
      <c r="B25" s="42" t="s">
        <v>601</v>
      </c>
      <c r="C25" s="24" t="s">
        <v>45</v>
      </c>
      <c r="D25" s="24" t="s">
        <v>150</v>
      </c>
      <c r="E25" s="36">
        <v>0.75900000000000001</v>
      </c>
      <c r="F25" s="36">
        <v>0.875</v>
      </c>
      <c r="G25" s="36">
        <v>0.76900000000000002</v>
      </c>
      <c r="H25" s="36">
        <v>0.85199999999999998</v>
      </c>
      <c r="I25" s="40">
        <v>0.89</v>
      </c>
      <c r="J25" s="8"/>
      <c r="K25" s="8"/>
    </row>
    <row r="26" spans="1:11">
      <c r="A26" s="81">
        <f t="shared" si="0"/>
        <v>23</v>
      </c>
      <c r="B26" s="42" t="s">
        <v>537</v>
      </c>
      <c r="C26" s="24" t="s">
        <v>45</v>
      </c>
      <c r="D26" s="24" t="s">
        <v>72</v>
      </c>
      <c r="E26" s="36">
        <v>0.69499999999999995</v>
      </c>
      <c r="F26" s="40">
        <v>0.91</v>
      </c>
      <c r="G26" s="36">
        <v>0.92700000000000005</v>
      </c>
      <c r="H26" s="36">
        <v>0.98099999999999998</v>
      </c>
      <c r="I26" s="36">
        <v>0.94099999999999995</v>
      </c>
      <c r="J26" s="8"/>
      <c r="K26" s="8"/>
    </row>
    <row r="27" spans="1:11">
      <c r="A27" s="81">
        <f t="shared" si="0"/>
        <v>24</v>
      </c>
      <c r="B27" s="42" t="s">
        <v>540</v>
      </c>
      <c r="C27" s="24" t="s">
        <v>45</v>
      </c>
      <c r="D27" s="24" t="s">
        <v>128</v>
      </c>
      <c r="E27" s="36">
        <v>0.79900000000000004</v>
      </c>
      <c r="F27" s="40">
        <v>0.94</v>
      </c>
      <c r="G27" s="36">
        <v>0.97599999999999998</v>
      </c>
      <c r="H27" s="36">
        <v>0.93500000000000005</v>
      </c>
      <c r="I27" s="8"/>
      <c r="J27" s="8"/>
      <c r="K27" s="8"/>
    </row>
    <row r="28" spans="1:11">
      <c r="A28" s="81">
        <f t="shared" si="0"/>
        <v>25</v>
      </c>
      <c r="B28" s="42" t="s">
        <v>602</v>
      </c>
      <c r="C28" s="24" t="s">
        <v>225</v>
      </c>
      <c r="D28" s="24" t="s">
        <v>88</v>
      </c>
      <c r="E28" s="36">
        <v>0.81899999999999995</v>
      </c>
      <c r="F28" s="36">
        <v>0.53900000000000003</v>
      </c>
      <c r="G28" s="36">
        <v>0.65100000000000002</v>
      </c>
      <c r="H28" s="36">
        <v>0.67500000000000004</v>
      </c>
      <c r="I28" s="36">
        <v>0.623</v>
      </c>
      <c r="J28" s="8"/>
      <c r="K28" s="8"/>
    </row>
    <row r="29" spans="1:11">
      <c r="A29" s="81">
        <f t="shared" si="0"/>
        <v>26</v>
      </c>
      <c r="B29" s="42" t="s">
        <v>606</v>
      </c>
      <c r="C29" s="24" t="s">
        <v>45</v>
      </c>
      <c r="D29" s="24" t="s">
        <v>128</v>
      </c>
      <c r="E29" s="36">
        <v>0.185</v>
      </c>
      <c r="F29" s="40">
        <v>0.2</v>
      </c>
      <c r="G29" s="36">
        <v>0.20300000000000001</v>
      </c>
      <c r="H29" s="40">
        <v>0.83</v>
      </c>
      <c r="I29" s="36">
        <v>0.93700000000000006</v>
      </c>
      <c r="J29" s="36">
        <v>0.83199999999999996</v>
      </c>
      <c r="K29" s="36"/>
    </row>
    <row r="30" spans="1:11">
      <c r="A30" s="81">
        <f t="shared" si="0"/>
        <v>27</v>
      </c>
      <c r="B30" s="42" t="s">
        <v>637</v>
      </c>
      <c r="C30" s="24" t="s">
        <v>45</v>
      </c>
      <c r="D30" s="24" t="s">
        <v>314</v>
      </c>
      <c r="E30" s="36">
        <v>0.97099999999999997</v>
      </c>
      <c r="F30" s="36">
        <v>0.97299999999999998</v>
      </c>
      <c r="G30" s="36">
        <v>0.98699999999999999</v>
      </c>
      <c r="H30" s="36">
        <v>0.98599999999999999</v>
      </c>
      <c r="I30" s="36">
        <v>0.98499999999999999</v>
      </c>
      <c r="J30" s="8"/>
      <c r="K30" s="8"/>
    </row>
    <row r="31" spans="1:11">
      <c r="A31" s="81">
        <f t="shared" si="0"/>
        <v>28</v>
      </c>
      <c r="B31" s="42" t="s">
        <v>552</v>
      </c>
      <c r="C31" s="24" t="s">
        <v>45</v>
      </c>
      <c r="D31" s="24" t="s">
        <v>323</v>
      </c>
      <c r="E31" s="36">
        <v>0.98199999999999998</v>
      </c>
      <c r="F31" s="36">
        <v>0.99399999999999999</v>
      </c>
      <c r="G31" s="36">
        <v>0.90800000000000003</v>
      </c>
      <c r="H31" s="36">
        <v>0.97799999999999998</v>
      </c>
      <c r="I31" s="8"/>
      <c r="J31" s="8"/>
      <c r="K31" s="8"/>
    </row>
    <row r="32" spans="1:11">
      <c r="A32" s="81">
        <f t="shared" si="0"/>
        <v>29</v>
      </c>
      <c r="B32" s="42" t="s">
        <v>607</v>
      </c>
      <c r="C32" s="24" t="s">
        <v>332</v>
      </c>
      <c r="D32" s="24" t="s">
        <v>88</v>
      </c>
      <c r="E32" s="40">
        <v>0.26</v>
      </c>
      <c r="F32" s="36">
        <v>0.39600000000000002</v>
      </c>
      <c r="G32" s="36">
        <v>0.60599999999999998</v>
      </c>
      <c r="H32" s="36">
        <v>0.79300000000000004</v>
      </c>
      <c r="I32" s="8"/>
      <c r="J32" s="8"/>
      <c r="K32" s="8"/>
    </row>
    <row r="33" spans="1:11">
      <c r="A33" s="81">
        <f t="shared" si="0"/>
        <v>30</v>
      </c>
      <c r="B33" s="42" t="s">
        <v>611</v>
      </c>
      <c r="C33" s="24" t="s">
        <v>73</v>
      </c>
      <c r="D33" s="24" t="s">
        <v>58</v>
      </c>
      <c r="E33" s="36">
        <v>0.72699999999999998</v>
      </c>
      <c r="F33" s="36">
        <v>0.73699999999999999</v>
      </c>
      <c r="G33" s="36">
        <v>0.63700000000000001</v>
      </c>
      <c r="H33" s="36">
        <v>0.77600000000000002</v>
      </c>
      <c r="I33" s="8"/>
      <c r="J33" s="8"/>
      <c r="K33" s="8"/>
    </row>
    <row r="34" spans="1:11">
      <c r="A34" s="81">
        <f t="shared" si="0"/>
        <v>31</v>
      </c>
      <c r="B34" s="65" t="s">
        <v>639</v>
      </c>
      <c r="C34" s="24" t="s">
        <v>73</v>
      </c>
      <c r="D34" s="24" t="s">
        <v>323</v>
      </c>
      <c r="E34" s="40">
        <v>0.6</v>
      </c>
      <c r="F34" s="40">
        <v>0.52</v>
      </c>
      <c r="G34" s="36">
        <v>0.63100000000000001</v>
      </c>
      <c r="H34" s="36">
        <v>0.68100000000000005</v>
      </c>
      <c r="I34" s="8"/>
      <c r="J34" s="8"/>
      <c r="K34" s="8"/>
    </row>
    <row r="35" spans="1:11">
      <c r="A35" s="81">
        <f t="shared" si="0"/>
        <v>32</v>
      </c>
      <c r="B35" s="31" t="s">
        <v>557</v>
      </c>
      <c r="C35" s="24" t="s">
        <v>73</v>
      </c>
      <c r="D35" s="24" t="s">
        <v>58</v>
      </c>
      <c r="E35" s="36">
        <v>0.56200000000000006</v>
      </c>
      <c r="F35" s="36">
        <v>0.77500000000000002</v>
      </c>
      <c r="G35" s="8"/>
      <c r="H35" s="8"/>
      <c r="I35" s="8"/>
      <c r="J35" s="8"/>
      <c r="K35" s="8"/>
    </row>
    <row r="36" spans="1:11">
      <c r="A36" s="81">
        <f t="shared" si="0"/>
        <v>33</v>
      </c>
      <c r="B36" s="28" t="s">
        <v>642</v>
      </c>
      <c r="C36" s="24" t="s">
        <v>73</v>
      </c>
      <c r="D36" s="24" t="s">
        <v>499</v>
      </c>
      <c r="E36" s="36">
        <v>0.90300000000000002</v>
      </c>
      <c r="F36" s="36">
        <v>0.96799999999999997</v>
      </c>
      <c r="G36" s="36">
        <v>0.96399999999999997</v>
      </c>
      <c r="H36" s="8"/>
      <c r="I36" s="8"/>
      <c r="J36" s="8"/>
      <c r="K36" s="8"/>
    </row>
    <row r="37" spans="1:11">
      <c r="A37" s="81"/>
      <c r="B37" s="28" t="s">
        <v>644</v>
      </c>
      <c r="C37" s="24" t="s">
        <v>45</v>
      </c>
      <c r="D37" s="24" t="s">
        <v>88</v>
      </c>
      <c r="E37" s="36">
        <v>0.81899999999999995</v>
      </c>
      <c r="F37" s="36">
        <v>0.82</v>
      </c>
      <c r="G37" s="8"/>
      <c r="H37" s="8"/>
      <c r="I37" s="8"/>
      <c r="J37" s="8"/>
      <c r="K37" s="8"/>
    </row>
    <row r="38" spans="1:11">
      <c r="B38" s="28" t="s">
        <v>756</v>
      </c>
      <c r="C38" s="163" t="s">
        <v>45</v>
      </c>
      <c r="D38" s="163" t="s">
        <v>58</v>
      </c>
      <c r="E38" s="36">
        <v>0.22500000000000001</v>
      </c>
      <c r="F38" s="8"/>
      <c r="G38" s="8"/>
      <c r="H38" s="8"/>
      <c r="I38" s="8"/>
      <c r="J38" s="8"/>
      <c r="K38" s="8"/>
    </row>
    <row r="39" spans="1:11">
      <c r="B39" s="64" t="s">
        <v>764</v>
      </c>
      <c r="C39" s="163" t="s">
        <v>45</v>
      </c>
      <c r="D39" s="163" t="s">
        <v>323</v>
      </c>
      <c r="E39" s="78">
        <v>0.65600000000000003</v>
      </c>
      <c r="F39" s="135"/>
      <c r="G39" s="135"/>
      <c r="H39" s="135"/>
      <c r="I39" s="135"/>
      <c r="J39" s="135"/>
      <c r="K39" s="135"/>
    </row>
    <row r="40" spans="1:11" s="135" customFormat="1">
      <c r="B40" s="119"/>
      <c r="C40" s="98"/>
      <c r="D40" s="98"/>
      <c r="E40" s="78"/>
    </row>
    <row r="41" spans="1:11" s="135" customFormat="1">
      <c r="B41" s="119"/>
      <c r="C41" s="98"/>
      <c r="D41" s="98"/>
      <c r="E41" s="78"/>
    </row>
    <row r="42" spans="1:11" s="135" customFormat="1">
      <c r="B42" s="119"/>
      <c r="C42" s="98"/>
      <c r="D42" s="98"/>
      <c r="E42" s="78"/>
    </row>
    <row r="44" spans="1:11">
      <c r="B44" s="94" t="s">
        <v>447</v>
      </c>
      <c r="C44" s="94" t="s">
        <v>471</v>
      </c>
      <c r="D44" s="94" t="s">
        <v>472</v>
      </c>
      <c r="E44" s="94" t="s">
        <v>473</v>
      </c>
      <c r="F44" s="100" t="s">
        <v>574</v>
      </c>
      <c r="G44" s="129" t="s">
        <v>651</v>
      </c>
      <c r="H44" s="135" t="s">
        <v>782</v>
      </c>
      <c r="I44" s="135" t="s">
        <v>783</v>
      </c>
    </row>
    <row r="45" spans="1:11">
      <c r="B45" s="94" t="s">
        <v>445</v>
      </c>
      <c r="C45" s="118">
        <f>+(E4+E5+E8+E9+E11+E12+E13+E14+E15+E16+E18+E19+E21+E25+E26+E27+E29+E30+E31+E32+E37+E38+E39)/23</f>
        <v>0.6336521739130434</v>
      </c>
      <c r="D45" s="118">
        <f>+(F4+F5+F8+F9+F11+F12+F13+F14+F15+F16+F18+F19+F21+F25+F26+F27+F29+F30+F31+F32+F37+F38+F39)/21</f>
        <v>0.71971428571428575</v>
      </c>
      <c r="E45" s="118">
        <f>+(G4+G5+G8+G9+G11+G12+G13+G14+G15+G16+G18+G19+G21+G25+G26+G27+G29+G30+G31+G32+G37+G38+G39)/20</f>
        <v>0.72754999999999981</v>
      </c>
      <c r="F45" s="118">
        <f>+(H4+H5+H8+H9+H11+H12+H13+H14+H15+H16+H18+H19+H21+H25+H26+H27+H29+H30+H31+H32+H37+H38+H39)/20</f>
        <v>0.80784999999999996</v>
      </c>
      <c r="G45" s="118">
        <f>+(I4+I5+I8+I9+I11+I12+I13+I14+I15+I16+I18+I19+I21+I25+I26+I27+I29+I30+I31+I32+I37+I38+I39)/15</f>
        <v>0.87426666666666675</v>
      </c>
      <c r="H45" s="118">
        <f>+(J4+J5+J8+J9+J11+J12+J13+J14+J15+J16+J18+J19+J21+J25+J26+J27+J29+J30+J31+J32+J37+J38+J39)/8</f>
        <v>0.87337500000000001</v>
      </c>
      <c r="I45" s="118"/>
    </row>
    <row r="46" spans="1:11">
      <c r="B46" s="94"/>
    </row>
    <row r="47" spans="1:11">
      <c r="B47" s="94"/>
    </row>
    <row r="48" spans="1:11">
      <c r="B48" s="94" t="s">
        <v>448</v>
      </c>
      <c r="C48" s="129" t="s">
        <v>471</v>
      </c>
      <c r="D48" s="129" t="s">
        <v>472</v>
      </c>
      <c r="E48" s="129" t="s">
        <v>473</v>
      </c>
      <c r="F48" s="129" t="s">
        <v>574</v>
      </c>
      <c r="G48" s="129" t="s">
        <v>651</v>
      </c>
      <c r="H48" s="135" t="s">
        <v>782</v>
      </c>
      <c r="I48" s="135" t="s">
        <v>783</v>
      </c>
    </row>
    <row r="49" spans="2:9">
      <c r="B49" s="94" t="s">
        <v>445</v>
      </c>
      <c r="C49" s="87">
        <f>+(E6+E7+E10+E17+E20+E22+E23+E24+E33+E28+E35+E34+E36)/13</f>
        <v>0.75823076923076915</v>
      </c>
      <c r="D49" s="87">
        <f t="shared" ref="D49:I49" si="1">+(F6+F7+F10+F17+F20+F22+F23+F24+F33+F28+F35+F34+F36)/13</f>
        <v>0.82669230769230773</v>
      </c>
      <c r="E49" s="87">
        <f>+(G6+G7+G10+G17+G20+G22+G23+G24+G33+G28+G35+G34+G36)/12</f>
        <v>0.85550000000000004</v>
      </c>
      <c r="F49" s="87">
        <f>+(H6+H7+H10+H17+H20+H22+H23+H24+H33+H28+H35+H34+H36)/11</f>
        <v>0.84200000000000008</v>
      </c>
      <c r="G49" s="87">
        <f>+(I6+I7+I10+I17+I20+I22+I23+I24+I33+I28+I35+I34+I36)/8</f>
        <v>0.89462500000000011</v>
      </c>
      <c r="H49" s="87">
        <f>+(J6+J7+J10+J17+J20+J22+J23+J24+J33+J28+J35+J34+J36)/3</f>
        <v>0.85799999999999998</v>
      </c>
      <c r="I49" s="87">
        <f>+(K6+K7+K10+K17+K20+K22+K23+K24+K33+K28+K35+K34+K36)/1</f>
        <v>0.97299999999999998</v>
      </c>
    </row>
    <row r="50" spans="2:9">
      <c r="B50" s="94"/>
    </row>
    <row r="51" spans="2:9">
      <c r="B51" s="94"/>
    </row>
    <row r="52" spans="2:9">
      <c r="B52" s="94" t="s">
        <v>491</v>
      </c>
      <c r="C52" s="129" t="s">
        <v>471</v>
      </c>
      <c r="D52" s="129" t="s">
        <v>472</v>
      </c>
      <c r="E52" s="129" t="s">
        <v>473</v>
      </c>
      <c r="F52" s="129" t="s">
        <v>574</v>
      </c>
      <c r="G52" s="129" t="s">
        <v>651</v>
      </c>
      <c r="H52" s="135" t="s">
        <v>782</v>
      </c>
      <c r="I52" s="135" t="s">
        <v>783</v>
      </c>
    </row>
    <row r="53" spans="2:9">
      <c r="B53" s="94" t="s">
        <v>426</v>
      </c>
      <c r="C53" s="118">
        <f>+(E8+E13+E18+E25+E30)/5</f>
        <v>0.63440000000000007</v>
      </c>
      <c r="D53" s="118">
        <f t="shared" ref="D53:H53" si="2">+(F8+F13+F18+F25+F30)/5</f>
        <v>0.72939999999999994</v>
      </c>
      <c r="E53" s="118">
        <f t="shared" si="2"/>
        <v>0.71299999999999997</v>
      </c>
      <c r="F53" s="118">
        <f t="shared" si="2"/>
        <v>0.77840000000000009</v>
      </c>
      <c r="G53" s="118">
        <f>+(I8+I13+I18+I25+I30)/4</f>
        <v>0.85675000000000001</v>
      </c>
      <c r="H53" s="118">
        <f>+(J8+J13+J18+J25+J30)/1</f>
        <v>0.89800000000000002</v>
      </c>
    </row>
    <row r="54" spans="2:9">
      <c r="B54" s="94" t="s">
        <v>427</v>
      </c>
      <c r="C54" s="118">
        <f>+(E4+E9+E11+E12+E14+E15+E16+E19+E26+E27+E29+E32+E37)/13</f>
        <v>0.61115384615384616</v>
      </c>
      <c r="D54" s="118">
        <f t="shared" ref="D54:H54" si="3">+(F4+F9+F11+F12+F14+F15+F16+F19+F26+F27+F29+F32+F37)/13</f>
        <v>0.7143846153846154</v>
      </c>
      <c r="E54" s="118">
        <f>+(G4+G9+G11+G12+G14+G15+G16+G19+G26+G27+G29+G32+G37)/12</f>
        <v>0.70216666666666672</v>
      </c>
      <c r="F54" s="118">
        <f>+(H4+H9+H11+H12+H14+H15+H16+H19+H26+H27+H29+H32+H37)/12</f>
        <v>0.8178333333333333</v>
      </c>
      <c r="G54" s="118">
        <f>+(I4+I9+I11+I12+I14+I15+I16+I19+I26+I27+I29+I32+I37)/10</f>
        <v>0.87270000000000003</v>
      </c>
      <c r="H54" s="118">
        <f>+(J4+J9+J11+J12+J14+J15+J16+J19+J26+J27+J29+J32+J37)/7</f>
        <v>0.86985714285714288</v>
      </c>
    </row>
    <row r="55" spans="2:9">
      <c r="B55" s="94" t="s">
        <v>428</v>
      </c>
      <c r="C55" s="118">
        <f>+(E5+E21+E31+E38+E39)/5</f>
        <v>0.69140000000000001</v>
      </c>
      <c r="D55" s="118">
        <f>+(F5+F21+F31+F38+F39)/3</f>
        <v>0.72666666666666657</v>
      </c>
      <c r="E55" s="118">
        <f t="shared" ref="E55:F55" si="4">+(G5+G21+G31+G38+G39)/3</f>
        <v>0.85333333333333339</v>
      </c>
      <c r="F55" s="118">
        <f t="shared" si="4"/>
        <v>0.81699999999999984</v>
      </c>
      <c r="G55" s="118">
        <f>+(I5+I21+I31+I38+I39)/1</f>
        <v>0.96</v>
      </c>
    </row>
    <row r="56" spans="2:9">
      <c r="B56" s="94"/>
    </row>
    <row r="57" spans="2:9">
      <c r="B57" s="94"/>
    </row>
    <row r="58" spans="2:9">
      <c r="B58" s="94" t="s">
        <v>492</v>
      </c>
      <c r="C58" s="129" t="s">
        <v>471</v>
      </c>
      <c r="D58" s="129" t="s">
        <v>472</v>
      </c>
      <c r="E58" s="129" t="s">
        <v>473</v>
      </c>
      <c r="F58" s="129" t="s">
        <v>574</v>
      </c>
      <c r="G58" s="129" t="s">
        <v>651</v>
      </c>
      <c r="H58" s="135" t="s">
        <v>782</v>
      </c>
      <c r="I58" s="135" t="s">
        <v>783</v>
      </c>
    </row>
    <row r="59" spans="2:9">
      <c r="B59" s="94" t="s">
        <v>426</v>
      </c>
      <c r="C59" s="118">
        <f>+(E23+E24+E36)/3</f>
        <v>0.89933333333333332</v>
      </c>
      <c r="D59" s="118">
        <f t="shared" ref="D59:G59" si="5">+(F23+F24+F36)/3</f>
        <v>0.91866666666666674</v>
      </c>
      <c r="E59" s="118">
        <f t="shared" si="5"/>
        <v>0.92466666666666664</v>
      </c>
      <c r="F59" s="118">
        <f>+(H23+H24+H36)/2</f>
        <v>0.91700000000000004</v>
      </c>
      <c r="G59" s="118">
        <f>+(I23+I24+I36)/2</f>
        <v>0.95100000000000007</v>
      </c>
    </row>
    <row r="60" spans="2:9">
      <c r="B60" s="94" t="s">
        <v>427</v>
      </c>
      <c r="C60" s="118">
        <f>+(E6+E7+E10+E17+E22+E28)/6</f>
        <v>0.72166666666666668</v>
      </c>
      <c r="D60" s="118">
        <f t="shared" ref="D60:I60" si="6">+(F6+F7+F10+F17+F22+F28)/6</f>
        <v>0.8341666666666665</v>
      </c>
      <c r="E60" s="118">
        <f t="shared" si="6"/>
        <v>0.8806666666666666</v>
      </c>
      <c r="F60" s="118">
        <f t="shared" si="6"/>
        <v>0.85449999999999993</v>
      </c>
      <c r="G60" s="118">
        <f>+(I6+I7+I10+I17+I22+I28)/5</f>
        <v>0.87100000000000011</v>
      </c>
      <c r="H60" s="118">
        <f>+(J6+J7+J10+J17+J22+J28)/3</f>
        <v>0.85799999999999998</v>
      </c>
      <c r="I60" s="118">
        <f>+(K6+K7+K10+K17+K22+K28)/1</f>
        <v>0.97299999999999998</v>
      </c>
    </row>
    <row r="61" spans="2:9">
      <c r="B61" s="94" t="s">
        <v>428</v>
      </c>
      <c r="C61" s="118">
        <f>+(E20+E33+E34+E35)/4</f>
        <v>0.70724999999999993</v>
      </c>
      <c r="D61" s="118">
        <f t="shared" ref="D61:G61" si="7">+(F20+F33+F34+F35)/4</f>
        <v>0.74649999999999994</v>
      </c>
      <c r="E61" s="118">
        <f>+(G20+G33+G34+G35)/3</f>
        <v>0.7360000000000001</v>
      </c>
      <c r="F61" s="118">
        <f>+(H20+H33+H34+H35)/3</f>
        <v>0.76700000000000002</v>
      </c>
      <c r="G61" s="118">
        <f>+(I20+I33+I34+I35)/1</f>
        <v>0.9</v>
      </c>
    </row>
  </sheetData>
  <autoFilter ref="A3:G39"/>
  <mergeCells count="1">
    <mergeCell ref="E2:G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83"/>
  <sheetViews>
    <sheetView workbookViewId="0">
      <selection activeCell="H83" sqref="H83"/>
    </sheetView>
  </sheetViews>
  <sheetFormatPr baseColWidth="10" defaultRowHeight="15"/>
  <cols>
    <col min="1" max="1" width="11.140625" style="123" bestFit="1" customWidth="1"/>
    <col min="2" max="2" width="7.5703125" style="81" bestFit="1" customWidth="1"/>
    <col min="3" max="3" width="55" style="81" bestFit="1" customWidth="1"/>
    <col min="4" max="4" width="11.42578125" style="81"/>
    <col min="5" max="5" width="11.42578125" style="94"/>
    <col min="6" max="16384" width="11.42578125" style="81"/>
  </cols>
  <sheetData>
    <row r="2" spans="1:12">
      <c r="F2" s="160" t="s">
        <v>474</v>
      </c>
      <c r="G2" s="160"/>
      <c r="H2" s="160"/>
    </row>
    <row r="3" spans="1:12">
      <c r="A3" s="123" t="s">
        <v>613</v>
      </c>
      <c r="B3" s="81" t="s">
        <v>439</v>
      </c>
      <c r="C3" s="81" t="s">
        <v>440</v>
      </c>
      <c r="D3" s="81" t="s">
        <v>446</v>
      </c>
      <c r="E3" s="94" t="s">
        <v>490</v>
      </c>
      <c r="F3" s="81" t="s">
        <v>475</v>
      </c>
      <c r="G3" s="81" t="s">
        <v>476</v>
      </c>
      <c r="H3" s="81" t="s">
        <v>477</v>
      </c>
      <c r="I3" s="100" t="s">
        <v>575</v>
      </c>
      <c r="J3" s="129" t="s">
        <v>652</v>
      </c>
      <c r="K3" s="135" t="s">
        <v>784</v>
      </c>
      <c r="L3" s="135" t="s">
        <v>785</v>
      </c>
    </row>
    <row r="4" spans="1:12">
      <c r="A4" s="28" t="s">
        <v>578</v>
      </c>
      <c r="B4" s="81">
        <v>1</v>
      </c>
      <c r="C4" s="31" t="s">
        <v>577</v>
      </c>
      <c r="D4" s="13" t="s">
        <v>45</v>
      </c>
      <c r="E4" s="13" t="s">
        <v>44</v>
      </c>
      <c r="F4" s="33">
        <v>0.38900000000000001</v>
      </c>
      <c r="G4" s="36">
        <v>0.36799999999999999</v>
      </c>
      <c r="H4" s="36">
        <v>0.33300000000000002</v>
      </c>
      <c r="I4" s="36">
        <v>0.36099999999999999</v>
      </c>
      <c r="J4" s="36">
        <v>0.35899999999999999</v>
      </c>
      <c r="K4" s="36">
        <v>0.39400000000000002</v>
      </c>
      <c r="L4" s="36"/>
    </row>
    <row r="5" spans="1:12" ht="30">
      <c r="A5" s="60"/>
      <c r="B5" s="81">
        <f>+B4+1</f>
        <v>2</v>
      </c>
      <c r="C5" s="37" t="s">
        <v>54</v>
      </c>
      <c r="D5" s="13" t="s">
        <v>45</v>
      </c>
      <c r="E5" s="13" t="s">
        <v>58</v>
      </c>
      <c r="F5" s="33">
        <v>0.48499999999999999</v>
      </c>
      <c r="G5" s="36">
        <v>0.57099999999999995</v>
      </c>
      <c r="H5" s="40">
        <v>0.54</v>
      </c>
      <c r="I5" s="36">
        <v>0.47299999999999998</v>
      </c>
      <c r="J5" s="8"/>
      <c r="K5" s="8"/>
      <c r="L5" s="8"/>
    </row>
    <row r="6" spans="1:12">
      <c r="A6" s="60" t="s">
        <v>503</v>
      </c>
      <c r="B6" s="81">
        <f t="shared" ref="B6:B36" si="0">+B5+1</f>
        <v>3</v>
      </c>
      <c r="C6" s="41" t="s">
        <v>619</v>
      </c>
      <c r="D6" s="13" t="s">
        <v>73</v>
      </c>
      <c r="E6" s="13" t="s">
        <v>72</v>
      </c>
      <c r="F6" s="33">
        <v>0.34699999999999998</v>
      </c>
      <c r="G6" s="36">
        <v>0.377</v>
      </c>
      <c r="H6" s="36">
        <v>0.35399999999999998</v>
      </c>
      <c r="I6" s="36">
        <v>0.48499999999999999</v>
      </c>
      <c r="J6" s="36">
        <v>0.36599999999999999</v>
      </c>
      <c r="K6" s="36">
        <v>0.36399999999999999</v>
      </c>
      <c r="L6" s="36">
        <v>0.40799999999999997</v>
      </c>
    </row>
    <row r="7" spans="1:12">
      <c r="A7" s="28" t="s">
        <v>196</v>
      </c>
      <c r="B7" s="81">
        <f t="shared" si="0"/>
        <v>4</v>
      </c>
      <c r="C7" s="42" t="s">
        <v>580</v>
      </c>
      <c r="D7" s="13" t="s">
        <v>73</v>
      </c>
      <c r="E7" s="13" t="s">
        <v>88</v>
      </c>
      <c r="F7" s="33">
        <v>0.498</v>
      </c>
      <c r="G7" s="36">
        <v>0.54300000000000004</v>
      </c>
      <c r="H7" s="36">
        <v>0.48899999999999999</v>
      </c>
      <c r="I7" s="40">
        <v>0.47</v>
      </c>
      <c r="J7" s="36">
        <v>0.49099999999999999</v>
      </c>
      <c r="K7" s="36">
        <v>0.46400000000000002</v>
      </c>
      <c r="L7" s="36"/>
    </row>
    <row r="8" spans="1:12">
      <c r="A8" s="28" t="s">
        <v>511</v>
      </c>
      <c r="B8" s="81">
        <f t="shared" si="0"/>
        <v>5</v>
      </c>
      <c r="C8" s="42" t="s">
        <v>510</v>
      </c>
      <c r="D8" s="13" t="s">
        <v>45</v>
      </c>
      <c r="E8" s="13" t="s">
        <v>99</v>
      </c>
      <c r="F8" s="33">
        <v>0.50600000000000001</v>
      </c>
      <c r="G8" s="36">
        <v>0.436</v>
      </c>
      <c r="H8" s="36">
        <v>0.47599999999999998</v>
      </c>
      <c r="I8" s="36">
        <v>0.49399999999999999</v>
      </c>
      <c r="J8" s="36">
        <v>0.36599999999999999</v>
      </c>
      <c r="K8" s="8"/>
      <c r="L8" s="8"/>
    </row>
    <row r="9" spans="1:12">
      <c r="A9" s="28" t="s">
        <v>72</v>
      </c>
      <c r="B9" s="81">
        <f t="shared" si="0"/>
        <v>6</v>
      </c>
      <c r="C9" s="31" t="s">
        <v>622</v>
      </c>
      <c r="D9" s="13" t="s">
        <v>45</v>
      </c>
      <c r="E9" s="13" t="s">
        <v>72</v>
      </c>
      <c r="F9" s="33">
        <v>0.378</v>
      </c>
      <c r="G9" s="36">
        <v>0.373</v>
      </c>
      <c r="H9" s="36">
        <v>0.33300000000000002</v>
      </c>
      <c r="I9" s="36">
        <v>0.44400000000000001</v>
      </c>
      <c r="J9" s="36">
        <v>0.34300000000000003</v>
      </c>
      <c r="K9" s="36">
        <v>0.30599999999999999</v>
      </c>
      <c r="L9" s="36"/>
    </row>
    <row r="10" spans="1:12">
      <c r="A10" s="60" t="s">
        <v>88</v>
      </c>
      <c r="B10" s="81">
        <f t="shared" si="0"/>
        <v>7</v>
      </c>
      <c r="C10" s="45" t="s">
        <v>624</v>
      </c>
      <c r="D10" s="13" t="s">
        <v>73</v>
      </c>
      <c r="E10" s="13" t="s">
        <v>88</v>
      </c>
      <c r="F10" s="33">
        <v>0.35099999999999998</v>
      </c>
      <c r="G10" s="36">
        <v>0.30499999999999999</v>
      </c>
      <c r="H10" s="36">
        <v>0.27300000000000002</v>
      </c>
      <c r="I10" s="36">
        <v>0.32800000000000001</v>
      </c>
      <c r="J10" s="36">
        <v>0.26700000000000002</v>
      </c>
      <c r="K10" s="36">
        <v>0.29599999999999999</v>
      </c>
      <c r="L10" s="36"/>
    </row>
    <row r="11" spans="1:12">
      <c r="A11" s="28" t="s">
        <v>503</v>
      </c>
      <c r="B11" s="81">
        <f t="shared" si="0"/>
        <v>8</v>
      </c>
      <c r="C11" s="31" t="s">
        <v>626</v>
      </c>
      <c r="D11" s="13" t="s">
        <v>45</v>
      </c>
      <c r="E11" s="13" t="s">
        <v>128</v>
      </c>
      <c r="F11" s="33">
        <v>0.40899999999999997</v>
      </c>
      <c r="G11" s="36">
        <v>0.34899999999999998</v>
      </c>
      <c r="H11" s="36">
        <v>0.36399999999999999</v>
      </c>
      <c r="I11" s="36">
        <v>0.46800000000000003</v>
      </c>
      <c r="J11" s="36">
        <v>0.36699999999999999</v>
      </c>
      <c r="K11" s="36">
        <v>0.40500000000000003</v>
      </c>
      <c r="L11" s="36"/>
    </row>
    <row r="12" spans="1:12">
      <c r="A12" s="60" t="s">
        <v>522</v>
      </c>
      <c r="B12" s="81">
        <f t="shared" si="0"/>
        <v>9</v>
      </c>
      <c r="C12" s="48" t="s">
        <v>629</v>
      </c>
      <c r="D12" s="13" t="s">
        <v>45</v>
      </c>
      <c r="E12" s="13" t="s">
        <v>72</v>
      </c>
      <c r="F12" s="33">
        <v>0.40500000000000003</v>
      </c>
      <c r="G12" s="36">
        <v>0.34699999999999998</v>
      </c>
      <c r="H12" s="36">
        <v>0.30599999999999999</v>
      </c>
      <c r="I12" s="36">
        <v>0.30399999999999999</v>
      </c>
      <c r="J12" s="36">
        <v>0.33600000000000002</v>
      </c>
      <c r="K12" s="36">
        <v>0.30599999999999999</v>
      </c>
      <c r="L12" s="36"/>
    </row>
    <row r="13" spans="1:12">
      <c r="A13" s="28" t="s">
        <v>150</v>
      </c>
      <c r="B13" s="81">
        <f t="shared" si="0"/>
        <v>10</v>
      </c>
      <c r="C13" s="42" t="s">
        <v>525</v>
      </c>
      <c r="D13" s="13" t="s">
        <v>45</v>
      </c>
      <c r="E13" s="13" t="s">
        <v>150</v>
      </c>
      <c r="F13" s="33">
        <v>0.24299999999999999</v>
      </c>
      <c r="G13" s="33">
        <v>0.28699999999999998</v>
      </c>
      <c r="H13" s="33">
        <v>0.23899999999999999</v>
      </c>
      <c r="I13" s="33">
        <v>0.19400000000000001</v>
      </c>
      <c r="J13" s="33">
        <v>0.224</v>
      </c>
      <c r="K13" s="33">
        <v>0.216</v>
      </c>
      <c r="L13" s="33"/>
    </row>
    <row r="14" spans="1:12">
      <c r="A14" s="28" t="s">
        <v>88</v>
      </c>
      <c r="B14" s="81">
        <f t="shared" si="0"/>
        <v>11</v>
      </c>
      <c r="C14" s="42" t="s">
        <v>631</v>
      </c>
      <c r="D14" s="13" t="s">
        <v>45</v>
      </c>
      <c r="E14" s="13" t="s">
        <v>128</v>
      </c>
      <c r="F14" s="33">
        <v>0.23100000000000001</v>
      </c>
      <c r="G14" s="33">
        <v>0.21199999999999999</v>
      </c>
      <c r="H14" s="33">
        <v>0.246</v>
      </c>
      <c r="I14" s="33">
        <v>0.29599999999999999</v>
      </c>
      <c r="J14" s="33">
        <v>0.30299999999999999</v>
      </c>
      <c r="K14" s="33">
        <v>0.29199999999999998</v>
      </c>
      <c r="L14" s="33"/>
    </row>
    <row r="15" spans="1:12">
      <c r="A15" s="28" t="s">
        <v>44</v>
      </c>
      <c r="B15" s="81">
        <f t="shared" si="0"/>
        <v>12</v>
      </c>
      <c r="C15" s="31" t="s">
        <v>529</v>
      </c>
      <c r="D15" s="13" t="s">
        <v>45</v>
      </c>
      <c r="E15" s="13" t="s">
        <v>128</v>
      </c>
      <c r="F15" s="33">
        <v>0.38600000000000001</v>
      </c>
      <c r="G15" s="33">
        <v>0.377</v>
      </c>
      <c r="H15" s="28">
        <v>0</v>
      </c>
      <c r="I15" s="35">
        <v>0.42</v>
      </c>
      <c r="J15" s="33">
        <v>0.41399999999999998</v>
      </c>
      <c r="K15" s="13"/>
      <c r="L15" s="13"/>
    </row>
    <row r="16" spans="1:12">
      <c r="A16" s="60" t="s">
        <v>88</v>
      </c>
      <c r="B16" s="81">
        <f t="shared" si="0"/>
        <v>13</v>
      </c>
      <c r="C16" s="50" t="s">
        <v>632</v>
      </c>
      <c r="D16" s="13" t="s">
        <v>45</v>
      </c>
      <c r="E16" s="13" t="s">
        <v>88</v>
      </c>
      <c r="F16" s="33">
        <v>0.26100000000000001</v>
      </c>
      <c r="G16" s="35">
        <v>0.28000000000000003</v>
      </c>
      <c r="H16" s="33">
        <v>0.25800000000000001</v>
      </c>
      <c r="I16" s="33">
        <v>0.38200000000000001</v>
      </c>
      <c r="J16" s="33">
        <v>0.316</v>
      </c>
      <c r="K16" s="33">
        <v>0.28499999999999998</v>
      </c>
      <c r="L16" s="33"/>
    </row>
    <row r="17" spans="1:12">
      <c r="A17" s="28" t="s">
        <v>44</v>
      </c>
      <c r="B17" s="81">
        <f t="shared" si="0"/>
        <v>14</v>
      </c>
      <c r="C17" s="31" t="s">
        <v>584</v>
      </c>
      <c r="D17" s="13" t="s">
        <v>73</v>
      </c>
      <c r="E17" s="28" t="s">
        <v>72</v>
      </c>
      <c r="F17" s="33">
        <v>0.33800000000000002</v>
      </c>
      <c r="G17" s="33">
        <v>0.27600000000000002</v>
      </c>
      <c r="H17" s="33">
        <v>0.27100000000000002</v>
      </c>
      <c r="I17" s="33">
        <v>0.29099999999999998</v>
      </c>
      <c r="J17" s="33">
        <v>0.34799999999999998</v>
      </c>
      <c r="K17" s="13"/>
      <c r="L17" s="13"/>
    </row>
    <row r="18" spans="1:12">
      <c r="A18" s="28" t="s">
        <v>215</v>
      </c>
      <c r="B18" s="81">
        <f t="shared" si="0"/>
        <v>15</v>
      </c>
      <c r="C18" s="31" t="s">
        <v>636</v>
      </c>
      <c r="D18" s="13" t="s">
        <v>45</v>
      </c>
      <c r="E18" s="28" t="s">
        <v>196</v>
      </c>
      <c r="F18" s="33">
        <v>0.441</v>
      </c>
      <c r="G18" s="33">
        <v>0.376</v>
      </c>
      <c r="H18" s="35">
        <v>0.37</v>
      </c>
      <c r="I18" s="33">
        <v>0.36599999999999999</v>
      </c>
      <c r="J18" s="13"/>
      <c r="K18" s="13"/>
      <c r="L18" s="13"/>
    </row>
    <row r="19" spans="1:12">
      <c r="A19" s="24" t="s">
        <v>587</v>
      </c>
      <c r="B19" s="81">
        <f t="shared" si="0"/>
        <v>16</v>
      </c>
      <c r="C19" s="31" t="s">
        <v>586</v>
      </c>
      <c r="D19" s="24" t="s">
        <v>45</v>
      </c>
      <c r="E19" s="24" t="s">
        <v>205</v>
      </c>
      <c r="F19" s="33">
        <v>0.38900000000000001</v>
      </c>
      <c r="G19" s="35">
        <v>0.4</v>
      </c>
      <c r="H19" s="33">
        <v>0.432</v>
      </c>
      <c r="I19" s="33">
        <v>0.50700000000000001</v>
      </c>
      <c r="J19" s="33">
        <v>0.41499999999999998</v>
      </c>
      <c r="K19" s="13"/>
      <c r="L19" s="13"/>
    </row>
    <row r="20" spans="1:12">
      <c r="A20" s="24" t="s">
        <v>205</v>
      </c>
      <c r="B20" s="81">
        <f t="shared" si="0"/>
        <v>17</v>
      </c>
      <c r="C20" s="41" t="s">
        <v>589</v>
      </c>
      <c r="D20" s="24" t="s">
        <v>225</v>
      </c>
      <c r="E20" s="24" t="s">
        <v>58</v>
      </c>
      <c r="F20" s="40">
        <v>0.34</v>
      </c>
      <c r="G20" s="40">
        <v>0.38</v>
      </c>
      <c r="H20" s="36">
        <v>0.35099999999999998</v>
      </c>
      <c r="I20" s="36">
        <v>0.374</v>
      </c>
      <c r="J20" s="36">
        <v>0.35799999999999998</v>
      </c>
      <c r="K20" s="8"/>
      <c r="L20" s="8"/>
    </row>
    <row r="21" spans="1:12">
      <c r="A21" s="24" t="s">
        <v>205</v>
      </c>
      <c r="B21" s="81">
        <f t="shared" si="0"/>
        <v>18</v>
      </c>
      <c r="C21" s="42" t="s">
        <v>592</v>
      </c>
      <c r="D21" s="24" t="s">
        <v>45</v>
      </c>
      <c r="E21" s="24" t="s">
        <v>58</v>
      </c>
      <c r="F21" s="36">
        <v>0.377</v>
      </c>
      <c r="G21" s="36">
        <v>0.433</v>
      </c>
      <c r="H21" s="36">
        <v>0.39500000000000002</v>
      </c>
      <c r="I21" s="36">
        <v>0.36699999999999999</v>
      </c>
      <c r="J21" s="36">
        <v>0.33</v>
      </c>
      <c r="K21" s="8"/>
      <c r="L21" s="8"/>
    </row>
    <row r="22" spans="1:12">
      <c r="A22" s="60" t="s">
        <v>522</v>
      </c>
      <c r="B22" s="81">
        <f t="shared" si="0"/>
        <v>19</v>
      </c>
      <c r="C22" s="42" t="s">
        <v>594</v>
      </c>
      <c r="D22" s="24" t="s">
        <v>225</v>
      </c>
      <c r="E22" s="24" t="s">
        <v>205</v>
      </c>
      <c r="F22" s="36">
        <v>0.48599999999999999</v>
      </c>
      <c r="G22" s="36">
        <v>0.46400000000000002</v>
      </c>
      <c r="H22" s="36">
        <v>0.38400000000000001</v>
      </c>
      <c r="I22" s="40">
        <v>0.5</v>
      </c>
      <c r="J22" s="8"/>
      <c r="K22" s="8"/>
      <c r="L22" s="8"/>
    </row>
    <row r="23" spans="1:12">
      <c r="A23" s="24" t="s">
        <v>99</v>
      </c>
      <c r="B23" s="81">
        <f t="shared" si="0"/>
        <v>20</v>
      </c>
      <c r="C23" s="42" t="s">
        <v>597</v>
      </c>
      <c r="D23" s="24" t="s">
        <v>225</v>
      </c>
      <c r="E23" s="24" t="s">
        <v>196</v>
      </c>
      <c r="F23" s="24">
        <v>0</v>
      </c>
      <c r="G23" s="36">
        <v>0.50600000000000001</v>
      </c>
      <c r="H23" s="36">
        <v>0.48099999999999998</v>
      </c>
      <c r="I23" s="36">
        <v>0.497</v>
      </c>
      <c r="J23" s="36">
        <v>0.49399999999999999</v>
      </c>
      <c r="K23" s="8"/>
      <c r="L23" s="8"/>
    </row>
    <row r="24" spans="1:12">
      <c r="A24" s="24" t="s">
        <v>215</v>
      </c>
      <c r="B24" s="81">
        <f t="shared" si="0"/>
        <v>21</v>
      </c>
      <c r="C24" s="42" t="s">
        <v>599</v>
      </c>
      <c r="D24" s="24" t="s">
        <v>225</v>
      </c>
      <c r="E24" s="24" t="s">
        <v>150</v>
      </c>
      <c r="F24" s="36">
        <v>0.503</v>
      </c>
      <c r="G24" s="36">
        <v>0.32700000000000001</v>
      </c>
      <c r="H24" s="36">
        <v>0.36799999999999999</v>
      </c>
      <c r="I24" s="36">
        <v>0.28100000000000003</v>
      </c>
      <c r="J24" s="36">
        <v>0.31900000000000001</v>
      </c>
      <c r="K24" s="8"/>
      <c r="L24" s="8"/>
    </row>
    <row r="25" spans="1:12">
      <c r="A25" s="24" t="s">
        <v>196</v>
      </c>
      <c r="B25" s="81">
        <f t="shared" si="0"/>
        <v>22</v>
      </c>
      <c r="C25" s="42" t="s">
        <v>601</v>
      </c>
      <c r="D25" s="24" t="s">
        <v>45</v>
      </c>
      <c r="E25" s="24" t="s">
        <v>150</v>
      </c>
      <c r="F25" s="36">
        <v>0.38400000000000001</v>
      </c>
      <c r="G25" s="36">
        <v>0.35699999999999998</v>
      </c>
      <c r="H25" s="36">
        <v>0.309</v>
      </c>
      <c r="I25" s="36">
        <v>0.39100000000000001</v>
      </c>
      <c r="J25" s="36">
        <v>0.378</v>
      </c>
      <c r="K25" s="8"/>
      <c r="L25" s="8"/>
    </row>
    <row r="26" spans="1:12">
      <c r="A26" s="24" t="s">
        <v>72</v>
      </c>
      <c r="B26" s="81">
        <f t="shared" si="0"/>
        <v>23</v>
      </c>
      <c r="C26" s="42" t="s">
        <v>537</v>
      </c>
      <c r="D26" s="24" t="s">
        <v>45</v>
      </c>
      <c r="E26" s="24" t="s">
        <v>72</v>
      </c>
      <c r="F26" s="36">
        <v>0.34100000000000003</v>
      </c>
      <c r="G26" s="36">
        <v>0.32500000000000001</v>
      </c>
      <c r="H26" s="36">
        <v>0.36599999999999999</v>
      </c>
      <c r="I26" s="36">
        <v>0.39900000000000002</v>
      </c>
      <c r="J26" s="36">
        <v>0.38800000000000001</v>
      </c>
      <c r="K26" s="8"/>
      <c r="L26" s="8"/>
    </row>
    <row r="27" spans="1:12">
      <c r="A27" s="24" t="s">
        <v>72</v>
      </c>
      <c r="B27" s="81">
        <f t="shared" si="0"/>
        <v>24</v>
      </c>
      <c r="C27" s="42" t="s">
        <v>540</v>
      </c>
      <c r="D27" s="24" t="s">
        <v>45</v>
      </c>
      <c r="E27" s="24" t="s">
        <v>128</v>
      </c>
      <c r="F27" s="36">
        <v>0.55600000000000005</v>
      </c>
      <c r="G27" s="36">
        <v>0.36099999999999999</v>
      </c>
      <c r="H27" s="36">
        <v>0.34899999999999998</v>
      </c>
      <c r="I27" s="36">
        <v>0.39</v>
      </c>
      <c r="J27" s="8"/>
      <c r="K27" s="8"/>
      <c r="L27" s="8"/>
    </row>
    <row r="28" spans="1:12">
      <c r="A28" s="24" t="s">
        <v>88</v>
      </c>
      <c r="B28" s="81">
        <f t="shared" si="0"/>
        <v>25</v>
      </c>
      <c r="C28" s="42" t="s">
        <v>602</v>
      </c>
      <c r="D28" s="24" t="s">
        <v>225</v>
      </c>
      <c r="E28" s="24" t="s">
        <v>88</v>
      </c>
      <c r="F28" s="36">
        <v>0.311</v>
      </c>
      <c r="G28" s="36">
        <v>0.24199999999999999</v>
      </c>
      <c r="H28" s="36">
        <v>0.214</v>
      </c>
      <c r="I28" s="36">
        <v>0.17299999999999999</v>
      </c>
      <c r="J28" s="36">
        <v>0.18099999999999999</v>
      </c>
      <c r="K28" s="8"/>
      <c r="L28" s="8"/>
    </row>
    <row r="29" spans="1:12">
      <c r="A29" s="24" t="s">
        <v>205</v>
      </c>
      <c r="B29" s="81">
        <f t="shared" si="0"/>
        <v>26</v>
      </c>
      <c r="C29" s="42" t="s">
        <v>606</v>
      </c>
      <c r="D29" s="24" t="s">
        <v>45</v>
      </c>
      <c r="E29" s="24" t="s">
        <v>128</v>
      </c>
      <c r="F29" s="36">
        <v>0.38800000000000001</v>
      </c>
      <c r="G29" s="36">
        <v>0.307</v>
      </c>
      <c r="H29" s="36">
        <v>0.26500000000000001</v>
      </c>
      <c r="I29" s="36">
        <v>0.28899999999999998</v>
      </c>
      <c r="J29" s="36">
        <v>0.34799999999999998</v>
      </c>
      <c r="K29" s="36">
        <v>0.34100000000000003</v>
      </c>
      <c r="L29" s="36"/>
    </row>
    <row r="30" spans="1:12">
      <c r="A30" s="24" t="s">
        <v>99</v>
      </c>
      <c r="B30" s="81">
        <f t="shared" si="0"/>
        <v>27</v>
      </c>
      <c r="C30" s="42" t="s">
        <v>637</v>
      </c>
      <c r="D30" s="24" t="s">
        <v>45</v>
      </c>
      <c r="E30" s="24" t="s">
        <v>314</v>
      </c>
      <c r="F30" s="40">
        <v>0.39</v>
      </c>
      <c r="G30" s="36">
        <v>0.317</v>
      </c>
      <c r="H30" s="36">
        <v>0.34499999999999997</v>
      </c>
      <c r="I30" s="36">
        <v>0.34100000000000003</v>
      </c>
      <c r="J30" s="36">
        <v>0.38600000000000001</v>
      </c>
      <c r="K30" s="8"/>
      <c r="L30" s="8"/>
    </row>
    <row r="31" spans="1:12">
      <c r="A31" s="24" t="s">
        <v>553</v>
      </c>
      <c r="B31" s="81">
        <f t="shared" si="0"/>
        <v>28</v>
      </c>
      <c r="C31" s="42" t="s">
        <v>552</v>
      </c>
      <c r="D31" s="24" t="s">
        <v>45</v>
      </c>
      <c r="E31" s="24" t="s">
        <v>323</v>
      </c>
      <c r="F31" s="36">
        <v>0.28599999999999998</v>
      </c>
      <c r="G31" s="36">
        <v>0.25</v>
      </c>
      <c r="H31" s="36">
        <v>0.19400000000000001</v>
      </c>
      <c r="I31" s="36">
        <v>0.27400000000000002</v>
      </c>
      <c r="J31" s="8"/>
      <c r="K31" s="8"/>
      <c r="L31" s="8"/>
    </row>
    <row r="32" spans="1:12">
      <c r="A32" s="24" t="s">
        <v>88</v>
      </c>
      <c r="B32" s="81">
        <f t="shared" si="0"/>
        <v>29</v>
      </c>
      <c r="C32" s="42" t="s">
        <v>607</v>
      </c>
      <c r="D32" s="24" t="s">
        <v>332</v>
      </c>
      <c r="E32" s="24" t="s">
        <v>88</v>
      </c>
      <c r="F32" s="36">
        <v>0.28699999999999998</v>
      </c>
      <c r="G32" s="36">
        <v>0.32200000000000001</v>
      </c>
      <c r="H32" s="36">
        <v>0.34200000000000003</v>
      </c>
      <c r="I32" s="36">
        <v>0.32400000000000001</v>
      </c>
      <c r="J32" s="8"/>
      <c r="K32" s="8"/>
      <c r="L32" s="8"/>
    </row>
    <row r="33" spans="1:12">
      <c r="A33" s="24" t="s">
        <v>205</v>
      </c>
      <c r="B33" s="81">
        <f t="shared" si="0"/>
        <v>30</v>
      </c>
      <c r="C33" s="42" t="s">
        <v>611</v>
      </c>
      <c r="D33" s="24" t="s">
        <v>73</v>
      </c>
      <c r="E33" s="24" t="s">
        <v>58</v>
      </c>
      <c r="F33" s="36">
        <v>0.41599999999999998</v>
      </c>
      <c r="G33" s="36">
        <v>0.48799999999999999</v>
      </c>
      <c r="H33" s="36">
        <v>0.54300000000000004</v>
      </c>
      <c r="I33" s="36">
        <v>0.32200000000000001</v>
      </c>
      <c r="J33" s="8"/>
      <c r="K33" s="8"/>
      <c r="L33" s="8"/>
    </row>
    <row r="34" spans="1:12">
      <c r="A34" s="24" t="s">
        <v>553</v>
      </c>
      <c r="B34" s="81">
        <f t="shared" si="0"/>
        <v>31</v>
      </c>
      <c r="C34" s="65" t="s">
        <v>639</v>
      </c>
      <c r="D34" s="24" t="s">
        <v>73</v>
      </c>
      <c r="E34" s="24" t="s">
        <v>323</v>
      </c>
      <c r="F34" s="36">
        <v>0.38400000000000001</v>
      </c>
      <c r="G34" s="36">
        <v>0.40799999999999997</v>
      </c>
      <c r="H34" s="36">
        <v>0.35399999999999998</v>
      </c>
      <c r="I34" s="36">
        <v>0.35799999999999998</v>
      </c>
      <c r="J34" s="8"/>
      <c r="K34" s="8"/>
      <c r="L34" s="8"/>
    </row>
    <row r="35" spans="1:12">
      <c r="A35" s="24" t="s">
        <v>128</v>
      </c>
      <c r="B35" s="81">
        <f t="shared" si="0"/>
        <v>32</v>
      </c>
      <c r="C35" s="31" t="s">
        <v>557</v>
      </c>
      <c r="D35" s="24" t="s">
        <v>73</v>
      </c>
      <c r="E35" s="24" t="s">
        <v>58</v>
      </c>
      <c r="F35" s="36">
        <v>0.35499999999999998</v>
      </c>
      <c r="G35" s="36">
        <v>0.34499999999999997</v>
      </c>
      <c r="H35" s="8"/>
      <c r="I35" s="8"/>
      <c r="J35" s="8"/>
      <c r="K35" s="8"/>
      <c r="L35" s="8"/>
    </row>
    <row r="36" spans="1:12">
      <c r="A36" s="24" t="s">
        <v>215</v>
      </c>
      <c r="B36" s="81">
        <f t="shared" si="0"/>
        <v>33</v>
      </c>
      <c r="C36" s="28" t="s">
        <v>642</v>
      </c>
      <c r="D36" s="24" t="s">
        <v>73</v>
      </c>
      <c r="E36" s="24" t="s">
        <v>499</v>
      </c>
      <c r="F36" s="36">
        <v>0.28999999999999998</v>
      </c>
      <c r="G36" s="36">
        <v>0.313</v>
      </c>
      <c r="H36" s="36">
        <v>0.29099999999999998</v>
      </c>
      <c r="I36" s="8"/>
      <c r="J36" s="8"/>
      <c r="K36" s="8"/>
      <c r="L36" s="8"/>
    </row>
    <row r="37" spans="1:12">
      <c r="A37" s="24" t="s">
        <v>88</v>
      </c>
      <c r="C37" s="28" t="s">
        <v>644</v>
      </c>
      <c r="D37" s="24" t="s">
        <v>45</v>
      </c>
      <c r="E37" s="24" t="s">
        <v>88</v>
      </c>
      <c r="F37" s="36">
        <v>0.35499999999999998</v>
      </c>
      <c r="G37" s="36">
        <v>0.221</v>
      </c>
      <c r="H37" s="8"/>
      <c r="I37" s="8"/>
      <c r="J37" s="8"/>
      <c r="K37" s="8"/>
      <c r="L37" s="8"/>
    </row>
    <row r="38" spans="1:12">
      <c r="A38" s="24" t="s">
        <v>587</v>
      </c>
      <c r="C38" s="28" t="s">
        <v>756</v>
      </c>
      <c r="D38" s="163" t="s">
        <v>45</v>
      </c>
      <c r="E38" s="163" t="s">
        <v>58</v>
      </c>
      <c r="F38" s="36">
        <v>0.36199999999999999</v>
      </c>
      <c r="G38" s="8"/>
      <c r="H38" s="8"/>
      <c r="I38" s="8"/>
      <c r="J38" s="8"/>
      <c r="K38" s="8"/>
      <c r="L38" s="8"/>
    </row>
    <row r="39" spans="1:12">
      <c r="A39" s="66" t="s">
        <v>323</v>
      </c>
      <c r="C39" s="64" t="s">
        <v>764</v>
      </c>
      <c r="D39" s="163" t="s">
        <v>45</v>
      </c>
      <c r="E39" s="163" t="s">
        <v>323</v>
      </c>
      <c r="F39" s="78">
        <v>0.29299999999999998</v>
      </c>
      <c r="G39" s="135"/>
      <c r="H39" s="135"/>
      <c r="I39" s="135"/>
      <c r="J39" s="135"/>
      <c r="K39" s="135"/>
      <c r="L39" s="135"/>
    </row>
    <row r="40" spans="1:12" s="135" customFormat="1">
      <c r="C40" s="119"/>
      <c r="D40" s="98"/>
      <c r="E40" s="98"/>
    </row>
    <row r="41" spans="1:12" s="135" customFormat="1">
      <c r="C41" s="119"/>
      <c r="D41" s="98"/>
      <c r="E41" s="98"/>
    </row>
    <row r="42" spans="1:12" s="135" customFormat="1">
      <c r="C42" s="119"/>
      <c r="D42" s="98"/>
      <c r="E42" s="98"/>
    </row>
    <row r="43" spans="1:12" s="135" customFormat="1">
      <c r="C43" s="119"/>
      <c r="D43" s="98"/>
      <c r="E43" s="98"/>
    </row>
    <row r="45" spans="1:12">
      <c r="C45" s="94" t="s">
        <v>447</v>
      </c>
      <c r="D45" s="94" t="s">
        <v>475</v>
      </c>
      <c r="E45" s="94" t="s">
        <v>476</v>
      </c>
      <c r="F45" s="94" t="s">
        <v>477</v>
      </c>
      <c r="G45" s="100" t="s">
        <v>575</v>
      </c>
      <c r="H45" s="135" t="s">
        <v>652</v>
      </c>
      <c r="I45" s="135" t="s">
        <v>784</v>
      </c>
      <c r="J45" s="135" t="s">
        <v>785</v>
      </c>
    </row>
    <row r="46" spans="1:12">
      <c r="C46" s="94" t="s">
        <v>445</v>
      </c>
      <c r="D46" s="118">
        <f>+(F4+F5+F8+F9+F11+F12+F13+F14+F15+F16+F18+F19+F21+F25+F26+F27+F29+F30+F31+F32+F37+F38+F39)/23</f>
        <v>0.37139130434782608</v>
      </c>
      <c r="E46" s="118">
        <f>+(G4+G5+G8+G9+G11+G12+G13+G14+G15+G16+G18+G19+G21+G25+G26+G27+G29+G30+G31+G32+G37+G38+G39)/21</f>
        <v>0.3461428571428572</v>
      </c>
      <c r="F46" s="118">
        <f>+(H4+H5+H8+H9+H11+H12+H13+H14+H15+H16+H18+H19+H21+H25+H26+H27+H29+H30+H31+H32+H37+H38+H39)/20</f>
        <v>0.32309999999999994</v>
      </c>
      <c r="G46" s="118">
        <f>+(I4+I5+I8+I9+I11+I12+I13+I14+I15+I16+I18+I19+I21+I25+I26+I27+I29+I30+I31+I32+I37+I38+I39)/20</f>
        <v>0.37419999999999992</v>
      </c>
      <c r="H46" s="118">
        <f>+(J4+J5+J8+J9+J11+J12+J13+J14+J15+J16+J18+J19+J21+J25+J26+J27+J29+J30+J31+J32+J37+J38+J39)/15</f>
        <v>0.35153333333333331</v>
      </c>
      <c r="I46" s="118">
        <f>+(K4+K5+K8+K9+K11+K12+K13+K14+K15+K16+K18+K19+K21+K25+K26+K27+K29+K30+K31+K32+K37+K38+K39)/8</f>
        <v>0.31812500000000005</v>
      </c>
      <c r="J46" s="118"/>
    </row>
    <row r="47" spans="1:12">
      <c r="C47" s="94"/>
    </row>
    <row r="48" spans="1:12">
      <c r="C48" s="94"/>
    </row>
    <row r="49" spans="3:10">
      <c r="C49" s="94" t="s">
        <v>448</v>
      </c>
      <c r="D49" s="129" t="s">
        <v>475</v>
      </c>
      <c r="E49" s="129" t="s">
        <v>476</v>
      </c>
      <c r="F49" s="129" t="s">
        <v>477</v>
      </c>
      <c r="G49" s="129" t="s">
        <v>575</v>
      </c>
      <c r="H49" s="135" t="s">
        <v>652</v>
      </c>
      <c r="I49" s="135" t="s">
        <v>784</v>
      </c>
      <c r="J49" s="135" t="s">
        <v>785</v>
      </c>
    </row>
    <row r="50" spans="3:10">
      <c r="C50" s="94" t="s">
        <v>445</v>
      </c>
      <c r="D50" s="118">
        <f>+(F6+F7+F10+F17+F20+F22+F23+F24+F28+F33+F34+F35+F36)/13</f>
        <v>0.35530769230769238</v>
      </c>
      <c r="E50" s="118">
        <f t="shared" ref="E50:J50" si="1">+(G6+G7+G10+G17+G20+G22+G23+G24+G28+G33+G34+G35+G36)/13</f>
        <v>0.38261538461538458</v>
      </c>
      <c r="F50" s="118">
        <f>+(H6+H7+H10+H17+H20+H22+H23+H24+H28+H33+H34+H35+H36)/12</f>
        <v>0.36441666666666667</v>
      </c>
      <c r="G50" s="118">
        <f>+(I6+I7+I10+I17+I20+I22+I23+I24+I28+I33+I34+I35+I36)/11</f>
        <v>0.37081818181818177</v>
      </c>
      <c r="H50" s="118">
        <f>+(J6+J7+J10+J17+J20+J22+J23+J24+J28+J33+J34+J35+J36)/8</f>
        <v>0.35299999999999998</v>
      </c>
      <c r="I50" s="118">
        <f>+(K6+K7+K10+K17+K20+K22+K23+K24+K28+K33+K34+K35+K36)/3</f>
        <v>0.3746666666666667</v>
      </c>
      <c r="J50" s="118">
        <f>+(L6+L7+L10+L17+L20+L22+L23+L24+L28+L33+L34+L35+L36)/1</f>
        <v>0.40799999999999997</v>
      </c>
    </row>
    <row r="51" spans="3:10">
      <c r="C51" s="94"/>
    </row>
    <row r="52" spans="3:10">
      <c r="C52" s="94"/>
    </row>
    <row r="53" spans="3:10">
      <c r="C53" s="94" t="s">
        <v>491</v>
      </c>
      <c r="D53" s="129" t="s">
        <v>475</v>
      </c>
      <c r="E53" s="129" t="s">
        <v>476</v>
      </c>
      <c r="F53" s="129" t="s">
        <v>477</v>
      </c>
      <c r="G53" s="129" t="s">
        <v>575</v>
      </c>
      <c r="H53" s="135" t="s">
        <v>652</v>
      </c>
      <c r="I53" s="135" t="s">
        <v>784</v>
      </c>
      <c r="J53" s="135" t="s">
        <v>785</v>
      </c>
    </row>
    <row r="54" spans="3:10">
      <c r="C54" s="94" t="s">
        <v>426</v>
      </c>
      <c r="D54" s="118">
        <f>+(F8+F13+F18+F25+F30)/5</f>
        <v>0.39279999999999998</v>
      </c>
      <c r="E54" s="118">
        <f t="shared" ref="E54:I54" si="2">+(G8+G13+G18+G25+G30)/5</f>
        <v>0.35459999999999997</v>
      </c>
      <c r="F54" s="118">
        <f t="shared" si="2"/>
        <v>0.3478</v>
      </c>
      <c r="G54" s="118">
        <f t="shared" si="2"/>
        <v>0.35719999999999996</v>
      </c>
      <c r="H54" s="118">
        <f>+(J8+J13+J18+J25+J30)/4</f>
        <v>0.33850000000000002</v>
      </c>
      <c r="I54" s="118">
        <f>+(K8+K13+K18+K25+K30)/1</f>
        <v>0.216</v>
      </c>
    </row>
    <row r="55" spans="3:10">
      <c r="C55" s="94" t="s">
        <v>427</v>
      </c>
      <c r="D55" s="118">
        <f>+(F4+F9+F11+F12+F14+F15+F16+F19+F26+F27+F29+F32+F37)/13</f>
        <v>0.36730769230769234</v>
      </c>
      <c r="E55" s="118">
        <f t="shared" ref="E55:I55" si="3">+(G4+G9+G11+G12+G14+G15+G16+G19+G26+G27+G29+G32+G37)/13</f>
        <v>0.3263076923076923</v>
      </c>
      <c r="F55" s="118">
        <f>+(H4+H9+H11+H12+H14+H15+H16+H19+H26+H27+H29+H32+H37)/12</f>
        <v>0.29950000000000004</v>
      </c>
      <c r="G55" s="118">
        <f>+(I4+I9+I11+I12+I14+I15+I16+I19+I26+I27+I29+I32+I37)/12</f>
        <v>0.38200000000000006</v>
      </c>
      <c r="H55" s="118">
        <f>+(J4+J9+J11+J12+J14+J15+J16+J19+J26+J27+J29+J32+J37)/10</f>
        <v>0.35889999999999994</v>
      </c>
      <c r="I55" s="118">
        <f>+(K4+K9+K11+K12+K14+K15+K16+K19+K26+K27+K29+K32+K37)/7</f>
        <v>0.33271428571428574</v>
      </c>
    </row>
    <row r="56" spans="3:10">
      <c r="C56" s="94" t="s">
        <v>428</v>
      </c>
      <c r="D56" s="118">
        <f>+(F5+F21+F31+F38+F39)/5</f>
        <v>0.36059999999999992</v>
      </c>
      <c r="E56" s="118">
        <f>+(G5+G21+G31+G38+G39)/3</f>
        <v>0.41799999999999998</v>
      </c>
      <c r="F56" s="118">
        <f t="shared" ref="F56:G56" si="4">+(H5+H21+H31+H38+H39)/3</f>
        <v>0.37633333333333335</v>
      </c>
      <c r="G56" s="118">
        <f t="shared" si="4"/>
        <v>0.37133333333333329</v>
      </c>
      <c r="H56" s="118">
        <f>+(J5+J21+J31+J38+J39)/1</f>
        <v>0.33</v>
      </c>
    </row>
    <row r="57" spans="3:10">
      <c r="C57" s="94"/>
    </row>
    <row r="58" spans="3:10">
      <c r="C58" s="94"/>
    </row>
    <row r="59" spans="3:10">
      <c r="C59" s="94" t="s">
        <v>492</v>
      </c>
      <c r="D59" s="129" t="s">
        <v>475</v>
      </c>
      <c r="E59" s="129" t="s">
        <v>476</v>
      </c>
      <c r="F59" s="129" t="s">
        <v>477</v>
      </c>
      <c r="G59" s="129" t="s">
        <v>575</v>
      </c>
      <c r="H59" s="135" t="s">
        <v>652</v>
      </c>
      <c r="I59" s="135" t="s">
        <v>784</v>
      </c>
      <c r="J59" s="135" t="s">
        <v>785</v>
      </c>
    </row>
    <row r="60" spans="3:10">
      <c r="C60" s="94" t="s">
        <v>426</v>
      </c>
      <c r="D60" s="118">
        <f>+(F23+F24+F36)/3</f>
        <v>0.26433333333333331</v>
      </c>
      <c r="E60" s="118">
        <f t="shared" ref="E60:F60" si="5">+(G23+G24+G36)/3</f>
        <v>0.38199999999999995</v>
      </c>
      <c r="F60" s="118">
        <f t="shared" si="5"/>
        <v>0.37999999999999995</v>
      </c>
      <c r="G60" s="118">
        <f>+(I23+I24+I36)/2</f>
        <v>0.38900000000000001</v>
      </c>
      <c r="H60" s="118">
        <f>+(J23+J24+J36)/2</f>
        <v>0.40649999999999997</v>
      </c>
    </row>
    <row r="61" spans="3:10">
      <c r="C61" s="94" t="s">
        <v>427</v>
      </c>
      <c r="D61" s="118">
        <f>+(F6+F7+F10+F17+F22+F28)/6</f>
        <v>0.38850000000000001</v>
      </c>
      <c r="E61" s="118">
        <f t="shared" ref="E61:J61" si="6">+(G6+G7+G10+G17+G22+G28)/6</f>
        <v>0.36783333333333329</v>
      </c>
      <c r="F61" s="118">
        <f t="shared" si="6"/>
        <v>0.33083333333333331</v>
      </c>
      <c r="G61" s="118">
        <f t="shared" si="6"/>
        <v>0.3745</v>
      </c>
      <c r="H61" s="118">
        <f>+(J6+J7+J10+J17+J22+J28)/5</f>
        <v>0.3306</v>
      </c>
      <c r="I61" s="118">
        <f>+(K6+K7+K10+K17+K22+K28)/3</f>
        <v>0.3746666666666667</v>
      </c>
      <c r="J61" s="118">
        <f>+(L6+L7+L10+L17+L22+L28)/1</f>
        <v>0.40799999999999997</v>
      </c>
    </row>
    <row r="62" spans="3:10">
      <c r="C62" s="94" t="s">
        <v>428</v>
      </c>
      <c r="D62" s="118">
        <f>+(F20+F33+F35+F34)/4</f>
        <v>0.37375000000000003</v>
      </c>
      <c r="E62" s="118">
        <f t="shared" ref="E62:H62" si="7">+(G20+G33+G35+G34)/4</f>
        <v>0.40525</v>
      </c>
      <c r="F62" s="118">
        <f>+(H20+H33+H35+H34)/3</f>
        <v>0.41599999999999998</v>
      </c>
      <c r="G62" s="118">
        <f>+(I20+I33+I35+I34)/3</f>
        <v>0.35133333333333328</v>
      </c>
      <c r="H62" s="118">
        <f>+(J20+J33+J35+J34)/1</f>
        <v>0.35799999999999998</v>
      </c>
    </row>
    <row r="69" spans="3:10">
      <c r="C69" s="124" t="s">
        <v>613</v>
      </c>
      <c r="D69" s="124" t="s">
        <v>475</v>
      </c>
      <c r="E69" s="124" t="s">
        <v>476</v>
      </c>
      <c r="F69" s="124" t="s">
        <v>477</v>
      </c>
      <c r="G69" s="124" t="s">
        <v>575</v>
      </c>
      <c r="H69" s="135" t="s">
        <v>652</v>
      </c>
      <c r="I69" s="135" t="s">
        <v>784</v>
      </c>
      <c r="J69" s="135" t="s">
        <v>785</v>
      </c>
    </row>
    <row r="70" spans="3:10">
      <c r="C70" s="124" t="s">
        <v>614</v>
      </c>
      <c r="D70" s="118">
        <f>+(F4+F7+F8+F12+F13+F18+F19+F22+F23+F25+F30+F24+F36+F38)/14</f>
        <v>0.37757142857142856</v>
      </c>
      <c r="E70" s="118">
        <f>+(G4+G7+G8+G12+G13+G18+G19+G22+G23+G25+G30+G24+G36+G38)/13</f>
        <v>0.38776923076923075</v>
      </c>
      <c r="F70" s="118">
        <f>+(H4+H7+H8+H12+H13+H18+H19+H22+H23+H25+H30+H24+H36+H38)/13</f>
        <v>0.37100000000000005</v>
      </c>
      <c r="G70" s="118">
        <f>+(I4+I7+I8+I12+I13+I18+I19+I22+I23+I25+I30+I24+I36+I38)/12</f>
        <v>0.39216666666666661</v>
      </c>
      <c r="H70" s="118">
        <f>+(J4+J7+J8+J12+J13+J18+J19+J22+J23+J25+J30+J24+J36+J38)/10</f>
        <v>0.37679999999999997</v>
      </c>
      <c r="I70" s="118">
        <f>+(K4+K7+K8+K12+K13+K18+K19+K22+K23+K25+K30+K24+K36+K38)/4</f>
        <v>0.34500000000000003</v>
      </c>
    </row>
    <row r="71" spans="3:10">
      <c r="C71" s="124" t="s">
        <v>615</v>
      </c>
      <c r="D71" s="118">
        <f>+(F6+F9+F10+F11+F14+F15+F16+F17+F20+F26+F27+F28+F29+F32+F35+F37+F21+F33)/18</f>
        <v>0.35705555555555557</v>
      </c>
      <c r="E71" s="118">
        <f t="shared" ref="E71:G71" si="8">+(G6+G9+G10+G11+G14+G15+G16+G17+G20+G26+G27+G28+G29+G32+G35+G37+G21+G33)/18</f>
        <v>0.33183333333333326</v>
      </c>
      <c r="F71" s="118">
        <f>+(H6+H9+H10+H11+H14+H15+H16+H17+H20+H26+H27+H28+H29+H32+H35+H37+H21+H33)/16</f>
        <v>0.30775000000000002</v>
      </c>
      <c r="G71" s="118">
        <f>+(I6+I9+I10+I11+I14+I15+I16+I17+I20+I26+I27+I28+I29+I32+I35+I37+I21+I33)/16</f>
        <v>0.35949999999999999</v>
      </c>
      <c r="H71" s="118">
        <f>+(J6+J9+J10+J11+J14+J15+J16+J17+J20+J26+J27+J28+J29+J32+J35+J37+J21+J33)/13</f>
        <v>0.33299999999999996</v>
      </c>
      <c r="I71" s="118">
        <f>+(K6+K9+K10+K11+K14+K15+K16+K17+K20+K26+K27+K28+K29+K32+K35+K37+K21+K33)/7</f>
        <v>0.32700000000000001</v>
      </c>
      <c r="J71" s="118">
        <f>+(L6+L9+L10+L11+L14+L15+L16+L17+L20+L26+L27+L28+L29+L32+L35+L37+L21+L33)/1</f>
        <v>0.40799999999999997</v>
      </c>
    </row>
    <row r="72" spans="3:10">
      <c r="C72" s="124" t="s">
        <v>616</v>
      </c>
      <c r="D72" s="118">
        <f>+(F31+F34+F35+F39)/4</f>
        <v>0.32949999999999996</v>
      </c>
      <c r="E72" s="118">
        <f>+(G31+G34+G35+G39)/3</f>
        <v>0.33433333333333332</v>
      </c>
      <c r="F72" s="118">
        <f>+(H31+H34+H35+H39)/2</f>
        <v>0.27400000000000002</v>
      </c>
      <c r="G72" s="118">
        <f>+(I31+I34+I35+I39)/2</f>
        <v>0.316</v>
      </c>
    </row>
    <row r="73" spans="3:10">
      <c r="C73" s="124"/>
      <c r="D73" s="124"/>
    </row>
    <row r="74" spans="3:10">
      <c r="C74" s="124"/>
    </row>
    <row r="75" spans="3:10">
      <c r="C75" s="124" t="s">
        <v>617</v>
      </c>
      <c r="D75" s="129" t="s">
        <v>475</v>
      </c>
      <c r="E75" s="129" t="s">
        <v>476</v>
      </c>
      <c r="F75" s="129" t="s">
        <v>477</v>
      </c>
      <c r="G75" s="129" t="s">
        <v>575</v>
      </c>
      <c r="H75" s="135" t="s">
        <v>652</v>
      </c>
      <c r="I75" s="135" t="s">
        <v>784</v>
      </c>
      <c r="J75" s="135" t="s">
        <v>785</v>
      </c>
    </row>
    <row r="76" spans="3:10">
      <c r="C76" s="124" t="s">
        <v>614</v>
      </c>
      <c r="D76" s="118">
        <f>+(F4+F8+F12+F13+F18+F19+F25+F30+F38)/9</f>
        <v>0.38988888888888895</v>
      </c>
      <c r="E76" s="118">
        <f t="shared" ref="E76:G76" si="9">+(G4+G8+G12+G13+G18+G19+G25+G30+G38)/9</f>
        <v>0.32088888888888889</v>
      </c>
      <c r="F76" s="118">
        <f t="shared" si="9"/>
        <v>0.31222222222222229</v>
      </c>
      <c r="G76" s="118">
        <f>+(I4+I8+I12+I13+I18+I19+I25+I30+I38)/8</f>
        <v>0.36975000000000002</v>
      </c>
      <c r="H76" s="118">
        <f>+(J4+J8+J12+J13+J18+J19+J25+J30+J38)/7</f>
        <v>0.35199999999999998</v>
      </c>
      <c r="I76" s="118">
        <f>+(K4+K8+K12+K13+K18+K19+K25+K30+K38)/3</f>
        <v>0.30533333333333329</v>
      </c>
    </row>
    <row r="77" spans="3:10">
      <c r="C77" s="124" t="s">
        <v>615</v>
      </c>
      <c r="D77" s="118">
        <f>+(F9+F11+F14+F15+F16+F26+F27+F29+F32+F37+F21)/11</f>
        <v>0.36081818181818187</v>
      </c>
      <c r="E77" s="118">
        <f t="shared" ref="E77:G77" si="10">+(G9+G11+G14+G15+G16+G26+G27+G29+G32+G37+G21)/11</f>
        <v>0.32363636363636367</v>
      </c>
      <c r="F77" s="118">
        <f>+(H9+H11+H14+H15+H16+H26+H27+H29+H32+H37+H21)/10</f>
        <v>0.2918</v>
      </c>
      <c r="G77" s="118">
        <f>+(I9+I11+I14+I15+I16+I26+I27+I29+I32+I37+I21)/10</f>
        <v>0.37790000000000001</v>
      </c>
      <c r="H77" s="118">
        <f>+(J9+J11+J14+J15+J16+J26+J27+J29+J32+J37+J21)/8</f>
        <v>0.35112499999999996</v>
      </c>
      <c r="I77" s="118">
        <f>+(K9+K11+K14+K15+K16+K26+K27+K29+K32+K37+K21)/5</f>
        <v>0.32579999999999998</v>
      </c>
    </row>
    <row r="78" spans="3:10">
      <c r="C78" s="124" t="s">
        <v>616</v>
      </c>
      <c r="D78" s="86">
        <f>+(F31+F39)/2</f>
        <v>0.28949999999999998</v>
      </c>
      <c r="E78" s="86">
        <f>+(G31+G39)/1</f>
        <v>0.25</v>
      </c>
      <c r="F78" s="86">
        <f t="shared" ref="F78:G78" si="11">+(H31+H39)/1</f>
        <v>0.19400000000000001</v>
      </c>
      <c r="G78" s="86">
        <f t="shared" si="11"/>
        <v>0.27400000000000002</v>
      </c>
    </row>
    <row r="79" spans="3:10">
      <c r="C79" s="124"/>
    </row>
    <row r="80" spans="3:10">
      <c r="C80" s="124" t="s">
        <v>618</v>
      </c>
      <c r="D80" s="129" t="s">
        <v>475</v>
      </c>
      <c r="E80" s="129" t="s">
        <v>476</v>
      </c>
      <c r="F80" s="129" t="s">
        <v>477</v>
      </c>
      <c r="G80" s="129" t="s">
        <v>575</v>
      </c>
      <c r="H80" s="135" t="s">
        <v>652</v>
      </c>
      <c r="I80" s="135" t="s">
        <v>784</v>
      </c>
      <c r="J80" s="135" t="s">
        <v>785</v>
      </c>
    </row>
    <row r="81" spans="3:10">
      <c r="C81" s="124" t="s">
        <v>614</v>
      </c>
      <c r="D81" s="118">
        <f>+(F7+F22+F23+F36+F24)/5</f>
        <v>0.35540000000000005</v>
      </c>
      <c r="E81" s="118">
        <f t="shared" ref="E81:H81" si="12">+(G7+G22+G23+G36+G24)/5</f>
        <v>0.43059999999999998</v>
      </c>
      <c r="F81" s="118">
        <f t="shared" si="12"/>
        <v>0.40259999999999996</v>
      </c>
      <c r="G81" s="118">
        <f>+(I7+I22+I23+I36+I24)/4</f>
        <v>0.43700000000000006</v>
      </c>
      <c r="H81" s="118">
        <f>+(J7+J22+J23+J36+J24)/3</f>
        <v>0.4346666666666667</v>
      </c>
      <c r="I81" s="118">
        <f>+(K7+K22+K23+K36+K24)/1</f>
        <v>0.46400000000000002</v>
      </c>
    </row>
    <row r="82" spans="3:10">
      <c r="C82" s="124" t="s">
        <v>615</v>
      </c>
      <c r="D82" s="118">
        <f>+(F6+F10+F17+F20+F28+F35+F33)/7</f>
        <v>0.35114285714285709</v>
      </c>
      <c r="E82" s="118">
        <f t="shared" ref="E82:J82" si="13">+(G6+G10+G17+G20+G28+G35+G33)/7</f>
        <v>0.34471428571428575</v>
      </c>
      <c r="F82" s="118">
        <f>+(H6+H10+H17+H20+H28+H35+H33)/6</f>
        <v>0.33433333333333337</v>
      </c>
      <c r="G82" s="118">
        <f>+(I6+I10+I17+I20+I28+I35+I33)/6</f>
        <v>0.32883333333333331</v>
      </c>
      <c r="H82" s="118">
        <f>+(J6+J10+J17+J20+J28+J35+J33)/5</f>
        <v>0.30399999999999999</v>
      </c>
      <c r="I82" s="118">
        <f>+(K6+K10+K17+K20+K28+K35+K33)/2</f>
        <v>0.32999999999999996</v>
      </c>
      <c r="J82" s="118">
        <f>+(L6+L10+L17+L20+L28+L35+L33)/1</f>
        <v>0.40799999999999997</v>
      </c>
    </row>
    <row r="83" spans="3:10">
      <c r="C83" s="124" t="s">
        <v>616</v>
      </c>
      <c r="D83" s="86">
        <f>+F34</f>
        <v>0.38400000000000001</v>
      </c>
      <c r="E83" s="86">
        <f t="shared" ref="E83:H83" si="14">+G34</f>
        <v>0.40799999999999997</v>
      </c>
      <c r="F83" s="86">
        <f t="shared" si="14"/>
        <v>0.35399999999999998</v>
      </c>
      <c r="G83" s="86">
        <f t="shared" si="14"/>
        <v>0.35799999999999998</v>
      </c>
      <c r="H83" s="86"/>
    </row>
  </sheetData>
  <autoFilter ref="A3:I39"/>
  <mergeCells count="1">
    <mergeCell ref="F2:H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2"/>
  <sheetViews>
    <sheetView workbookViewId="0">
      <selection activeCell="S34" sqref="S34"/>
    </sheetView>
  </sheetViews>
  <sheetFormatPr baseColWidth="10" defaultRowHeight="15"/>
  <cols>
    <col min="1" max="1" width="5.28515625" style="81" bestFit="1" customWidth="1"/>
    <col min="2" max="2" width="55" style="81" bestFit="1" customWidth="1"/>
    <col min="3" max="3" width="11.42578125" style="81"/>
    <col min="4" max="4" width="11.42578125" style="94"/>
    <col min="5" max="16384" width="11.42578125" style="81"/>
  </cols>
  <sheetData>
    <row r="2" spans="1:11">
      <c r="E2" s="160" t="s">
        <v>20</v>
      </c>
      <c r="F2" s="160"/>
      <c r="G2" s="160"/>
    </row>
    <row r="3" spans="1:11">
      <c r="A3" s="81" t="s">
        <v>439</v>
      </c>
      <c r="B3" s="81" t="s">
        <v>440</v>
      </c>
      <c r="C3" s="81" t="s">
        <v>446</v>
      </c>
      <c r="D3" s="94" t="s">
        <v>490</v>
      </c>
      <c r="E3" s="81" t="s">
        <v>478</v>
      </c>
      <c r="F3" s="81" t="s">
        <v>479</v>
      </c>
      <c r="G3" s="81" t="s">
        <v>480</v>
      </c>
      <c r="H3" s="100" t="s">
        <v>576</v>
      </c>
      <c r="I3" s="129" t="s">
        <v>653</v>
      </c>
      <c r="J3" s="135" t="s">
        <v>786</v>
      </c>
      <c r="K3" s="135" t="s">
        <v>787</v>
      </c>
    </row>
    <row r="4" spans="1:11">
      <c r="A4" s="81">
        <v>1</v>
      </c>
      <c r="B4" s="31" t="s">
        <v>577</v>
      </c>
      <c r="C4" s="13" t="s">
        <v>45</v>
      </c>
      <c r="D4" s="13" t="s">
        <v>44</v>
      </c>
      <c r="E4" s="33">
        <v>7.4999999999999997E-2</v>
      </c>
      <c r="F4" s="36">
        <v>7.4999999999999997E-2</v>
      </c>
      <c r="G4" s="36">
        <v>7.0000000000000007E-2</v>
      </c>
      <c r="H4" s="36">
        <v>7.0999999999999994E-2</v>
      </c>
      <c r="I4" s="36">
        <v>7.0000000000000007E-2</v>
      </c>
      <c r="J4" s="36">
        <v>7.0000000000000007E-2</v>
      </c>
      <c r="K4" s="36"/>
    </row>
    <row r="5" spans="1:11" ht="30">
      <c r="A5" s="81">
        <f>+A4+1</f>
        <v>2</v>
      </c>
      <c r="B5" s="37" t="s">
        <v>54</v>
      </c>
      <c r="C5" s="13" t="s">
        <v>45</v>
      </c>
      <c r="D5" s="13" t="s">
        <v>58</v>
      </c>
      <c r="E5" s="33">
        <v>6.5000000000000002E-2</v>
      </c>
      <c r="F5" s="40">
        <v>7.0000000000000007E-2</v>
      </c>
      <c r="G5" s="36">
        <v>6.3E-2</v>
      </c>
      <c r="H5" s="36">
        <v>7.2999999999999995E-2</v>
      </c>
      <c r="I5" s="8"/>
      <c r="J5" s="8"/>
      <c r="K5" s="8"/>
    </row>
    <row r="6" spans="1:11">
      <c r="A6" s="81">
        <f t="shared" ref="A6:A36" si="0">+A5+1</f>
        <v>3</v>
      </c>
      <c r="B6" s="41" t="s">
        <v>619</v>
      </c>
      <c r="C6" s="13" t="s">
        <v>73</v>
      </c>
      <c r="D6" s="13" t="s">
        <v>72</v>
      </c>
      <c r="E6" s="33">
        <v>8.1000000000000003E-2</v>
      </c>
      <c r="F6" s="36">
        <v>7.9000000000000001E-2</v>
      </c>
      <c r="G6" s="36">
        <v>7.9000000000000001E-2</v>
      </c>
      <c r="H6" s="36">
        <v>7.1999999999999995E-2</v>
      </c>
      <c r="I6" s="36">
        <v>7.1999999999999995E-2</v>
      </c>
      <c r="J6" s="36">
        <v>8.5000000000000006E-2</v>
      </c>
      <c r="K6" s="36">
        <v>6.8000000000000005E-2</v>
      </c>
    </row>
    <row r="7" spans="1:11">
      <c r="A7" s="81">
        <f t="shared" si="0"/>
        <v>4</v>
      </c>
      <c r="B7" s="42" t="s">
        <v>580</v>
      </c>
      <c r="C7" s="13" t="s">
        <v>73</v>
      </c>
      <c r="D7" s="13" t="s">
        <v>88</v>
      </c>
      <c r="E7" s="33">
        <v>9.5000000000000001E-2</v>
      </c>
      <c r="F7" s="36">
        <v>7.4999999999999997E-2</v>
      </c>
      <c r="G7" s="36">
        <v>6.5000000000000002E-2</v>
      </c>
      <c r="H7" s="36">
        <v>6.5000000000000002E-2</v>
      </c>
      <c r="I7" s="36">
        <v>0.06</v>
      </c>
      <c r="J7" s="36">
        <v>0.06</v>
      </c>
      <c r="K7" s="36"/>
    </row>
    <row r="8" spans="1:11">
      <c r="A8" s="81">
        <f t="shared" si="0"/>
        <v>5</v>
      </c>
      <c r="B8" s="42" t="s">
        <v>510</v>
      </c>
      <c r="C8" s="13" t="s">
        <v>45</v>
      </c>
      <c r="D8" s="13" t="s">
        <v>99</v>
      </c>
      <c r="E8" s="33">
        <v>7.0999999999999994E-2</v>
      </c>
      <c r="F8" s="36">
        <v>6.9000000000000006E-2</v>
      </c>
      <c r="G8" s="36">
        <v>7.2999999999999995E-2</v>
      </c>
      <c r="H8" s="36">
        <v>7.3999999999999996E-2</v>
      </c>
      <c r="I8" s="36">
        <v>7.3999999999999996E-2</v>
      </c>
      <c r="J8" s="8"/>
      <c r="K8" s="8"/>
    </row>
    <row r="9" spans="1:11">
      <c r="A9" s="81">
        <f t="shared" si="0"/>
        <v>6</v>
      </c>
      <c r="B9" s="31" t="s">
        <v>622</v>
      </c>
      <c r="C9" s="13" t="s">
        <v>45</v>
      </c>
      <c r="D9" s="13" t="s">
        <v>72</v>
      </c>
      <c r="E9" s="28">
        <v>0</v>
      </c>
      <c r="F9" s="36">
        <v>8.4000000000000005E-2</v>
      </c>
      <c r="G9" s="24">
        <v>0</v>
      </c>
      <c r="H9" s="36">
        <v>9.5000000000000001E-2</v>
      </c>
      <c r="I9" s="36">
        <v>6.5000000000000002E-2</v>
      </c>
      <c r="J9" s="36">
        <v>6.5000000000000002E-2</v>
      </c>
      <c r="K9" s="36"/>
    </row>
    <row r="10" spans="1:11">
      <c r="A10" s="81">
        <f t="shared" si="0"/>
        <v>7</v>
      </c>
      <c r="B10" s="45" t="s">
        <v>624</v>
      </c>
      <c r="C10" s="13" t="s">
        <v>73</v>
      </c>
      <c r="D10" s="13" t="s">
        <v>88</v>
      </c>
      <c r="E10" s="33">
        <v>6.5000000000000002E-2</v>
      </c>
      <c r="F10" s="36">
        <v>6.7000000000000004E-2</v>
      </c>
      <c r="G10" s="36">
        <v>6.2E-2</v>
      </c>
      <c r="H10" s="36">
        <v>6.4000000000000001E-2</v>
      </c>
      <c r="I10" s="36">
        <v>6.0999999999999999E-2</v>
      </c>
      <c r="J10" s="36">
        <v>6.0999999999999999E-2</v>
      </c>
      <c r="K10" s="36"/>
    </row>
    <row r="11" spans="1:11">
      <c r="A11" s="81">
        <f t="shared" si="0"/>
        <v>8</v>
      </c>
      <c r="B11" s="31" t="s">
        <v>626</v>
      </c>
      <c r="C11" s="13" t="s">
        <v>45</v>
      </c>
      <c r="D11" s="13" t="s">
        <v>128</v>
      </c>
      <c r="E11" s="33">
        <v>9.0999999999999998E-2</v>
      </c>
      <c r="F11" s="36">
        <v>0.108</v>
      </c>
      <c r="G11" s="24">
        <v>0</v>
      </c>
      <c r="H11" s="36">
        <v>6.3E-2</v>
      </c>
      <c r="I11" s="36">
        <v>6.6000000000000003E-2</v>
      </c>
      <c r="J11" s="36">
        <v>7.0000000000000007E-2</v>
      </c>
      <c r="K11" s="36"/>
    </row>
    <row r="12" spans="1:11">
      <c r="A12" s="81">
        <f t="shared" si="0"/>
        <v>9</v>
      </c>
      <c r="B12" s="48" t="s">
        <v>629</v>
      </c>
      <c r="C12" s="13" t="s">
        <v>45</v>
      </c>
      <c r="D12" s="13" t="s">
        <v>72</v>
      </c>
      <c r="E12" s="33">
        <v>6.4000000000000001E-2</v>
      </c>
      <c r="F12" s="36">
        <v>6.0999999999999999E-2</v>
      </c>
      <c r="G12" s="36">
        <v>6.3E-2</v>
      </c>
      <c r="H12" s="36">
        <v>6.5000000000000002E-2</v>
      </c>
      <c r="I12" s="36">
        <v>6.6000000000000003E-2</v>
      </c>
      <c r="J12" s="36">
        <v>6.8000000000000005E-2</v>
      </c>
      <c r="K12" s="36"/>
    </row>
    <row r="13" spans="1:11">
      <c r="A13" s="81">
        <f t="shared" si="0"/>
        <v>10</v>
      </c>
      <c r="B13" s="42" t="s">
        <v>525</v>
      </c>
      <c r="C13" s="13" t="s">
        <v>45</v>
      </c>
      <c r="D13" s="13" t="s">
        <v>150</v>
      </c>
      <c r="E13" s="33">
        <v>0.06</v>
      </c>
      <c r="F13" s="33">
        <v>6.2E-2</v>
      </c>
      <c r="G13" s="33">
        <v>0.06</v>
      </c>
      <c r="H13" s="33">
        <v>6.3E-2</v>
      </c>
      <c r="I13" s="33">
        <v>6.7000000000000004E-2</v>
      </c>
      <c r="J13" s="33">
        <v>6.5000000000000002E-2</v>
      </c>
      <c r="K13" s="33"/>
    </row>
    <row r="14" spans="1:11">
      <c r="A14" s="81">
        <f t="shared" si="0"/>
        <v>11</v>
      </c>
      <c r="B14" s="42" t="s">
        <v>631</v>
      </c>
      <c r="C14" s="13" t="s">
        <v>45</v>
      </c>
      <c r="D14" s="13" t="s">
        <v>128</v>
      </c>
      <c r="E14" s="33">
        <v>5.8999999999999997E-2</v>
      </c>
      <c r="F14" s="33">
        <v>0.06</v>
      </c>
      <c r="G14" s="33">
        <v>6.0999999999999999E-2</v>
      </c>
      <c r="H14" s="33">
        <v>6.7000000000000004E-2</v>
      </c>
      <c r="I14" s="33">
        <v>6.9000000000000006E-2</v>
      </c>
      <c r="J14" s="33">
        <v>6.4000000000000001E-2</v>
      </c>
      <c r="K14" s="33"/>
    </row>
    <row r="15" spans="1:11">
      <c r="A15" s="81">
        <f t="shared" si="0"/>
        <v>12</v>
      </c>
      <c r="B15" s="31" t="s">
        <v>529</v>
      </c>
      <c r="C15" s="13" t="s">
        <v>45</v>
      </c>
      <c r="D15" s="13" t="s">
        <v>128</v>
      </c>
      <c r="E15" s="33">
        <v>0.06</v>
      </c>
      <c r="F15" s="33">
        <v>6.4000000000000001E-2</v>
      </c>
      <c r="G15" s="28">
        <v>0</v>
      </c>
      <c r="H15" s="33">
        <v>6.7000000000000004E-2</v>
      </c>
      <c r="I15" s="33">
        <v>6.7000000000000004E-2</v>
      </c>
      <c r="J15" s="13"/>
      <c r="K15" s="13"/>
    </row>
    <row r="16" spans="1:11">
      <c r="A16" s="81">
        <f t="shared" si="0"/>
        <v>13</v>
      </c>
      <c r="B16" s="50" t="s">
        <v>632</v>
      </c>
      <c r="C16" s="13" t="s">
        <v>45</v>
      </c>
      <c r="D16" s="13" t="s">
        <v>88</v>
      </c>
      <c r="E16" s="33">
        <v>8.7999999999999995E-2</v>
      </c>
      <c r="F16" s="33">
        <v>7.6999999999999999E-2</v>
      </c>
      <c r="G16" s="33">
        <v>6.5000000000000002E-2</v>
      </c>
      <c r="H16" s="33">
        <v>5.8999999999999997E-2</v>
      </c>
      <c r="I16" s="33">
        <v>6.9000000000000006E-2</v>
      </c>
      <c r="J16" s="33">
        <v>6.6000000000000003E-2</v>
      </c>
      <c r="K16" s="33"/>
    </row>
    <row r="17" spans="1:11">
      <c r="A17" s="81">
        <f t="shared" si="0"/>
        <v>14</v>
      </c>
      <c r="B17" s="31" t="s">
        <v>584</v>
      </c>
      <c r="C17" s="13" t="s">
        <v>73</v>
      </c>
      <c r="D17" s="28" t="s">
        <v>72</v>
      </c>
      <c r="E17" s="33">
        <v>6.8000000000000005E-2</v>
      </c>
      <c r="F17" s="33">
        <v>6.5000000000000002E-2</v>
      </c>
      <c r="G17" s="33">
        <v>6.5000000000000002E-2</v>
      </c>
      <c r="H17" s="28">
        <v>0</v>
      </c>
      <c r="I17" s="33">
        <v>6.6000000000000003E-2</v>
      </c>
      <c r="J17" s="13"/>
      <c r="K17" s="13"/>
    </row>
    <row r="18" spans="1:11">
      <c r="A18" s="81">
        <f t="shared" si="0"/>
        <v>15</v>
      </c>
      <c r="B18" s="31" t="s">
        <v>636</v>
      </c>
      <c r="C18" s="13" t="s">
        <v>45</v>
      </c>
      <c r="D18" s="28" t="s">
        <v>196</v>
      </c>
      <c r="E18" s="33">
        <v>6.8000000000000005E-2</v>
      </c>
      <c r="F18" s="33">
        <v>7.0999999999999994E-2</v>
      </c>
      <c r="G18" s="33">
        <v>6.5000000000000002E-2</v>
      </c>
      <c r="H18" s="33">
        <v>7.1999999999999995E-2</v>
      </c>
      <c r="I18" s="13"/>
      <c r="J18" s="13"/>
      <c r="K18" s="13"/>
    </row>
    <row r="19" spans="1:11">
      <c r="A19" s="81">
        <f t="shared" si="0"/>
        <v>16</v>
      </c>
      <c r="B19" s="31" t="s">
        <v>586</v>
      </c>
      <c r="C19" s="24" t="s">
        <v>45</v>
      </c>
      <c r="D19" s="24" t="s">
        <v>205</v>
      </c>
      <c r="E19" s="33">
        <v>6.4000000000000001E-2</v>
      </c>
      <c r="F19" s="33">
        <v>6.8000000000000005E-2</v>
      </c>
      <c r="G19" s="33">
        <v>6.5000000000000002E-2</v>
      </c>
      <c r="H19" s="33">
        <v>6.5000000000000002E-2</v>
      </c>
      <c r="I19" s="33">
        <v>6.3E-2</v>
      </c>
      <c r="J19" s="13"/>
      <c r="K19" s="13"/>
    </row>
    <row r="20" spans="1:11">
      <c r="A20" s="81">
        <f t="shared" si="0"/>
        <v>17</v>
      </c>
      <c r="B20" s="41" t="s">
        <v>589</v>
      </c>
      <c r="C20" s="24" t="s">
        <v>225</v>
      </c>
      <c r="D20" s="24" t="s">
        <v>58</v>
      </c>
      <c r="E20" s="40">
        <v>7.0000000000000007E-2</v>
      </c>
      <c r="F20" s="24">
        <v>0</v>
      </c>
      <c r="G20" s="36">
        <v>6.9000000000000006E-2</v>
      </c>
      <c r="H20" s="36">
        <v>6.8000000000000005E-2</v>
      </c>
      <c r="I20" s="36">
        <v>6.5000000000000002E-2</v>
      </c>
      <c r="J20" s="8"/>
      <c r="K20" s="8"/>
    </row>
    <row r="21" spans="1:11">
      <c r="A21" s="81">
        <f t="shared" si="0"/>
        <v>18</v>
      </c>
      <c r="B21" s="42" t="s">
        <v>592</v>
      </c>
      <c r="C21" s="24" t="s">
        <v>45</v>
      </c>
      <c r="D21" s="24" t="s">
        <v>58</v>
      </c>
      <c r="E21" s="36">
        <v>6.6000000000000003E-2</v>
      </c>
      <c r="F21" s="24">
        <v>0</v>
      </c>
      <c r="G21" s="36">
        <v>6.2E-2</v>
      </c>
      <c r="H21" s="36">
        <v>6.6000000000000003E-2</v>
      </c>
      <c r="I21" s="36">
        <v>6.0999999999999999E-2</v>
      </c>
      <c r="J21" s="8"/>
      <c r="K21" s="8"/>
    </row>
    <row r="22" spans="1:11">
      <c r="A22" s="81">
        <f t="shared" si="0"/>
        <v>19</v>
      </c>
      <c r="B22" s="42" t="s">
        <v>594</v>
      </c>
      <c r="C22" s="24" t="s">
        <v>225</v>
      </c>
      <c r="D22" s="24" t="s">
        <v>205</v>
      </c>
      <c r="E22" s="36">
        <v>7.6999999999999999E-2</v>
      </c>
      <c r="F22" s="36">
        <v>7.0000000000000007E-2</v>
      </c>
      <c r="G22" s="24">
        <v>0</v>
      </c>
      <c r="H22" s="24">
        <v>0</v>
      </c>
      <c r="I22" s="8"/>
      <c r="J22" s="8"/>
      <c r="K22" s="8"/>
    </row>
    <row r="23" spans="1:11">
      <c r="A23" s="81">
        <f t="shared" si="0"/>
        <v>20</v>
      </c>
      <c r="B23" s="42" t="s">
        <v>597</v>
      </c>
      <c r="C23" s="24" t="s">
        <v>225</v>
      </c>
      <c r="D23" s="24" t="s">
        <v>196</v>
      </c>
      <c r="E23" s="24">
        <v>0</v>
      </c>
      <c r="F23" s="36">
        <v>7.3999999999999996E-2</v>
      </c>
      <c r="G23" s="36">
        <v>7.0999999999999994E-2</v>
      </c>
      <c r="H23" s="36">
        <v>7.2999999999999995E-2</v>
      </c>
      <c r="I23" s="36">
        <v>7.4999999999999997E-2</v>
      </c>
      <c r="J23" s="8"/>
      <c r="K23" s="8"/>
    </row>
    <row r="24" spans="1:11">
      <c r="A24" s="81">
        <f t="shared" si="0"/>
        <v>21</v>
      </c>
      <c r="B24" s="42" t="s">
        <v>599</v>
      </c>
      <c r="C24" s="24" t="s">
        <v>225</v>
      </c>
      <c r="D24" s="24" t="s">
        <v>150</v>
      </c>
      <c r="E24" s="36">
        <v>6.9000000000000006E-2</v>
      </c>
      <c r="F24" s="36">
        <v>7.0000000000000007E-2</v>
      </c>
      <c r="G24" s="36">
        <v>6.6000000000000003E-2</v>
      </c>
      <c r="H24" s="24">
        <v>0</v>
      </c>
      <c r="I24" s="36">
        <v>6.5000000000000002E-2</v>
      </c>
      <c r="J24" s="8"/>
      <c r="K24" s="8"/>
    </row>
    <row r="25" spans="1:11">
      <c r="A25" s="81">
        <f t="shared" si="0"/>
        <v>22</v>
      </c>
      <c r="B25" s="42" t="s">
        <v>601</v>
      </c>
      <c r="C25" s="24" t="s">
        <v>45</v>
      </c>
      <c r="D25" s="24" t="s">
        <v>150</v>
      </c>
      <c r="E25" s="36">
        <v>7.1999999999999995E-2</v>
      </c>
      <c r="F25" s="36">
        <v>6.7000000000000004E-2</v>
      </c>
      <c r="G25" s="36">
        <v>6.6000000000000003E-2</v>
      </c>
      <c r="H25" s="36">
        <v>7.1999999999999995E-2</v>
      </c>
      <c r="I25" s="36">
        <v>6.5000000000000002E-2</v>
      </c>
      <c r="J25" s="8"/>
      <c r="K25" s="8"/>
    </row>
    <row r="26" spans="1:11">
      <c r="A26" s="81">
        <f t="shared" si="0"/>
        <v>23</v>
      </c>
      <c r="B26" s="42" t="s">
        <v>537</v>
      </c>
      <c r="C26" s="24" t="s">
        <v>45</v>
      </c>
      <c r="D26" s="24" t="s">
        <v>72</v>
      </c>
      <c r="E26" s="36">
        <v>6.3E-2</v>
      </c>
      <c r="F26" s="36">
        <v>6.9000000000000006E-2</v>
      </c>
      <c r="G26" s="36">
        <v>6.3E-2</v>
      </c>
      <c r="H26" s="36">
        <v>6.9000000000000006E-2</v>
      </c>
      <c r="I26" s="36">
        <v>7.0999999999999994E-2</v>
      </c>
      <c r="J26" s="8"/>
      <c r="K26" s="8"/>
    </row>
    <row r="27" spans="1:11">
      <c r="A27" s="81">
        <f t="shared" si="0"/>
        <v>24</v>
      </c>
      <c r="B27" s="42" t="s">
        <v>540</v>
      </c>
      <c r="C27" s="24" t="s">
        <v>45</v>
      </c>
      <c r="D27" s="24" t="s">
        <v>128</v>
      </c>
      <c r="E27" s="36">
        <v>6.5000000000000002E-2</v>
      </c>
      <c r="F27" s="36">
        <v>6.5000000000000002E-2</v>
      </c>
      <c r="G27" s="36">
        <v>6.9000000000000006E-2</v>
      </c>
      <c r="H27" s="36">
        <v>7.0000000000000007E-2</v>
      </c>
      <c r="I27" s="8"/>
      <c r="J27" s="8"/>
      <c r="K27" s="8"/>
    </row>
    <row r="28" spans="1:11">
      <c r="A28" s="81">
        <f t="shared" si="0"/>
        <v>25</v>
      </c>
      <c r="B28" s="42" t="s">
        <v>602</v>
      </c>
      <c r="C28" s="24" t="s">
        <v>225</v>
      </c>
      <c r="D28" s="24" t="s">
        <v>88</v>
      </c>
      <c r="E28" s="36">
        <v>7.6999999999999999E-2</v>
      </c>
      <c r="F28" s="36">
        <v>6.2E-2</v>
      </c>
      <c r="G28" s="40">
        <v>0.06</v>
      </c>
      <c r="H28" s="36">
        <v>5.8000000000000003E-2</v>
      </c>
      <c r="I28" s="36">
        <v>5.8000000000000003E-2</v>
      </c>
      <c r="J28" s="8"/>
      <c r="K28" s="8"/>
    </row>
    <row r="29" spans="1:11">
      <c r="A29" s="81">
        <f t="shared" si="0"/>
        <v>26</v>
      </c>
      <c r="B29" s="42" t="s">
        <v>606</v>
      </c>
      <c r="C29" s="24" t="s">
        <v>45</v>
      </c>
      <c r="D29" s="24" t="s">
        <v>128</v>
      </c>
      <c r="E29" s="36">
        <v>6.9000000000000006E-2</v>
      </c>
      <c r="F29" s="36">
        <v>6.7000000000000004E-2</v>
      </c>
      <c r="G29" s="36">
        <v>0.06</v>
      </c>
      <c r="H29" s="36">
        <v>6.5000000000000002E-2</v>
      </c>
      <c r="I29" s="36">
        <v>0.06</v>
      </c>
      <c r="J29" s="36">
        <v>6.6000000000000003E-2</v>
      </c>
      <c r="K29" s="36"/>
    </row>
    <row r="30" spans="1:11">
      <c r="A30" s="81">
        <f t="shared" si="0"/>
        <v>27</v>
      </c>
      <c r="B30" s="42" t="s">
        <v>637</v>
      </c>
      <c r="C30" s="24" t="s">
        <v>45</v>
      </c>
      <c r="D30" s="24" t="s">
        <v>314</v>
      </c>
      <c r="E30" s="40">
        <v>7.0000000000000007E-2</v>
      </c>
      <c r="F30" s="36">
        <v>6.8000000000000005E-2</v>
      </c>
      <c r="G30" s="36">
        <v>6.8000000000000005E-2</v>
      </c>
      <c r="H30" s="36">
        <v>6.5000000000000002E-2</v>
      </c>
      <c r="I30" s="36">
        <v>6.7000000000000004E-2</v>
      </c>
      <c r="J30" s="8"/>
      <c r="K30" s="8"/>
    </row>
    <row r="31" spans="1:11">
      <c r="A31" s="81">
        <f t="shared" si="0"/>
        <v>28</v>
      </c>
      <c r="B31" s="42" t="s">
        <v>552</v>
      </c>
      <c r="C31" s="24" t="s">
        <v>45</v>
      </c>
      <c r="D31" s="24" t="s">
        <v>323</v>
      </c>
      <c r="E31" s="36">
        <v>7.6999999999999999E-2</v>
      </c>
      <c r="F31" s="36">
        <v>7.0000000000000007E-2</v>
      </c>
      <c r="G31" s="36">
        <v>9.6000000000000002E-2</v>
      </c>
      <c r="H31" s="36">
        <v>7.9000000000000001E-2</v>
      </c>
      <c r="I31" s="8"/>
      <c r="J31" s="8"/>
      <c r="K31" s="8"/>
    </row>
    <row r="32" spans="1:11">
      <c r="A32" s="81">
        <f t="shared" si="0"/>
        <v>29</v>
      </c>
      <c r="B32" s="42" t="s">
        <v>607</v>
      </c>
      <c r="C32" s="24" t="s">
        <v>332</v>
      </c>
      <c r="D32" s="24" t="s">
        <v>88</v>
      </c>
      <c r="E32" s="36">
        <v>6.2E-2</v>
      </c>
      <c r="F32" s="24">
        <v>0</v>
      </c>
      <c r="G32" s="36">
        <v>0.06</v>
      </c>
      <c r="H32" s="36">
        <v>5.8999999999999997E-2</v>
      </c>
      <c r="I32" s="8"/>
      <c r="J32" s="8"/>
      <c r="K32" s="8"/>
    </row>
    <row r="33" spans="1:11">
      <c r="A33" s="81">
        <f t="shared" si="0"/>
        <v>30</v>
      </c>
      <c r="B33" s="42" t="s">
        <v>611</v>
      </c>
      <c r="C33" s="24" t="s">
        <v>73</v>
      </c>
      <c r="D33" s="24" t="s">
        <v>58</v>
      </c>
      <c r="E33" s="36">
        <v>0.08</v>
      </c>
      <c r="F33" s="36">
        <v>7.2999999999999995E-2</v>
      </c>
      <c r="G33" s="36">
        <v>7.1999999999999995E-2</v>
      </c>
      <c r="H33" s="36">
        <v>6.0999999999999999E-2</v>
      </c>
      <c r="I33" s="8"/>
      <c r="J33" s="8"/>
      <c r="K33" s="8"/>
    </row>
    <row r="34" spans="1:11">
      <c r="A34" s="81">
        <f t="shared" si="0"/>
        <v>31</v>
      </c>
      <c r="B34" s="65" t="s">
        <v>639</v>
      </c>
      <c r="C34" s="24" t="s">
        <v>73</v>
      </c>
      <c r="D34" s="24" t="s">
        <v>323</v>
      </c>
      <c r="E34" s="36">
        <v>7.9000000000000001E-2</v>
      </c>
      <c r="F34" s="36">
        <v>7.4999999999999997E-2</v>
      </c>
      <c r="G34" s="36">
        <v>6.3E-2</v>
      </c>
      <c r="H34" s="36">
        <v>6.3E-2</v>
      </c>
      <c r="I34" s="8"/>
      <c r="J34" s="8"/>
      <c r="K34" s="8"/>
    </row>
    <row r="35" spans="1:11">
      <c r="A35" s="81">
        <f t="shared" si="0"/>
        <v>32</v>
      </c>
      <c r="B35" s="31" t="s">
        <v>557</v>
      </c>
      <c r="C35" s="24" t="s">
        <v>73</v>
      </c>
      <c r="D35" s="24" t="s">
        <v>58</v>
      </c>
      <c r="E35" s="36">
        <v>6.9000000000000006E-2</v>
      </c>
      <c r="F35" s="36">
        <v>6.7000000000000004E-2</v>
      </c>
      <c r="G35" s="8"/>
      <c r="H35" s="8"/>
      <c r="I35" s="8"/>
      <c r="J35" s="8"/>
      <c r="K35" s="8"/>
    </row>
    <row r="36" spans="1:11">
      <c r="A36" s="81">
        <f t="shared" si="0"/>
        <v>33</v>
      </c>
      <c r="B36" s="28" t="s">
        <v>642</v>
      </c>
      <c r="C36" s="24" t="s">
        <v>73</v>
      </c>
      <c r="D36" s="24" t="s">
        <v>499</v>
      </c>
      <c r="E36" s="36">
        <v>6.3E-2</v>
      </c>
      <c r="F36" s="36">
        <v>6.5000000000000002E-2</v>
      </c>
      <c r="G36" s="36">
        <v>6.3E-2</v>
      </c>
      <c r="H36" s="8"/>
      <c r="I36" s="8"/>
      <c r="J36" s="8"/>
      <c r="K36" s="8"/>
    </row>
    <row r="37" spans="1:11">
      <c r="B37" s="28" t="s">
        <v>644</v>
      </c>
      <c r="C37" s="24" t="s">
        <v>45</v>
      </c>
      <c r="D37" s="24" t="s">
        <v>88</v>
      </c>
      <c r="E37" s="36">
        <v>8.2000000000000003E-2</v>
      </c>
      <c r="F37" s="36">
        <v>6.2E-2</v>
      </c>
      <c r="G37" s="8"/>
      <c r="H37" s="8"/>
      <c r="I37" s="8"/>
      <c r="J37" s="8"/>
      <c r="K37" s="8"/>
    </row>
    <row r="38" spans="1:11">
      <c r="B38" s="28" t="s">
        <v>756</v>
      </c>
      <c r="C38" s="163" t="s">
        <v>45</v>
      </c>
      <c r="D38" s="163" t="s">
        <v>58</v>
      </c>
      <c r="E38" s="36">
        <v>9.0999999999999998E-2</v>
      </c>
      <c r="F38" s="8"/>
      <c r="G38" s="8"/>
      <c r="H38" s="8"/>
      <c r="I38" s="8"/>
      <c r="J38" s="8"/>
      <c r="K38" s="8"/>
    </row>
    <row r="39" spans="1:11">
      <c r="B39" s="64" t="s">
        <v>764</v>
      </c>
      <c r="C39" s="163" t="s">
        <v>45</v>
      </c>
      <c r="D39" s="163" t="s">
        <v>323</v>
      </c>
      <c r="E39" s="78">
        <v>8.8999999999999996E-2</v>
      </c>
      <c r="F39" s="135"/>
      <c r="G39" s="135"/>
      <c r="H39" s="135"/>
      <c r="I39" s="135"/>
      <c r="J39" s="135"/>
      <c r="K39" s="135"/>
    </row>
    <row r="40" spans="1:11" s="135" customFormat="1">
      <c r="B40" s="119"/>
      <c r="C40" s="98"/>
      <c r="D40" s="98"/>
    </row>
    <row r="41" spans="1:11" s="135" customFormat="1">
      <c r="B41" s="119"/>
      <c r="C41" s="98"/>
      <c r="D41" s="98"/>
    </row>
    <row r="42" spans="1:11" s="135" customFormat="1">
      <c r="B42" s="119"/>
      <c r="C42" s="98"/>
      <c r="D42" s="98"/>
    </row>
    <row r="43" spans="1:11" s="135" customFormat="1">
      <c r="B43" s="119"/>
      <c r="C43" s="98"/>
      <c r="D43" s="98"/>
    </row>
    <row r="45" spans="1:11">
      <c r="B45" s="94" t="s">
        <v>447</v>
      </c>
      <c r="C45" s="100" t="s">
        <v>478</v>
      </c>
      <c r="D45" s="100" t="s">
        <v>479</v>
      </c>
      <c r="E45" s="100" t="s">
        <v>480</v>
      </c>
      <c r="F45" s="100" t="s">
        <v>576</v>
      </c>
      <c r="G45" s="129" t="s">
        <v>653</v>
      </c>
      <c r="H45" s="135" t="s">
        <v>786</v>
      </c>
      <c r="I45" s="135" t="s">
        <v>787</v>
      </c>
    </row>
    <row r="46" spans="1:11">
      <c r="B46" s="94" t="s">
        <v>445</v>
      </c>
      <c r="C46" s="118">
        <f>+(E4+E5+E8+E9+E11+E12+E13+E14+E15+E16+E18+E21+E19+E25+E26+E27+E29+E30+E31+E32+E37+E38+E39)/23</f>
        <v>6.8304347826086964E-2</v>
      </c>
      <c r="D46" s="118">
        <f>+(F4+F5+F8+F9+F11+F12+F13+F14+F15+F16+F18+F21+F19+F25+F26+F27+F29+F30+F31+F32+F37+F38+F39)/21</f>
        <v>6.3666666666666663E-2</v>
      </c>
      <c r="E46" s="118">
        <f>+(G4+G5+G8+G9+G11+G12+G13+G14+G15+G16+G18+G21+G19+G25+G26+G27+G29+G30+G31+G32+G37+G38+G39)/20</f>
        <v>5.6450000000000014E-2</v>
      </c>
      <c r="F46" s="118">
        <f>+(H4+H5+H8+H9+H11+H12+H13+H14+H15+H16+H18+H21+H19+H25+H26+H27+H29+H30+H31+H32+H37+H38+H39)/20</f>
        <v>6.8949999999999984E-2</v>
      </c>
      <c r="G46" s="118">
        <f>+(I4+I5+I8+I9+I11+I12+I13+I14+I15+I16+I18+I21+I19+I25+I26+I27+I29+I30+I31+I32+I37+I38+I39)/15</f>
        <v>6.6666666666666652E-2</v>
      </c>
      <c r="H46" s="118">
        <f>+(J4+J5+J8+J9+J11+J12+J13+J14+J15+J16+J18+J21+J19+J25+J26+J27+J29+J30+J31+J32+J37+J38+J39)/8</f>
        <v>6.6750000000000004E-2</v>
      </c>
      <c r="I46" s="118"/>
    </row>
    <row r="47" spans="1:11">
      <c r="B47" s="94"/>
    </row>
    <row r="48" spans="1:11">
      <c r="B48" s="94"/>
    </row>
    <row r="49" spans="2:9">
      <c r="B49" s="94" t="s">
        <v>448</v>
      </c>
      <c r="C49" s="100" t="s">
        <v>478</v>
      </c>
      <c r="D49" s="100" t="s">
        <v>479</v>
      </c>
      <c r="E49" s="100" t="s">
        <v>480</v>
      </c>
      <c r="F49" s="100" t="s">
        <v>576</v>
      </c>
      <c r="G49" s="135" t="s">
        <v>653</v>
      </c>
      <c r="H49" s="135" t="s">
        <v>786</v>
      </c>
      <c r="I49" s="135" t="s">
        <v>787</v>
      </c>
    </row>
    <row r="50" spans="2:9">
      <c r="B50" s="94" t="s">
        <v>445</v>
      </c>
      <c r="C50" s="118">
        <f>+(E6+E7+E10+E17+E20+E22+E23+E24+E28+E33+E34+E35+E36)/13</f>
        <v>6.8692307692307678E-2</v>
      </c>
      <c r="D50" s="118">
        <f t="shared" ref="D50:F50" si="1">+(F6+F7+F10+F17+F20+F22+F23+F24+F28+F33+F34+F35+F36)/13</f>
        <v>6.476923076923076E-2</v>
      </c>
      <c r="E50" s="118">
        <f>+(G6+G7+G10+G17+G20+G22+G23+G24+G28+G33+G34+G35+G36)/12</f>
        <v>6.1249999999999992E-2</v>
      </c>
      <c r="F50" s="118">
        <f>+(H6+H7+H10+H17+H20+H22+H23+H24+H28+H33+H34+H35+H36)/12</f>
        <v>4.3666666666666666E-2</v>
      </c>
      <c r="G50" s="118">
        <f>+(I6+I7+I10+I17+I20+I22+I23+I24+I28+I33+I34+I35+I36)/8</f>
        <v>6.5250000000000002E-2</v>
      </c>
      <c r="H50" s="118">
        <f>+(J6+J7+J10+J17+J20+J22+J23+J24+J28+J33+J34+J35+J36)/3</f>
        <v>6.8666666666666668E-2</v>
      </c>
      <c r="I50" s="118">
        <f t="shared" ref="H50:I50" si="2">+(K6+K7+K10+K17+K20+K22+K23+K24+K28+K33+K34+K35+K36)/1</f>
        <v>6.8000000000000005E-2</v>
      </c>
    </row>
    <row r="51" spans="2:9">
      <c r="B51" s="94"/>
    </row>
    <row r="52" spans="2:9">
      <c r="B52" s="94"/>
    </row>
    <row r="53" spans="2:9">
      <c r="B53" s="94" t="s">
        <v>491</v>
      </c>
      <c r="C53" s="129" t="s">
        <v>478</v>
      </c>
      <c r="D53" s="129" t="s">
        <v>479</v>
      </c>
      <c r="E53" s="129" t="s">
        <v>480</v>
      </c>
      <c r="F53" s="129" t="s">
        <v>576</v>
      </c>
      <c r="G53" s="135" t="s">
        <v>653</v>
      </c>
      <c r="H53" s="135" t="s">
        <v>786</v>
      </c>
      <c r="I53" s="135" t="s">
        <v>787</v>
      </c>
    </row>
    <row r="54" spans="2:9">
      <c r="B54" s="94" t="s">
        <v>426</v>
      </c>
      <c r="C54" s="118">
        <f>+(E8+E13+E18+E25+E30)/5</f>
        <v>6.8200000000000011E-2</v>
      </c>
      <c r="D54" s="118">
        <f t="shared" ref="D54:H54" si="3">+(F8+F13+F18+F25+F30)/5</f>
        <v>6.7400000000000002E-2</v>
      </c>
      <c r="E54" s="118">
        <f t="shared" si="3"/>
        <v>6.6400000000000001E-2</v>
      </c>
      <c r="F54" s="118">
        <f t="shared" si="3"/>
        <v>6.9200000000000012E-2</v>
      </c>
      <c r="G54" s="118">
        <f>+(I8+I13+I18+I25+I30)/4</f>
        <v>6.8250000000000005E-2</v>
      </c>
      <c r="H54" s="118">
        <f>+(J8+J13+J18+J25+J30)/1</f>
        <v>6.5000000000000002E-2</v>
      </c>
    </row>
    <row r="55" spans="2:9">
      <c r="B55" s="94" t="s">
        <v>427</v>
      </c>
      <c r="C55" s="118">
        <f>+(E4+E9+E11+E12+E14+E15+E16+E19+E26+E27+E29+E32+E37)/13</f>
        <v>6.4769230769230746E-2</v>
      </c>
      <c r="D55" s="118">
        <f t="shared" ref="D55:H55" si="4">+(F4+F9+F11+F12+F14+F15+F16+F19+F26+F27+F29+F32+F37)/13</f>
        <v>6.6153846153846146E-2</v>
      </c>
      <c r="E55" s="118">
        <f>+(G4+G9+G11+G12+G14+G15+G16+G19+G26+G27+G29+G32+G37)/12</f>
        <v>4.8000000000000008E-2</v>
      </c>
      <c r="F55" s="118">
        <f>+(H4+H9+H11+H12+H14+H15+H16+H19+H26+H27+H29+H32+H37)/12</f>
        <v>6.7916666666666667E-2</v>
      </c>
      <c r="G55" s="118">
        <f>+(I4+I9+I11+I12+I14+I15+I16+I19+I26+I27+I29+I32+I37)/10</f>
        <v>6.6599999999999993E-2</v>
      </c>
      <c r="H55" s="118">
        <f>+(J4+J9+J11+J12+J14+J15+J16+J19+J26+J27+J29+J32+J37)/7</f>
        <v>6.7000000000000004E-2</v>
      </c>
    </row>
    <row r="56" spans="2:9">
      <c r="B56" s="94" t="s">
        <v>428</v>
      </c>
      <c r="C56" s="118">
        <f>+(E5+E21+E31+E38+E39)/5</f>
        <v>7.7600000000000002E-2</v>
      </c>
      <c r="D56" s="118">
        <f>+(F5+F21+F31+F38+F39)/3</f>
        <v>4.6666666666666669E-2</v>
      </c>
      <c r="E56" s="118">
        <f t="shared" ref="E56:F56" si="5">+(G5+G21+G31+G38+G39)/3</f>
        <v>7.3666666666666672E-2</v>
      </c>
      <c r="F56" s="118">
        <f t="shared" si="5"/>
        <v>7.2666666666666671E-2</v>
      </c>
      <c r="G56" s="118">
        <f>+(I5+I21+I31+I38+I39)/1</f>
        <v>6.0999999999999999E-2</v>
      </c>
    </row>
    <row r="57" spans="2:9">
      <c r="B57" s="94"/>
    </row>
    <row r="58" spans="2:9">
      <c r="B58" s="94"/>
    </row>
    <row r="59" spans="2:9">
      <c r="B59" s="94" t="s">
        <v>492</v>
      </c>
      <c r="C59" s="129" t="s">
        <v>478</v>
      </c>
      <c r="D59" s="129" t="s">
        <v>479</v>
      </c>
      <c r="E59" s="129" t="s">
        <v>480</v>
      </c>
      <c r="F59" s="129" t="s">
        <v>576</v>
      </c>
      <c r="G59" s="135" t="s">
        <v>653</v>
      </c>
      <c r="H59" s="135" t="s">
        <v>786</v>
      </c>
      <c r="I59" s="135" t="s">
        <v>787</v>
      </c>
    </row>
    <row r="60" spans="2:9">
      <c r="B60" s="94" t="s">
        <v>426</v>
      </c>
      <c r="C60" s="118">
        <f>+(+E24+E23+E36)/3</f>
        <v>4.4000000000000004E-2</v>
      </c>
      <c r="D60" s="118">
        <f t="shared" ref="D60:G60" si="6">+(+F24+F23+F36)/3</f>
        <v>6.9666666666666668E-2</v>
      </c>
      <c r="E60" s="118">
        <f t="shared" si="6"/>
        <v>6.6666666666666666E-2</v>
      </c>
      <c r="F60" s="118">
        <f>+(+H24+H23+H36)/2</f>
        <v>3.6499999999999998E-2</v>
      </c>
      <c r="G60" s="118">
        <f>+(+I24+I23+I36)/2</f>
        <v>7.0000000000000007E-2</v>
      </c>
    </row>
    <row r="61" spans="2:9">
      <c r="B61" s="94" t="s">
        <v>427</v>
      </c>
      <c r="C61" s="118">
        <f>+(E6+E7+E10+E17+E22+E28)/6</f>
        <v>7.7166666666666675E-2</v>
      </c>
      <c r="D61" s="118">
        <f t="shared" ref="D61:I61" si="7">+(F6+F7+F10+F17+F22+F28)/6</f>
        <v>6.9666666666666668E-2</v>
      </c>
      <c r="E61" s="118">
        <f t="shared" si="7"/>
        <v>5.5166666666666669E-2</v>
      </c>
      <c r="F61" s="118">
        <f t="shared" si="7"/>
        <v>4.3166666666666666E-2</v>
      </c>
      <c r="G61" s="118">
        <f>+(I6+I7+I10+I17+I22+I28)/5</f>
        <v>6.3399999999999998E-2</v>
      </c>
      <c r="H61" s="118">
        <f>+(J6+J7+J10+J17+J22+J28)/3</f>
        <v>6.8666666666666668E-2</v>
      </c>
      <c r="I61" s="118">
        <f>+(K6+K7+K10+K17+K22+K28)/1</f>
        <v>6.8000000000000005E-2</v>
      </c>
    </row>
    <row r="62" spans="2:9">
      <c r="B62" s="94" t="s">
        <v>428</v>
      </c>
      <c r="C62" s="118">
        <f>+(E20+E33+E34+E35)/4</f>
        <v>7.4500000000000011E-2</v>
      </c>
      <c r="D62" s="118">
        <f t="shared" ref="D62:G62" si="8">+(F20+F33+F34+F35)/4</f>
        <v>5.3749999999999999E-2</v>
      </c>
      <c r="E62" s="118">
        <f>+(G20+G33+G34+G35)/3</f>
        <v>6.8000000000000005E-2</v>
      </c>
      <c r="F62" s="118">
        <f t="shared" ref="F62:G62" si="9">+(H20+H33+H34+H35)/3</f>
        <v>6.4000000000000001E-2</v>
      </c>
      <c r="G62" s="118">
        <f>+(I20+I33+I34+I35)/1</f>
        <v>6.5000000000000002E-2</v>
      </c>
    </row>
  </sheetData>
  <autoFilter ref="A3:G39"/>
  <mergeCells count="1">
    <mergeCell ref="E2:G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99"/>
  <sheetViews>
    <sheetView topLeftCell="A3" zoomScale="59" zoomScaleNormal="59" workbookViewId="0">
      <selection activeCell="D7" sqref="D7:D40"/>
    </sheetView>
  </sheetViews>
  <sheetFormatPr baseColWidth="10" defaultColWidth="14.42578125" defaultRowHeight="15" customHeight="1"/>
  <cols>
    <col min="1" max="1" width="41.5703125" style="123" customWidth="1"/>
    <col min="2" max="2" width="7.42578125" style="123" customWidth="1"/>
    <col min="3" max="3" width="96.7109375" style="123" bestFit="1" customWidth="1"/>
    <col min="4" max="5" width="21.140625" style="123" customWidth="1"/>
    <col min="6" max="6" width="44.5703125" style="123" customWidth="1"/>
    <col min="7" max="7" width="54" style="123" customWidth="1"/>
    <col min="8" max="8" width="64.42578125" style="123" customWidth="1"/>
    <col min="9" max="10" width="21.140625" style="123" customWidth="1"/>
    <col min="11" max="11" width="31.85546875" style="123" customWidth="1"/>
    <col min="12" max="12" width="53.7109375" style="123" customWidth="1"/>
    <col min="13" max="13" width="16.140625" style="123" customWidth="1"/>
    <col min="14" max="14" width="8.85546875" style="123" customWidth="1"/>
    <col min="15" max="15" width="8.5703125" style="123" bestFit="1" customWidth="1"/>
    <col min="16" max="17" width="8.7109375" style="123" customWidth="1"/>
    <col min="18" max="18" width="8.28515625" style="123" customWidth="1"/>
    <col min="19" max="19" width="8.42578125" style="123" customWidth="1"/>
    <col min="20" max="26" width="8.28515625" style="123" customWidth="1"/>
    <col min="27" max="32" width="7" style="123" customWidth="1"/>
    <col min="33" max="38" width="7.85546875" style="123" customWidth="1"/>
    <col min="39" max="44" width="8.28515625" style="123" customWidth="1"/>
    <col min="45" max="74" width="8.140625" style="123" customWidth="1"/>
    <col min="75" max="75" width="12" style="123" customWidth="1"/>
    <col min="76" max="79" width="8.140625" style="123" customWidth="1"/>
    <col min="80" max="80" width="3.85546875" style="123" customWidth="1"/>
    <col min="81" max="81" width="42.28515625" style="123" customWidth="1"/>
    <col min="82" max="82" width="43.42578125" style="123" customWidth="1"/>
    <col min="83" max="83" width="44.140625" style="123" customWidth="1"/>
    <col min="84" max="84" width="27.85546875" style="123" customWidth="1"/>
    <col min="85" max="85" width="18" style="123" customWidth="1"/>
    <col min="86" max="86" width="38.7109375" style="123" customWidth="1"/>
    <col min="87" max="87" width="95.140625" style="123" customWidth="1"/>
    <col min="88" max="88" width="17.140625" style="123" customWidth="1"/>
    <col min="89" max="91" width="18.42578125" style="123" customWidth="1"/>
    <col min="92" max="93" width="19.140625" style="123" customWidth="1"/>
    <col min="94" max="95" width="8.85546875" style="123" customWidth="1"/>
    <col min="96" max="16384" width="14.42578125" style="123"/>
  </cols>
  <sheetData>
    <row r="1" spans="1:95">
      <c r="B1" s="1"/>
      <c r="C1" s="2"/>
    </row>
    <row r="2" spans="1:95" ht="45">
      <c r="A2" s="69"/>
      <c r="B2" s="4" t="s">
        <v>0</v>
      </c>
      <c r="C2" s="150" t="s">
        <v>1</v>
      </c>
      <c r="D2" s="153" t="s">
        <v>501</v>
      </c>
      <c r="E2" s="153" t="s">
        <v>2</v>
      </c>
      <c r="F2" s="154" t="s">
        <v>3</v>
      </c>
      <c r="G2" s="140"/>
      <c r="H2" s="5" t="s">
        <v>4</v>
      </c>
      <c r="I2" s="4" t="s">
        <v>5</v>
      </c>
      <c r="J2" s="6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155" t="s">
        <v>11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1"/>
      <c r="CC2" s="68"/>
      <c r="CD2" s="68"/>
      <c r="CE2" s="68"/>
      <c r="CF2" s="68"/>
      <c r="CG2" s="68"/>
      <c r="CH2" s="68"/>
      <c r="CI2" s="68"/>
      <c r="CJ2" s="5"/>
      <c r="CK2" s="154" t="s">
        <v>12</v>
      </c>
      <c r="CL2" s="140"/>
      <c r="CM2" s="141"/>
      <c r="CN2" s="154" t="s">
        <v>13</v>
      </c>
      <c r="CO2" s="140"/>
      <c r="CP2" s="141"/>
      <c r="CQ2" s="69"/>
    </row>
    <row r="3" spans="1:95" ht="46.5" customHeight="1">
      <c r="A3" s="8"/>
      <c r="B3" s="9"/>
      <c r="C3" s="151"/>
      <c r="D3" s="151"/>
      <c r="E3" s="151"/>
      <c r="F3" s="122"/>
      <c r="G3" s="121"/>
      <c r="H3" s="18"/>
      <c r="I3" s="13"/>
      <c r="J3" s="13"/>
      <c r="K3" s="13"/>
      <c r="L3" s="13"/>
      <c r="M3" s="13"/>
      <c r="N3" s="13"/>
      <c r="O3" s="157" t="s">
        <v>14</v>
      </c>
      <c r="P3" s="140"/>
      <c r="Q3" s="140"/>
      <c r="R3" s="140"/>
      <c r="S3" s="140"/>
      <c r="T3" s="141"/>
      <c r="U3" s="136" t="s">
        <v>15</v>
      </c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8"/>
      <c r="AG3" s="15"/>
      <c r="AH3" s="15"/>
      <c r="AI3" s="15"/>
      <c r="AJ3" s="15"/>
      <c r="AK3" s="15"/>
      <c r="AL3" s="136" t="s">
        <v>16</v>
      </c>
      <c r="AM3" s="137"/>
      <c r="AN3" s="137"/>
      <c r="AO3" s="137"/>
      <c r="AP3" s="137"/>
      <c r="AQ3" s="137"/>
      <c r="AR3" s="138"/>
      <c r="AS3" s="139" t="s">
        <v>17</v>
      </c>
      <c r="AT3" s="140"/>
      <c r="AU3" s="140"/>
      <c r="AV3" s="140"/>
      <c r="AW3" s="140"/>
      <c r="AX3" s="141"/>
      <c r="AY3" s="142" t="s">
        <v>18</v>
      </c>
      <c r="AZ3" s="137"/>
      <c r="BA3" s="137"/>
      <c r="BB3" s="137"/>
      <c r="BC3" s="137"/>
      <c r="BD3" s="138"/>
      <c r="BE3" s="143" t="s">
        <v>19</v>
      </c>
      <c r="BF3" s="144"/>
      <c r="BG3" s="144"/>
      <c r="BH3" s="144"/>
      <c r="BI3" s="144"/>
      <c r="BJ3" s="145"/>
      <c r="BK3" s="139" t="s">
        <v>20</v>
      </c>
      <c r="BL3" s="140"/>
      <c r="BM3" s="140"/>
      <c r="BN3" s="140"/>
      <c r="BO3" s="140"/>
      <c r="BP3" s="141"/>
      <c r="BQ3" s="139" t="s">
        <v>21</v>
      </c>
      <c r="BR3" s="140"/>
      <c r="BS3" s="140"/>
      <c r="BT3" s="140"/>
      <c r="BU3" s="140"/>
      <c r="BV3" s="141"/>
      <c r="BW3" s="139" t="s">
        <v>22</v>
      </c>
      <c r="BX3" s="140"/>
      <c r="BY3" s="140"/>
      <c r="BZ3" s="140"/>
      <c r="CA3" s="140"/>
      <c r="CB3" s="141"/>
      <c r="CC3" s="158" t="s">
        <v>23</v>
      </c>
      <c r="CD3" s="137"/>
      <c r="CE3" s="137"/>
      <c r="CF3" s="137"/>
      <c r="CG3" s="137"/>
      <c r="CH3" s="138"/>
      <c r="CI3" s="16" t="s">
        <v>24</v>
      </c>
      <c r="CJ3" s="17" t="s">
        <v>25</v>
      </c>
      <c r="CK3" s="18" t="s">
        <v>26</v>
      </c>
      <c r="CL3" s="18" t="s">
        <v>27</v>
      </c>
      <c r="CM3" s="18" t="s">
        <v>28</v>
      </c>
      <c r="CN3" s="18" t="s">
        <v>29</v>
      </c>
      <c r="CO3" s="19" t="s">
        <v>30</v>
      </c>
      <c r="CP3" s="19" t="s">
        <v>31</v>
      </c>
    </row>
    <row r="4" spans="1:95" ht="46.5" customHeight="1">
      <c r="A4" s="8"/>
      <c r="B4" s="9"/>
      <c r="C4" s="151"/>
      <c r="D4" s="151"/>
      <c r="E4" s="151"/>
      <c r="F4" s="122"/>
      <c r="G4" s="121"/>
      <c r="H4" s="18"/>
      <c r="I4" s="13"/>
      <c r="J4" s="13"/>
      <c r="K4" s="13"/>
      <c r="L4" s="13"/>
      <c r="M4" s="13"/>
      <c r="N4" s="13"/>
      <c r="O4" s="157" t="s">
        <v>14</v>
      </c>
      <c r="P4" s="140"/>
      <c r="Q4" s="140"/>
      <c r="R4" s="140"/>
      <c r="S4" s="140"/>
      <c r="T4" s="141"/>
      <c r="U4" s="136" t="s">
        <v>32</v>
      </c>
      <c r="V4" s="137"/>
      <c r="W4" s="137"/>
      <c r="X4" s="137"/>
      <c r="Y4" s="137"/>
      <c r="Z4" s="138"/>
      <c r="AA4" s="136" t="s">
        <v>33</v>
      </c>
      <c r="AB4" s="137"/>
      <c r="AC4" s="137"/>
      <c r="AD4" s="137"/>
      <c r="AE4" s="137"/>
      <c r="AF4" s="138"/>
      <c r="AG4" s="136" t="s">
        <v>34</v>
      </c>
      <c r="AH4" s="137"/>
      <c r="AI4" s="137"/>
      <c r="AJ4" s="137"/>
      <c r="AK4" s="137"/>
      <c r="AL4" s="138"/>
      <c r="AM4" s="146" t="s">
        <v>35</v>
      </c>
      <c r="AN4" s="147"/>
      <c r="AO4" s="147"/>
      <c r="AP4" s="147"/>
      <c r="AQ4" s="147"/>
      <c r="AR4" s="147"/>
      <c r="AS4" s="139" t="s">
        <v>17</v>
      </c>
      <c r="AT4" s="140"/>
      <c r="AU4" s="140"/>
      <c r="AV4" s="140"/>
      <c r="AW4" s="140"/>
      <c r="AX4" s="141"/>
      <c r="AY4" s="148" t="s">
        <v>18</v>
      </c>
      <c r="AZ4" s="147"/>
      <c r="BA4" s="147"/>
      <c r="BB4" s="147"/>
      <c r="BC4" s="147"/>
      <c r="BD4" s="149"/>
      <c r="BE4" s="139" t="s">
        <v>19</v>
      </c>
      <c r="BF4" s="140"/>
      <c r="BG4" s="140"/>
      <c r="BH4" s="140"/>
      <c r="BI4" s="140"/>
      <c r="BJ4" s="141"/>
      <c r="BK4" s="139" t="s">
        <v>20</v>
      </c>
      <c r="BL4" s="140"/>
      <c r="BM4" s="140"/>
      <c r="BN4" s="140"/>
      <c r="BO4" s="140"/>
      <c r="BP4" s="141"/>
      <c r="BQ4" s="139" t="s">
        <v>21</v>
      </c>
      <c r="BR4" s="140"/>
      <c r="BS4" s="140"/>
      <c r="BT4" s="140"/>
      <c r="BU4" s="140"/>
      <c r="BV4" s="141"/>
      <c r="BW4" s="139" t="s">
        <v>22</v>
      </c>
      <c r="BX4" s="140"/>
      <c r="BY4" s="140"/>
      <c r="BZ4" s="140"/>
      <c r="CA4" s="140"/>
      <c r="CB4" s="141"/>
      <c r="CC4" s="20"/>
      <c r="CD4" s="20"/>
      <c r="CE4" s="20"/>
      <c r="CF4" s="20"/>
      <c r="CG4" s="20"/>
      <c r="CH4" s="20"/>
      <c r="CI4" s="20"/>
      <c r="CJ4" s="21"/>
      <c r="CK4" s="18"/>
      <c r="CL4" s="18"/>
      <c r="CM4" s="18"/>
      <c r="CN4" s="18"/>
      <c r="CO4" s="19"/>
      <c r="CP4" s="19"/>
    </row>
    <row r="5" spans="1:95" ht="46.5" customHeight="1">
      <c r="A5" s="8" t="s">
        <v>36</v>
      </c>
      <c r="B5" s="9"/>
      <c r="C5" s="152"/>
      <c r="D5" s="152"/>
      <c r="E5" s="152"/>
      <c r="F5" s="22" t="s">
        <v>37</v>
      </c>
      <c r="G5" s="19" t="s">
        <v>38</v>
      </c>
      <c r="H5" s="18"/>
      <c r="I5" s="13"/>
      <c r="J5" s="13"/>
      <c r="K5" s="13"/>
      <c r="L5" s="13"/>
      <c r="M5" s="13"/>
      <c r="N5" s="13"/>
      <c r="O5" s="156" t="s">
        <v>14</v>
      </c>
      <c r="P5" s="140"/>
      <c r="Q5" s="140"/>
      <c r="R5" s="140"/>
      <c r="S5" s="140"/>
      <c r="T5" s="141"/>
      <c r="U5" s="136" t="s">
        <v>32</v>
      </c>
      <c r="V5" s="137"/>
      <c r="W5" s="137"/>
      <c r="X5" s="137"/>
      <c r="Y5" s="137"/>
      <c r="Z5" s="138"/>
      <c r="AA5" s="136" t="s">
        <v>33</v>
      </c>
      <c r="AB5" s="137"/>
      <c r="AC5" s="137"/>
      <c r="AD5" s="137"/>
      <c r="AE5" s="137"/>
      <c r="AF5" s="138"/>
      <c r="AG5" s="136" t="s">
        <v>34</v>
      </c>
      <c r="AH5" s="137"/>
      <c r="AI5" s="137"/>
      <c r="AJ5" s="137"/>
      <c r="AK5" s="137"/>
      <c r="AL5" s="138"/>
      <c r="AM5" s="156" t="s">
        <v>35</v>
      </c>
      <c r="AN5" s="140"/>
      <c r="AO5" s="140"/>
      <c r="AP5" s="140"/>
      <c r="AQ5" s="140"/>
      <c r="AR5" s="141"/>
      <c r="AS5" s="139" t="s">
        <v>17</v>
      </c>
      <c r="AT5" s="140"/>
      <c r="AU5" s="140"/>
      <c r="AV5" s="140"/>
      <c r="AW5" s="140"/>
      <c r="AX5" s="141"/>
      <c r="AY5" s="139" t="s">
        <v>18</v>
      </c>
      <c r="AZ5" s="140"/>
      <c r="BA5" s="140"/>
      <c r="BB5" s="140"/>
      <c r="BC5" s="140"/>
      <c r="BD5" s="141"/>
      <c r="BE5" s="142" t="s">
        <v>19</v>
      </c>
      <c r="BF5" s="137"/>
      <c r="BG5" s="137"/>
      <c r="BH5" s="137"/>
      <c r="BI5" s="137"/>
      <c r="BJ5" s="138"/>
      <c r="BK5" s="139" t="s">
        <v>20</v>
      </c>
      <c r="BL5" s="140"/>
      <c r="BM5" s="140"/>
      <c r="BN5" s="140"/>
      <c r="BO5" s="140"/>
      <c r="BP5" s="141"/>
      <c r="BQ5" s="139" t="s">
        <v>21</v>
      </c>
      <c r="BR5" s="140"/>
      <c r="BS5" s="140"/>
      <c r="BT5" s="140"/>
      <c r="BU5" s="140"/>
      <c r="BV5" s="141"/>
      <c r="BW5" s="139" t="s">
        <v>22</v>
      </c>
      <c r="BX5" s="140"/>
      <c r="BY5" s="140"/>
      <c r="BZ5" s="140"/>
      <c r="CA5" s="140"/>
      <c r="CB5" s="141"/>
      <c r="CC5" s="17">
        <v>1</v>
      </c>
      <c r="CD5" s="17">
        <v>2</v>
      </c>
      <c r="CE5" s="17">
        <v>3</v>
      </c>
      <c r="CF5" s="17">
        <v>4</v>
      </c>
      <c r="CG5" s="17">
        <v>5</v>
      </c>
      <c r="CH5" s="17">
        <v>6</v>
      </c>
      <c r="CI5" s="21"/>
      <c r="CJ5" s="21"/>
      <c r="CK5" s="8"/>
      <c r="CL5" s="8"/>
      <c r="CM5" s="8"/>
      <c r="CN5" s="8"/>
      <c r="CO5" s="8"/>
      <c r="CP5" s="8"/>
    </row>
    <row r="6" spans="1:95">
      <c r="A6" s="24"/>
      <c r="B6" s="25"/>
      <c r="C6" s="13"/>
      <c r="D6" s="21"/>
      <c r="E6" s="21"/>
      <c r="F6" s="26"/>
      <c r="G6" s="13"/>
      <c r="H6" s="21"/>
      <c r="I6" s="21"/>
      <c r="J6" s="21"/>
      <c r="K6" s="21"/>
      <c r="L6" s="17"/>
      <c r="M6" s="21"/>
      <c r="N6" s="27"/>
      <c r="O6" s="17">
        <v>1</v>
      </c>
      <c r="P6" s="17">
        <v>2</v>
      </c>
      <c r="Q6" s="17">
        <v>3</v>
      </c>
      <c r="R6" s="17">
        <v>4</v>
      </c>
      <c r="S6" s="17">
        <v>5</v>
      </c>
      <c r="T6" s="17">
        <v>6</v>
      </c>
      <c r="U6" s="17">
        <v>1</v>
      </c>
      <c r="V6" s="17">
        <v>2</v>
      </c>
      <c r="W6" s="17">
        <v>3</v>
      </c>
      <c r="X6" s="17">
        <v>4</v>
      </c>
      <c r="Y6" s="17">
        <v>5</v>
      </c>
      <c r="Z6" s="17">
        <v>6</v>
      </c>
      <c r="AA6" s="17">
        <v>1</v>
      </c>
      <c r="AB6" s="17">
        <v>2</v>
      </c>
      <c r="AC6" s="17">
        <v>3</v>
      </c>
      <c r="AD6" s="17">
        <v>4</v>
      </c>
      <c r="AE6" s="17">
        <v>5</v>
      </c>
      <c r="AF6" s="17">
        <v>6</v>
      </c>
      <c r="AG6" s="17">
        <v>1</v>
      </c>
      <c r="AH6" s="17">
        <v>2</v>
      </c>
      <c r="AI6" s="17">
        <v>3</v>
      </c>
      <c r="AJ6" s="17">
        <v>4</v>
      </c>
      <c r="AK6" s="17">
        <v>5</v>
      </c>
      <c r="AL6" s="28">
        <v>6</v>
      </c>
      <c r="AM6" s="28">
        <v>1</v>
      </c>
      <c r="AN6" s="28">
        <v>2</v>
      </c>
      <c r="AO6" s="28">
        <v>3</v>
      </c>
      <c r="AP6" s="28">
        <v>4</v>
      </c>
      <c r="AQ6" s="28">
        <v>5</v>
      </c>
      <c r="AR6" s="28">
        <v>6</v>
      </c>
      <c r="AS6" s="29">
        <v>1</v>
      </c>
      <c r="AT6" s="24">
        <v>2</v>
      </c>
      <c r="AU6" s="24">
        <v>3</v>
      </c>
      <c r="AV6" s="24">
        <v>4</v>
      </c>
      <c r="AW6" s="24">
        <v>5</v>
      </c>
      <c r="AX6" s="24">
        <v>6</v>
      </c>
      <c r="AY6" s="24">
        <v>1</v>
      </c>
      <c r="AZ6" s="24">
        <v>2</v>
      </c>
      <c r="BA6" s="24">
        <v>3</v>
      </c>
      <c r="BB6" s="24">
        <v>4</v>
      </c>
      <c r="BC6" s="24">
        <v>5</v>
      </c>
      <c r="BD6" s="24">
        <v>6</v>
      </c>
      <c r="BE6" s="29">
        <v>1</v>
      </c>
      <c r="BF6" s="24">
        <v>2</v>
      </c>
      <c r="BG6" s="24">
        <v>3</v>
      </c>
      <c r="BH6" s="24">
        <v>4</v>
      </c>
      <c r="BI6" s="24">
        <v>5</v>
      </c>
      <c r="BJ6" s="24">
        <v>6</v>
      </c>
      <c r="BK6" s="29">
        <v>1</v>
      </c>
      <c r="BL6" s="24">
        <v>2</v>
      </c>
      <c r="BM6" s="24">
        <v>3</v>
      </c>
      <c r="BN6" s="24">
        <v>4</v>
      </c>
      <c r="BO6" s="24">
        <v>5</v>
      </c>
      <c r="BP6" s="24">
        <v>6</v>
      </c>
      <c r="BQ6" s="29">
        <v>1</v>
      </c>
      <c r="BR6" s="24">
        <v>2</v>
      </c>
      <c r="BS6" s="24">
        <v>3</v>
      </c>
      <c r="BT6" s="24">
        <v>4</v>
      </c>
      <c r="BU6" s="24">
        <v>5</v>
      </c>
      <c r="BV6" s="24">
        <v>6</v>
      </c>
      <c r="BW6" s="29">
        <v>1</v>
      </c>
      <c r="BX6" s="24">
        <v>2</v>
      </c>
      <c r="BY6" s="24">
        <v>3</v>
      </c>
      <c r="BZ6" s="24">
        <v>4</v>
      </c>
      <c r="CA6" s="24">
        <v>5</v>
      </c>
      <c r="CB6" s="24">
        <v>6</v>
      </c>
      <c r="CC6" s="17"/>
      <c r="CD6" s="17"/>
      <c r="CE6" s="17"/>
      <c r="CF6" s="17"/>
      <c r="CG6" s="17"/>
      <c r="CH6" s="17"/>
      <c r="CI6" s="21"/>
      <c r="CJ6" s="21"/>
      <c r="CK6" s="13"/>
      <c r="CL6" s="13"/>
      <c r="CM6" s="13"/>
      <c r="CN6" s="13"/>
      <c r="CO6" s="13"/>
      <c r="CP6" s="13"/>
    </row>
    <row r="7" spans="1:95">
      <c r="A7" s="24" t="s">
        <v>39</v>
      </c>
      <c r="B7" s="30">
        <v>1</v>
      </c>
      <c r="C7" s="31" t="s">
        <v>577</v>
      </c>
      <c r="D7" s="28" t="s">
        <v>578</v>
      </c>
      <c r="E7" s="28" t="s">
        <v>41</v>
      </c>
      <c r="F7" s="13" t="s">
        <v>42</v>
      </c>
      <c r="G7" s="13"/>
      <c r="H7" s="13" t="s">
        <v>43</v>
      </c>
      <c r="I7" s="13" t="s">
        <v>44</v>
      </c>
      <c r="J7" s="13" t="s">
        <v>45</v>
      </c>
      <c r="K7" s="13" t="s">
        <v>46</v>
      </c>
      <c r="L7" s="28" t="s">
        <v>47</v>
      </c>
      <c r="M7" s="13">
        <v>3</v>
      </c>
      <c r="N7" s="32">
        <v>0.121</v>
      </c>
      <c r="O7" s="33">
        <v>0.48899999999999999</v>
      </c>
      <c r="P7" s="33">
        <v>0.54200000000000004</v>
      </c>
      <c r="Q7" s="33">
        <v>0.70099999999999996</v>
      </c>
      <c r="R7" s="33"/>
      <c r="S7" s="33"/>
      <c r="T7" s="33"/>
      <c r="U7" s="33">
        <v>0.128</v>
      </c>
      <c r="V7" s="33">
        <v>0.108</v>
      </c>
      <c r="W7" s="33">
        <v>3.5000000000000003E-2</v>
      </c>
      <c r="X7" s="33"/>
      <c r="Y7" s="33"/>
      <c r="Z7" s="34"/>
      <c r="AA7" s="35">
        <v>0.35</v>
      </c>
      <c r="AB7" s="35">
        <v>0.33100000000000002</v>
      </c>
      <c r="AC7" s="28">
        <v>24.4</v>
      </c>
      <c r="AD7" s="35"/>
      <c r="AE7" s="35"/>
      <c r="AF7" s="8"/>
      <c r="AG7" s="33">
        <v>0.03</v>
      </c>
      <c r="AH7" s="33">
        <v>1.7999999999999999E-2</v>
      </c>
      <c r="AI7" s="33">
        <v>0.02</v>
      </c>
      <c r="AJ7" s="33"/>
      <c r="AK7" s="33"/>
      <c r="AL7" s="8"/>
      <c r="AM7" s="33">
        <v>3.0000000000000001E-3</v>
      </c>
      <c r="AN7" s="33">
        <v>1E-3</v>
      </c>
      <c r="AO7" s="33">
        <v>0</v>
      </c>
      <c r="AP7" s="33"/>
      <c r="AQ7" s="33"/>
      <c r="AR7" s="8"/>
      <c r="AS7" s="24">
        <v>56.6</v>
      </c>
      <c r="AT7" s="24">
        <v>48.4</v>
      </c>
      <c r="AU7" s="24">
        <v>29.9</v>
      </c>
      <c r="AV7" s="24"/>
      <c r="AW7" s="24"/>
      <c r="AX7" s="24"/>
      <c r="AY7" s="36">
        <v>0.23899999999999999</v>
      </c>
      <c r="AZ7" s="36">
        <v>0.86599999999999999</v>
      </c>
      <c r="BA7" s="24">
        <v>91.1</v>
      </c>
      <c r="BB7" s="8"/>
      <c r="BC7" s="8"/>
      <c r="BD7" s="8"/>
      <c r="BE7" s="33">
        <v>0.38900000000000001</v>
      </c>
      <c r="BF7" s="36">
        <v>0.36799999999999999</v>
      </c>
      <c r="BG7" s="24">
        <v>33.299999999999997</v>
      </c>
      <c r="BH7" s="8"/>
      <c r="BI7" s="8"/>
      <c r="BJ7" s="8"/>
      <c r="BK7" s="33">
        <v>7.4999999999999997E-2</v>
      </c>
      <c r="BL7" s="36">
        <v>7.4999999999999997E-2</v>
      </c>
      <c r="BM7" s="36">
        <v>7.0000000000000007E-2</v>
      </c>
      <c r="BN7" s="8"/>
      <c r="BO7" s="8"/>
      <c r="BP7" s="8"/>
      <c r="BQ7" s="28">
        <v>15</v>
      </c>
      <c r="BR7" s="24">
        <v>14</v>
      </c>
      <c r="BS7" s="24">
        <v>10</v>
      </c>
      <c r="BT7" s="8"/>
      <c r="BU7" s="8"/>
      <c r="BV7" s="8"/>
      <c r="BW7" s="28" t="s">
        <v>48</v>
      </c>
      <c r="BX7" s="24" t="s">
        <v>49</v>
      </c>
      <c r="BY7" s="24" t="s">
        <v>50</v>
      </c>
      <c r="BZ7" s="24"/>
      <c r="CA7" s="8"/>
      <c r="CB7" s="8"/>
      <c r="CC7" s="28" t="s">
        <v>51</v>
      </c>
      <c r="CD7" s="28" t="s">
        <v>52</v>
      </c>
      <c r="CE7" s="28" t="s">
        <v>52</v>
      </c>
      <c r="CF7" s="28" t="s">
        <v>579</v>
      </c>
      <c r="CG7" s="28"/>
      <c r="CH7" s="28"/>
      <c r="CI7" s="13"/>
      <c r="CJ7" s="13"/>
      <c r="CK7" s="13"/>
      <c r="CL7" s="13"/>
      <c r="CM7" s="13"/>
      <c r="CN7" s="13"/>
      <c r="CO7" s="13"/>
      <c r="CP7" s="13"/>
    </row>
    <row r="8" spans="1:95" ht="32.25" customHeight="1">
      <c r="A8" s="24" t="s">
        <v>53</v>
      </c>
      <c r="B8" s="30">
        <v>2</v>
      </c>
      <c r="C8" s="37" t="s">
        <v>54</v>
      </c>
      <c r="D8" s="60"/>
      <c r="E8" s="60" t="s">
        <v>55</v>
      </c>
      <c r="F8" s="13" t="s">
        <v>56</v>
      </c>
      <c r="G8" s="13"/>
      <c r="H8" s="13" t="s">
        <v>57</v>
      </c>
      <c r="I8" s="13" t="s">
        <v>58</v>
      </c>
      <c r="J8" s="13" t="s">
        <v>45</v>
      </c>
      <c r="K8" s="13" t="s">
        <v>46</v>
      </c>
      <c r="L8" s="13" t="s">
        <v>59</v>
      </c>
      <c r="M8" s="13">
        <v>3</v>
      </c>
      <c r="N8" s="32">
        <v>0.11600000000000001</v>
      </c>
      <c r="O8" s="33">
        <v>0.57399999999999995</v>
      </c>
      <c r="P8" s="33">
        <v>0.47</v>
      </c>
      <c r="Q8" s="33">
        <v>0.49399999999999999</v>
      </c>
      <c r="R8" s="33"/>
      <c r="S8" s="33"/>
      <c r="T8" s="8"/>
      <c r="U8" s="33">
        <v>5.3999999999999999E-2</v>
      </c>
      <c r="V8" s="33">
        <v>0.16500000000000001</v>
      </c>
      <c r="W8" s="33">
        <v>4.1000000000000002E-2</v>
      </c>
      <c r="X8" s="33"/>
      <c r="Y8" s="33"/>
      <c r="Z8" s="39"/>
      <c r="AA8" s="33">
        <v>0.20300000000000001</v>
      </c>
      <c r="AB8" s="33">
        <v>0.184</v>
      </c>
      <c r="AC8" s="33">
        <v>0.20799999999999999</v>
      </c>
      <c r="AD8" s="33"/>
      <c r="AE8" s="33"/>
      <c r="AF8" s="8"/>
      <c r="AG8" s="33">
        <v>0.128</v>
      </c>
      <c r="AH8" s="33">
        <v>8.3000000000000004E-2</v>
      </c>
      <c r="AI8" s="33">
        <v>0.13900000000000001</v>
      </c>
      <c r="AJ8" s="33"/>
      <c r="AK8" s="33"/>
      <c r="AL8" s="8"/>
      <c r="AM8" s="33">
        <v>4.1000000000000002E-2</v>
      </c>
      <c r="AN8" s="33">
        <v>9.8000000000000004E-2</v>
      </c>
      <c r="AO8" s="33">
        <v>0.11799999999999999</v>
      </c>
      <c r="AP8" s="33"/>
      <c r="AQ8" s="33"/>
      <c r="AR8" s="8"/>
      <c r="AS8" s="24">
        <v>67.900000000000006</v>
      </c>
      <c r="AT8" s="24">
        <v>90.4</v>
      </c>
      <c r="AU8" s="24">
        <v>92</v>
      </c>
      <c r="AV8" s="24"/>
      <c r="AW8" s="24"/>
      <c r="AX8" s="24"/>
      <c r="AY8" s="36">
        <v>0.61399999999999999</v>
      </c>
      <c r="AZ8" s="36">
        <v>0.19800000000000001</v>
      </c>
      <c r="BA8" s="36">
        <v>0.69599999999999995</v>
      </c>
      <c r="BB8" s="8"/>
      <c r="BC8" s="8"/>
      <c r="BD8" s="8"/>
      <c r="BE8" s="33">
        <v>0.48499999999999999</v>
      </c>
      <c r="BF8" s="36">
        <v>0.57099999999999995</v>
      </c>
      <c r="BG8" s="40">
        <v>0.54</v>
      </c>
      <c r="BH8" s="8"/>
      <c r="BI8" s="8"/>
      <c r="BJ8" s="8"/>
      <c r="BK8" s="33">
        <v>6.5000000000000002E-2</v>
      </c>
      <c r="BL8" s="40">
        <v>7.0000000000000007E-2</v>
      </c>
      <c r="BM8" s="36">
        <v>6.3E-2</v>
      </c>
      <c r="BN8" s="8"/>
      <c r="BO8" s="8"/>
      <c r="BP8" s="8"/>
      <c r="BQ8" s="28">
        <v>32</v>
      </c>
      <c r="BR8" s="24">
        <v>23</v>
      </c>
      <c r="BS8" s="24">
        <v>27</v>
      </c>
      <c r="BT8" s="8"/>
      <c r="BU8" s="8"/>
      <c r="BV8" s="8"/>
      <c r="BW8" s="28" t="s">
        <v>60</v>
      </c>
      <c r="BX8" s="24" t="s">
        <v>61</v>
      </c>
      <c r="BY8" s="24" t="s">
        <v>62</v>
      </c>
      <c r="BZ8" s="24"/>
      <c r="CA8" s="8"/>
      <c r="CB8" s="8"/>
      <c r="CC8" s="28" t="s">
        <v>63</v>
      </c>
      <c r="CD8" s="28" t="s">
        <v>64</v>
      </c>
      <c r="CE8" s="28" t="s">
        <v>65</v>
      </c>
      <c r="CF8" s="28"/>
      <c r="CG8" s="28"/>
      <c r="CH8" s="28"/>
      <c r="CI8" s="28" t="s">
        <v>66</v>
      </c>
      <c r="CJ8" s="13"/>
      <c r="CK8" s="13"/>
      <c r="CL8" s="13"/>
      <c r="CM8" s="13"/>
      <c r="CN8" s="13"/>
      <c r="CO8" s="13"/>
      <c r="CP8" s="13"/>
    </row>
    <row r="9" spans="1:95" ht="17.25" customHeight="1">
      <c r="A9" s="24" t="s">
        <v>67</v>
      </c>
      <c r="B9" s="30">
        <v>3</v>
      </c>
      <c r="C9" s="41" t="s">
        <v>502</v>
      </c>
      <c r="D9" s="60" t="s">
        <v>503</v>
      </c>
      <c r="E9" s="60" t="s">
        <v>69</v>
      </c>
      <c r="F9" s="13"/>
      <c r="G9" s="13" t="s">
        <v>70</v>
      </c>
      <c r="H9" s="13" t="s">
        <v>71</v>
      </c>
      <c r="I9" s="13" t="s">
        <v>72</v>
      </c>
      <c r="J9" s="13" t="s">
        <v>73</v>
      </c>
      <c r="K9" s="13" t="s">
        <v>46</v>
      </c>
      <c r="L9" s="13" t="s">
        <v>74</v>
      </c>
      <c r="M9" s="13">
        <v>3</v>
      </c>
      <c r="N9" s="32">
        <v>6.2600000000000003E-2</v>
      </c>
      <c r="O9" s="33">
        <v>0.45100000000000001</v>
      </c>
      <c r="P9" s="33">
        <v>0.498</v>
      </c>
      <c r="Q9" s="33">
        <v>0.495</v>
      </c>
      <c r="R9" s="33">
        <v>0.60799999999999998</v>
      </c>
      <c r="S9" s="33"/>
      <c r="T9" s="8"/>
      <c r="U9" s="28">
        <v>23.9</v>
      </c>
      <c r="V9" s="33">
        <v>0.20699999999999999</v>
      </c>
      <c r="W9" s="33">
        <v>0.218</v>
      </c>
      <c r="X9" s="33">
        <v>0.13900000000000001</v>
      </c>
      <c r="Y9" s="28"/>
      <c r="Z9" s="39"/>
      <c r="AA9" s="28">
        <v>30.9</v>
      </c>
      <c r="AB9" s="35">
        <v>0.28999999999999998</v>
      </c>
      <c r="AC9" s="33">
        <v>0.28399999999999997</v>
      </c>
      <c r="AD9" s="33">
        <v>0.216</v>
      </c>
      <c r="AE9" s="28"/>
      <c r="AF9" s="8"/>
      <c r="AG9" s="28">
        <v>0</v>
      </c>
      <c r="AH9" s="33">
        <v>5.0000000000000001E-3</v>
      </c>
      <c r="AI9" s="33">
        <v>3.0000000000000001E-3</v>
      </c>
      <c r="AJ9" s="33">
        <v>2.7E-2</v>
      </c>
      <c r="AK9" s="28"/>
      <c r="AL9" s="8"/>
      <c r="AM9" s="33">
        <v>1E-3</v>
      </c>
      <c r="AN9" s="35">
        <v>0</v>
      </c>
      <c r="AO9" s="35">
        <v>0</v>
      </c>
      <c r="AP9" s="35">
        <v>0.01</v>
      </c>
      <c r="AQ9" s="28"/>
      <c r="AR9" s="8"/>
      <c r="AS9" s="28">
        <v>63.2</v>
      </c>
      <c r="AT9" s="28">
        <v>57.5</v>
      </c>
      <c r="AU9" s="28">
        <v>58.3</v>
      </c>
      <c r="AV9" s="28">
        <v>49</v>
      </c>
      <c r="AW9" s="28"/>
      <c r="AX9" s="28"/>
      <c r="AY9" s="33">
        <v>0.95699999999999996</v>
      </c>
      <c r="AZ9" s="36">
        <v>0.96499999999999997</v>
      </c>
      <c r="BA9" s="24" t="s">
        <v>75</v>
      </c>
      <c r="BB9" s="36">
        <v>0.96499999999999997</v>
      </c>
      <c r="BC9" s="8"/>
      <c r="BD9" s="8"/>
      <c r="BE9" s="33">
        <v>0.34699999999999998</v>
      </c>
      <c r="BF9" s="36">
        <v>0.377</v>
      </c>
      <c r="BG9" s="36">
        <v>0.35399999999999998</v>
      </c>
      <c r="BH9" s="36">
        <v>0.48499999999999999</v>
      </c>
      <c r="BI9" s="8"/>
      <c r="BJ9" s="8"/>
      <c r="BK9" s="33">
        <v>8.1000000000000003E-2</v>
      </c>
      <c r="BL9" s="36">
        <v>7.9000000000000001E-2</v>
      </c>
      <c r="BM9" s="36">
        <v>7.9000000000000001E-2</v>
      </c>
      <c r="BN9" s="36">
        <v>7.1999999999999995E-2</v>
      </c>
      <c r="BO9" s="8"/>
      <c r="BP9" s="8"/>
      <c r="BQ9" s="28">
        <v>1</v>
      </c>
      <c r="BR9" s="24">
        <v>1</v>
      </c>
      <c r="BS9" s="24">
        <v>2</v>
      </c>
      <c r="BT9" s="24">
        <v>18</v>
      </c>
      <c r="BU9" s="8"/>
      <c r="BV9" s="8"/>
      <c r="BW9" s="28" t="s">
        <v>76</v>
      </c>
      <c r="BX9" s="28" t="s">
        <v>77</v>
      </c>
      <c r="BY9" s="28" t="s">
        <v>78</v>
      </c>
      <c r="BZ9" s="28" t="s">
        <v>504</v>
      </c>
      <c r="CA9" s="8"/>
      <c r="CB9" s="8"/>
      <c r="CC9" s="28" t="s">
        <v>79</v>
      </c>
      <c r="CD9" s="28" t="s">
        <v>80</v>
      </c>
      <c r="CE9" s="28" t="s">
        <v>81</v>
      </c>
      <c r="CF9" s="28" t="s">
        <v>505</v>
      </c>
      <c r="CG9" s="28"/>
      <c r="CH9" s="24"/>
      <c r="CI9" s="28" t="s">
        <v>82</v>
      </c>
      <c r="CJ9" s="13"/>
      <c r="CK9" s="13"/>
      <c r="CL9" s="13"/>
      <c r="CM9" s="13"/>
      <c r="CN9" s="28" t="s">
        <v>506</v>
      </c>
      <c r="CO9" s="13"/>
      <c r="CP9" s="13"/>
    </row>
    <row r="10" spans="1:95">
      <c r="A10" s="24" t="s">
        <v>83</v>
      </c>
      <c r="B10" s="30">
        <v>4</v>
      </c>
      <c r="C10" s="42" t="s">
        <v>580</v>
      </c>
      <c r="D10" s="28" t="s">
        <v>196</v>
      </c>
      <c r="E10" s="13" t="s">
        <v>85</v>
      </c>
      <c r="F10" s="13" t="s">
        <v>86</v>
      </c>
      <c r="G10" s="13"/>
      <c r="H10" s="13" t="s">
        <v>87</v>
      </c>
      <c r="I10" s="13" t="s">
        <v>88</v>
      </c>
      <c r="J10" s="13" t="s">
        <v>73</v>
      </c>
      <c r="K10" s="13" t="s">
        <v>46</v>
      </c>
      <c r="L10" s="13" t="s">
        <v>89</v>
      </c>
      <c r="M10" s="13">
        <v>3</v>
      </c>
      <c r="N10" s="13">
        <v>14.7</v>
      </c>
      <c r="O10" s="33">
        <v>0.34499999999999997</v>
      </c>
      <c r="P10" s="33">
        <v>0.49299999999999999</v>
      </c>
      <c r="Q10" s="33">
        <v>0.70499999999999996</v>
      </c>
      <c r="R10" s="33">
        <v>0.748</v>
      </c>
      <c r="S10" s="33"/>
      <c r="T10" s="8"/>
      <c r="U10" s="33">
        <v>0.499</v>
      </c>
      <c r="V10" s="33">
        <v>0.22600000000000001</v>
      </c>
      <c r="W10" s="33">
        <v>5.3999999999999999E-2</v>
      </c>
      <c r="X10" s="33">
        <v>6.6000000000000003E-2</v>
      </c>
      <c r="Y10" s="33"/>
      <c r="Z10" s="39"/>
      <c r="AA10" s="33">
        <v>0.152</v>
      </c>
      <c r="AB10" s="33">
        <v>0.17599999999999999</v>
      </c>
      <c r="AC10" s="33">
        <v>0.14399999999999999</v>
      </c>
      <c r="AD10" s="33">
        <v>9.8000000000000004E-2</v>
      </c>
      <c r="AE10" s="33"/>
      <c r="AF10" s="8"/>
      <c r="AG10" s="33">
        <v>4.0000000000000001E-3</v>
      </c>
      <c r="AH10" s="33">
        <v>9.1999999999999998E-2</v>
      </c>
      <c r="AI10" s="33">
        <v>9.5000000000000001E-2</v>
      </c>
      <c r="AJ10" s="33">
        <v>7.0999999999999994E-2</v>
      </c>
      <c r="AK10" s="33"/>
      <c r="AL10" s="8"/>
      <c r="AM10" s="35">
        <v>0</v>
      </c>
      <c r="AN10" s="28">
        <v>1.3</v>
      </c>
      <c r="AO10" s="28">
        <v>0.2</v>
      </c>
      <c r="AP10" s="28">
        <v>1.7</v>
      </c>
      <c r="AQ10" s="35"/>
      <c r="AR10" s="8"/>
      <c r="AS10" s="28">
        <v>93</v>
      </c>
      <c r="AT10" s="28">
        <v>76.2</v>
      </c>
      <c r="AU10" s="28">
        <v>43.6</v>
      </c>
      <c r="AV10" s="28">
        <v>40.5</v>
      </c>
      <c r="AW10" s="28"/>
      <c r="AX10" s="28"/>
      <c r="AY10" s="33">
        <v>0.71899999999999997</v>
      </c>
      <c r="AZ10" s="36">
        <v>0.77400000000000002</v>
      </c>
      <c r="BA10" s="36">
        <v>0.86399999999999999</v>
      </c>
      <c r="BB10" s="36">
        <v>0.84599999999999997</v>
      </c>
      <c r="BC10" s="8"/>
      <c r="BD10" s="8"/>
      <c r="BE10" s="33">
        <v>0.498</v>
      </c>
      <c r="BF10" s="36">
        <v>0.54300000000000004</v>
      </c>
      <c r="BG10" s="36">
        <v>0.48899999999999999</v>
      </c>
      <c r="BH10" s="40">
        <v>0.47</v>
      </c>
      <c r="BI10" s="8"/>
      <c r="BJ10" s="8"/>
      <c r="BK10" s="33">
        <v>9.5000000000000001E-2</v>
      </c>
      <c r="BL10" s="36">
        <v>7.4999999999999997E-2</v>
      </c>
      <c r="BM10" s="36">
        <v>6.5000000000000002E-2</v>
      </c>
      <c r="BN10" s="36">
        <v>6.5000000000000002E-2</v>
      </c>
      <c r="BO10" s="8"/>
      <c r="BP10" s="8"/>
      <c r="BQ10" s="28">
        <v>1</v>
      </c>
      <c r="BR10" s="24">
        <v>26</v>
      </c>
      <c r="BS10" s="24">
        <v>20</v>
      </c>
      <c r="BT10" s="24">
        <v>30</v>
      </c>
      <c r="BU10" s="8"/>
      <c r="BV10" s="8"/>
      <c r="BW10" s="28" t="s">
        <v>90</v>
      </c>
      <c r="BX10" s="28" t="s">
        <v>91</v>
      </c>
      <c r="BY10" s="28" t="s">
        <v>508</v>
      </c>
      <c r="BZ10" s="28" t="s">
        <v>581</v>
      </c>
      <c r="CA10" s="8"/>
      <c r="CB10" s="8"/>
      <c r="CC10" s="28" t="s">
        <v>92</v>
      </c>
      <c r="CD10" s="28" t="s">
        <v>93</v>
      </c>
      <c r="CE10" s="28" t="s">
        <v>509</v>
      </c>
      <c r="CF10" s="28" t="s">
        <v>582</v>
      </c>
      <c r="CG10" s="28"/>
      <c r="CH10" s="8"/>
      <c r="CI10" s="28" t="s">
        <v>94</v>
      </c>
      <c r="CJ10" s="13"/>
      <c r="CK10" s="13"/>
      <c r="CL10" s="13"/>
      <c r="CM10" s="13"/>
      <c r="CN10" s="13"/>
      <c r="CO10" s="13"/>
      <c r="CP10" s="13"/>
    </row>
    <row r="11" spans="1:95">
      <c r="A11" s="43">
        <v>46000</v>
      </c>
      <c r="B11" s="30">
        <v>5</v>
      </c>
      <c r="C11" s="42" t="s">
        <v>510</v>
      </c>
      <c r="D11" s="28" t="s">
        <v>511</v>
      </c>
      <c r="E11" s="13" t="s">
        <v>96</v>
      </c>
      <c r="F11" s="13"/>
      <c r="G11" s="13" t="s">
        <v>97</v>
      </c>
      <c r="H11" s="13" t="s">
        <v>98</v>
      </c>
      <c r="I11" s="13" t="s">
        <v>99</v>
      </c>
      <c r="J11" s="13" t="s">
        <v>45</v>
      </c>
      <c r="K11" s="13" t="s">
        <v>46</v>
      </c>
      <c r="L11" s="13" t="s">
        <v>100</v>
      </c>
      <c r="M11" s="44" t="s">
        <v>101</v>
      </c>
      <c r="N11" s="32">
        <v>7.3400000000000007E-2</v>
      </c>
      <c r="O11" s="33">
        <v>0.53500000000000003</v>
      </c>
      <c r="P11" s="33">
        <v>0.69499999999999995</v>
      </c>
      <c r="Q11" s="33">
        <v>0.54900000000000004</v>
      </c>
      <c r="R11" s="13"/>
      <c r="S11" s="13"/>
      <c r="T11" s="8"/>
      <c r="U11" s="33">
        <v>0.14099999999999999</v>
      </c>
      <c r="V11" s="33">
        <v>9.9000000000000005E-2</v>
      </c>
      <c r="W11" s="33">
        <v>0.16300000000000001</v>
      </c>
      <c r="X11" s="13"/>
      <c r="Y11" s="13"/>
      <c r="Z11" s="39"/>
      <c r="AA11" s="33">
        <v>0.222</v>
      </c>
      <c r="AB11" s="33">
        <v>0.14399999999999999</v>
      </c>
      <c r="AC11" s="33">
        <v>0.223</v>
      </c>
      <c r="AD11" s="13"/>
      <c r="AE11" s="13"/>
      <c r="AF11" s="8"/>
      <c r="AG11" s="35">
        <v>0.1</v>
      </c>
      <c r="AH11" s="33">
        <v>5.0999999999999997E-2</v>
      </c>
      <c r="AI11" s="33">
        <v>5.1999999999999998E-2</v>
      </c>
      <c r="AJ11" s="13"/>
      <c r="AK11" s="13"/>
      <c r="AL11" s="8"/>
      <c r="AM11" s="33">
        <v>2E-3</v>
      </c>
      <c r="AN11" s="33">
        <v>1.0999999999999999E-2</v>
      </c>
      <c r="AO11" s="33">
        <v>1.2999999999999999E-2</v>
      </c>
      <c r="AP11" s="13"/>
      <c r="AQ11" s="13"/>
      <c r="AR11" s="8"/>
      <c r="AS11" s="28">
        <v>64.900000000000006</v>
      </c>
      <c r="AT11" s="28">
        <v>42.9</v>
      </c>
      <c r="AU11" s="28">
        <v>60.3</v>
      </c>
      <c r="AV11" s="13"/>
      <c r="AW11" s="13"/>
      <c r="AX11" s="13"/>
      <c r="AY11" s="35">
        <v>0.43</v>
      </c>
      <c r="AZ11" s="36">
        <v>0.73299999999999998</v>
      </c>
      <c r="BA11" s="40">
        <v>0.7</v>
      </c>
      <c r="BB11" s="8"/>
      <c r="BC11" s="8"/>
      <c r="BD11" s="8"/>
      <c r="BE11" s="33">
        <v>0.50600000000000001</v>
      </c>
      <c r="BF11" s="36">
        <v>0.436</v>
      </c>
      <c r="BG11" s="36">
        <v>0.47599999999999998</v>
      </c>
      <c r="BH11" s="8"/>
      <c r="BI11" s="8"/>
      <c r="BJ11" s="8"/>
      <c r="BK11" s="33">
        <v>7.0999999999999994E-2</v>
      </c>
      <c r="BL11" s="36">
        <v>6.9000000000000006E-2</v>
      </c>
      <c r="BM11" s="36">
        <v>7.2999999999999995E-2</v>
      </c>
      <c r="BN11" s="8"/>
      <c r="BO11" s="8"/>
      <c r="BP11" s="8"/>
      <c r="BQ11" s="28">
        <v>22</v>
      </c>
      <c r="BR11" s="24">
        <v>20</v>
      </c>
      <c r="BS11" s="24">
        <v>16</v>
      </c>
      <c r="BT11" s="8"/>
      <c r="BU11" s="8"/>
      <c r="BV11" s="8"/>
      <c r="BW11" s="28" t="s">
        <v>102</v>
      </c>
      <c r="BX11" s="28" t="s">
        <v>103</v>
      </c>
      <c r="BY11" s="28" t="s">
        <v>512</v>
      </c>
      <c r="BZ11" s="13"/>
      <c r="CA11" s="8"/>
      <c r="CB11" s="8"/>
      <c r="CC11" s="28" t="s">
        <v>104</v>
      </c>
      <c r="CD11" s="28" t="s">
        <v>105</v>
      </c>
      <c r="CE11" s="28" t="s">
        <v>513</v>
      </c>
      <c r="CF11" s="28"/>
      <c r="CG11" s="28"/>
      <c r="CH11" s="8"/>
      <c r="CI11" s="28" t="s">
        <v>514</v>
      </c>
      <c r="CJ11" s="13"/>
      <c r="CK11" s="13"/>
      <c r="CL11" s="13"/>
      <c r="CM11" s="13"/>
      <c r="CN11" s="13"/>
      <c r="CO11" s="13"/>
      <c r="CP11" s="13"/>
    </row>
    <row r="12" spans="1:95">
      <c r="A12" s="43">
        <v>46000</v>
      </c>
      <c r="B12" s="30">
        <v>6</v>
      </c>
      <c r="C12" s="31" t="s">
        <v>515</v>
      </c>
      <c r="D12" s="28" t="s">
        <v>72</v>
      </c>
      <c r="E12" s="13" t="s">
        <v>107</v>
      </c>
      <c r="F12" s="13"/>
      <c r="G12" s="13" t="s">
        <v>108</v>
      </c>
      <c r="H12" s="13" t="s">
        <v>109</v>
      </c>
      <c r="I12" s="13" t="s">
        <v>72</v>
      </c>
      <c r="J12" s="13" t="s">
        <v>45</v>
      </c>
      <c r="K12" s="13" t="s">
        <v>46</v>
      </c>
      <c r="L12" s="13" t="s">
        <v>110</v>
      </c>
      <c r="M12" s="13" t="s">
        <v>101</v>
      </c>
      <c r="N12" s="32">
        <v>0.11600000000000001</v>
      </c>
      <c r="O12" s="33">
        <v>0.27500000000000002</v>
      </c>
      <c r="P12" s="33">
        <v>0.39300000000000002</v>
      </c>
      <c r="Q12" s="33">
        <v>0.51</v>
      </c>
      <c r="R12" s="33"/>
      <c r="S12" s="33"/>
      <c r="T12" s="8"/>
      <c r="U12" s="33">
        <v>0.55900000000000005</v>
      </c>
      <c r="V12" s="33">
        <v>0.29399999999999998</v>
      </c>
      <c r="W12" s="33">
        <v>0.156</v>
      </c>
      <c r="X12" s="33"/>
      <c r="Y12" s="33"/>
      <c r="Z12" s="39"/>
      <c r="AA12" s="33">
        <v>0.16600000000000001</v>
      </c>
      <c r="AB12" s="33">
        <v>0.312</v>
      </c>
      <c r="AC12" s="33">
        <v>0.33200000000000002</v>
      </c>
      <c r="AD12" s="33"/>
      <c r="AE12" s="33"/>
      <c r="AF12" s="8"/>
      <c r="AG12" s="35">
        <v>0</v>
      </c>
      <c r="AH12" s="28">
        <v>0.1</v>
      </c>
      <c r="AI12" s="33">
        <v>2E-3</v>
      </c>
      <c r="AJ12" s="35"/>
      <c r="AK12" s="35"/>
      <c r="AL12" s="8"/>
      <c r="AM12" s="35">
        <v>0</v>
      </c>
      <c r="AN12" s="35">
        <v>0</v>
      </c>
      <c r="AO12" s="35">
        <v>0</v>
      </c>
      <c r="AP12" s="35"/>
      <c r="AQ12" s="35"/>
      <c r="AR12" s="8"/>
      <c r="AS12" s="28">
        <v>102.7</v>
      </c>
      <c r="AT12" s="28">
        <v>72.2</v>
      </c>
      <c r="AU12" s="28">
        <v>52</v>
      </c>
      <c r="AV12" s="28"/>
      <c r="AW12" s="28"/>
      <c r="AX12" s="28"/>
      <c r="AY12" s="33">
        <v>0.58599999999999997</v>
      </c>
      <c r="AZ12" s="36">
        <v>0.41799999999999998</v>
      </c>
      <c r="BA12" s="36">
        <v>0.44500000000000001</v>
      </c>
      <c r="BB12" s="8"/>
      <c r="BC12" s="8"/>
      <c r="BD12" s="8"/>
      <c r="BE12" s="33">
        <v>0.378</v>
      </c>
      <c r="BF12" s="36">
        <v>0.373</v>
      </c>
      <c r="BG12" s="36">
        <v>0.33300000000000002</v>
      </c>
      <c r="BH12" s="8"/>
      <c r="BI12" s="8"/>
      <c r="BJ12" s="8"/>
      <c r="BK12" s="28" t="s">
        <v>111</v>
      </c>
      <c r="BL12" s="36">
        <v>8.4000000000000005E-2</v>
      </c>
      <c r="BM12" s="24" t="s">
        <v>236</v>
      </c>
      <c r="BN12" s="8"/>
      <c r="BO12" s="8"/>
      <c r="BP12" s="8"/>
      <c r="BQ12" s="28">
        <v>0</v>
      </c>
      <c r="BR12" s="24">
        <v>0</v>
      </c>
      <c r="BS12" s="24">
        <v>0</v>
      </c>
      <c r="BT12" s="8"/>
      <c r="BU12" s="8"/>
      <c r="BV12" s="8"/>
      <c r="BW12" s="28" t="s">
        <v>112</v>
      </c>
      <c r="BX12" s="28" t="s">
        <v>112</v>
      </c>
      <c r="BY12" s="28" t="s">
        <v>112</v>
      </c>
      <c r="BZ12" s="28"/>
      <c r="CA12" s="8"/>
      <c r="CB12" s="8"/>
      <c r="CC12" s="28" t="s">
        <v>113</v>
      </c>
      <c r="CD12" s="28" t="s">
        <v>114</v>
      </c>
      <c r="CE12" s="28" t="s">
        <v>516</v>
      </c>
      <c r="CF12" s="28"/>
      <c r="CG12" s="28"/>
      <c r="CH12" s="8"/>
      <c r="CI12" s="28" t="s">
        <v>517</v>
      </c>
      <c r="CJ12" s="13"/>
      <c r="CK12" s="13"/>
      <c r="CL12" s="13"/>
      <c r="CM12" s="13"/>
      <c r="CN12" s="13"/>
      <c r="CO12" s="13"/>
      <c r="CP12" s="13"/>
    </row>
    <row r="13" spans="1:95" ht="17.25" customHeight="1">
      <c r="A13" s="43">
        <v>46000</v>
      </c>
      <c r="B13" s="30">
        <v>7</v>
      </c>
      <c r="C13" s="45" t="s">
        <v>518</v>
      </c>
      <c r="D13" s="60" t="s">
        <v>88</v>
      </c>
      <c r="E13" s="60" t="s">
        <v>117</v>
      </c>
      <c r="F13" s="13"/>
      <c r="G13" s="13" t="s">
        <v>118</v>
      </c>
      <c r="H13" s="13" t="s">
        <v>119</v>
      </c>
      <c r="I13" s="13" t="s">
        <v>88</v>
      </c>
      <c r="J13" s="13" t="s">
        <v>73</v>
      </c>
      <c r="K13" s="13" t="s">
        <v>46</v>
      </c>
      <c r="L13" s="13" t="s">
        <v>120</v>
      </c>
      <c r="M13" s="13">
        <v>6</v>
      </c>
      <c r="N13" s="46">
        <v>0.15</v>
      </c>
      <c r="O13" s="33">
        <v>0.82699999999999996</v>
      </c>
      <c r="P13" s="33">
        <v>0.83899999999999997</v>
      </c>
      <c r="Q13" s="33">
        <v>0.92100000000000004</v>
      </c>
      <c r="R13" s="33"/>
      <c r="S13" s="33"/>
      <c r="T13" s="8"/>
      <c r="U13" s="33">
        <v>2.8000000000000001E-2</v>
      </c>
      <c r="V13" s="33">
        <v>2.3E-2</v>
      </c>
      <c r="W13" s="33">
        <v>0</v>
      </c>
      <c r="X13" s="33"/>
      <c r="Y13" s="33"/>
      <c r="Z13" s="39"/>
      <c r="AA13" s="33">
        <v>0.124</v>
      </c>
      <c r="AB13" s="33">
        <v>0.13600000000000001</v>
      </c>
      <c r="AC13" s="33">
        <v>7.0999999999999994E-2</v>
      </c>
      <c r="AD13" s="33"/>
      <c r="AE13" s="33"/>
      <c r="AF13" s="8"/>
      <c r="AG13" s="33">
        <v>1.6E-2</v>
      </c>
      <c r="AH13" s="33">
        <v>2E-3</v>
      </c>
      <c r="AI13" s="33">
        <v>8.0000000000000002E-3</v>
      </c>
      <c r="AJ13" s="33"/>
      <c r="AK13" s="33"/>
      <c r="AL13" s="8"/>
      <c r="AM13" s="33">
        <v>5.0000000000000001E-3</v>
      </c>
      <c r="AN13" s="33">
        <v>0</v>
      </c>
      <c r="AO13" s="33">
        <v>0</v>
      </c>
      <c r="AP13" s="33"/>
      <c r="AQ13" s="33"/>
      <c r="AR13" s="8"/>
      <c r="AS13" s="28">
        <v>19.7</v>
      </c>
      <c r="AT13" s="28">
        <v>15</v>
      </c>
      <c r="AU13" s="28">
        <v>7.6</v>
      </c>
      <c r="AV13" s="28"/>
      <c r="AW13" s="28"/>
      <c r="AX13" s="28"/>
      <c r="AY13" s="33">
        <v>0.25800000000000001</v>
      </c>
      <c r="AZ13" s="36">
        <v>0.874</v>
      </c>
      <c r="BA13" s="40">
        <v>0.95</v>
      </c>
      <c r="BB13" s="8"/>
      <c r="BC13" s="8"/>
      <c r="BD13" s="8"/>
      <c r="BE13" s="33">
        <v>0.35099999999999998</v>
      </c>
      <c r="BF13" s="36">
        <v>0.30499999999999999</v>
      </c>
      <c r="BG13" s="36">
        <v>0.27300000000000002</v>
      </c>
      <c r="BH13" s="8"/>
      <c r="BI13" s="8"/>
      <c r="BJ13" s="8"/>
      <c r="BK13" s="33">
        <v>6.5000000000000002E-2</v>
      </c>
      <c r="BL13" s="36">
        <v>6.7000000000000004E-2</v>
      </c>
      <c r="BM13" s="36">
        <v>6.2E-2</v>
      </c>
      <c r="BN13" s="8"/>
      <c r="BO13" s="8"/>
      <c r="BP13" s="8"/>
      <c r="BQ13" s="28">
        <v>8</v>
      </c>
      <c r="BR13" s="24">
        <v>1</v>
      </c>
      <c r="BS13" s="24">
        <v>3</v>
      </c>
      <c r="BT13" s="8"/>
      <c r="BU13" s="8"/>
      <c r="BV13" s="8"/>
      <c r="BW13" s="28" t="s">
        <v>121</v>
      </c>
      <c r="BX13" s="28" t="s">
        <v>122</v>
      </c>
      <c r="BY13" s="28" t="s">
        <v>208</v>
      </c>
      <c r="BZ13" s="28"/>
      <c r="CA13" s="8"/>
      <c r="CB13" s="8"/>
      <c r="CC13" s="28" t="s">
        <v>123</v>
      </c>
      <c r="CD13" s="28" t="s">
        <v>123</v>
      </c>
      <c r="CE13" s="28" t="s">
        <v>519</v>
      </c>
      <c r="CF13" s="28"/>
      <c r="CG13" s="28"/>
      <c r="CH13" s="8"/>
      <c r="CI13" s="13"/>
      <c r="CJ13" s="13"/>
      <c r="CK13" s="13"/>
      <c r="CL13" s="13"/>
      <c r="CM13" s="13"/>
      <c r="CN13" s="13"/>
      <c r="CO13" s="13"/>
      <c r="CP13" s="13"/>
    </row>
    <row r="14" spans="1:95">
      <c r="A14" s="43">
        <v>46000</v>
      </c>
      <c r="B14" s="30">
        <v>8</v>
      </c>
      <c r="C14" s="31" t="s">
        <v>520</v>
      </c>
      <c r="D14" s="28" t="s">
        <v>503</v>
      </c>
      <c r="E14" s="13" t="s">
        <v>125</v>
      </c>
      <c r="F14" s="13"/>
      <c r="G14" s="13" t="s">
        <v>126</v>
      </c>
      <c r="H14" s="13" t="s">
        <v>127</v>
      </c>
      <c r="I14" s="13" t="s">
        <v>128</v>
      </c>
      <c r="J14" s="13" t="s">
        <v>45</v>
      </c>
      <c r="K14" s="13" t="s">
        <v>46</v>
      </c>
      <c r="L14" s="13" t="s">
        <v>129</v>
      </c>
      <c r="M14" s="13">
        <v>3</v>
      </c>
      <c r="N14" s="32">
        <v>9.6699999999999994E-2</v>
      </c>
      <c r="O14" s="33">
        <v>0.29799999999999999</v>
      </c>
      <c r="P14" s="33">
        <v>0.16800000000000001</v>
      </c>
      <c r="Q14" s="33">
        <v>0.83199999999999996</v>
      </c>
      <c r="R14" s="33"/>
      <c r="S14" s="33"/>
      <c r="T14" s="8"/>
      <c r="U14" s="33">
        <v>0.442</v>
      </c>
      <c r="V14" s="33">
        <v>0.72399999999999998</v>
      </c>
      <c r="W14" s="33">
        <v>3.1E-2</v>
      </c>
      <c r="X14" s="33"/>
      <c r="Y14" s="33"/>
      <c r="Z14" s="39"/>
      <c r="AA14" s="33">
        <v>0.25600000000000001</v>
      </c>
      <c r="AB14" s="33">
        <v>0.107</v>
      </c>
      <c r="AC14" s="33">
        <v>0.129</v>
      </c>
      <c r="AD14" s="33"/>
      <c r="AE14" s="33"/>
      <c r="AF14" s="8"/>
      <c r="AG14" s="33">
        <v>3.0000000000000001E-3</v>
      </c>
      <c r="AH14" s="33">
        <v>1E-3</v>
      </c>
      <c r="AI14" s="33">
        <v>8.0000000000000002E-3</v>
      </c>
      <c r="AJ14" s="33"/>
      <c r="AK14" s="33"/>
      <c r="AL14" s="8"/>
      <c r="AM14" s="33">
        <v>1E-3</v>
      </c>
      <c r="AN14" s="33">
        <v>0</v>
      </c>
      <c r="AO14" s="28" t="s">
        <v>130</v>
      </c>
      <c r="AP14" s="33"/>
      <c r="AQ14" s="33"/>
      <c r="AR14" s="8"/>
      <c r="AS14" s="28">
        <v>92.2</v>
      </c>
      <c r="AT14" s="28">
        <v>124.6</v>
      </c>
      <c r="AU14" s="28">
        <v>17.2</v>
      </c>
      <c r="AV14" s="28"/>
      <c r="AW14" s="28"/>
      <c r="AX14" s="28"/>
      <c r="AY14" s="33">
        <v>0.34899999999999998</v>
      </c>
      <c r="AZ14" s="36">
        <v>0.35299999999999998</v>
      </c>
      <c r="BA14" s="36">
        <v>0.85599999999999998</v>
      </c>
      <c r="BB14" s="8"/>
      <c r="BC14" s="8"/>
      <c r="BD14" s="8"/>
      <c r="BE14" s="33">
        <v>0.40899999999999997</v>
      </c>
      <c r="BF14" s="36">
        <v>0.34899999999999998</v>
      </c>
      <c r="BG14" s="36">
        <v>0.36399999999999999</v>
      </c>
      <c r="BH14" s="8"/>
      <c r="BI14" s="8"/>
      <c r="BJ14" s="8"/>
      <c r="BK14" s="33">
        <v>9.0999999999999998E-2</v>
      </c>
      <c r="BL14" s="36">
        <v>0.108</v>
      </c>
      <c r="BM14" s="24" t="s">
        <v>131</v>
      </c>
      <c r="BN14" s="8"/>
      <c r="BO14" s="8"/>
      <c r="BP14" s="8"/>
      <c r="BQ14" s="28">
        <v>1</v>
      </c>
      <c r="BR14" s="24">
        <v>1</v>
      </c>
      <c r="BS14" s="24">
        <v>2</v>
      </c>
      <c r="BT14" s="8"/>
      <c r="BU14" s="8"/>
      <c r="BV14" s="8"/>
      <c r="BW14" s="28" t="s">
        <v>132</v>
      </c>
      <c r="BX14" s="28" t="s">
        <v>133</v>
      </c>
      <c r="BY14" s="28" t="s">
        <v>48</v>
      </c>
      <c r="BZ14" s="28"/>
      <c r="CA14" s="8"/>
      <c r="CB14" s="8"/>
      <c r="CC14" s="28" t="s">
        <v>134</v>
      </c>
      <c r="CD14" s="28" t="s">
        <v>135</v>
      </c>
      <c r="CE14" s="28" t="s">
        <v>135</v>
      </c>
      <c r="CF14" s="13"/>
      <c r="CG14" s="13"/>
      <c r="CH14" s="13"/>
      <c r="CI14" s="28" t="s">
        <v>136</v>
      </c>
      <c r="CJ14" s="13"/>
      <c r="CK14" s="13"/>
      <c r="CL14" s="13"/>
      <c r="CM14" s="13"/>
      <c r="CN14" s="13"/>
      <c r="CO14" s="13"/>
      <c r="CP14" s="13"/>
    </row>
    <row r="15" spans="1:95" ht="17.25" customHeight="1">
      <c r="A15" s="47">
        <v>46001</v>
      </c>
      <c r="B15" s="30">
        <v>9</v>
      </c>
      <c r="C15" s="48" t="s">
        <v>521</v>
      </c>
      <c r="D15" s="60" t="s">
        <v>522</v>
      </c>
      <c r="E15" s="60" t="s">
        <v>138</v>
      </c>
      <c r="F15" s="13" t="s">
        <v>139</v>
      </c>
      <c r="G15" s="13"/>
      <c r="H15" s="28" t="s">
        <v>140</v>
      </c>
      <c r="I15" s="13" t="s">
        <v>72</v>
      </c>
      <c r="J15" s="13" t="s">
        <v>45</v>
      </c>
      <c r="K15" s="13" t="s">
        <v>46</v>
      </c>
      <c r="L15" s="13" t="s">
        <v>141</v>
      </c>
      <c r="M15" s="13">
        <v>3</v>
      </c>
      <c r="N15" s="32">
        <v>7.3099999999999998E-2</v>
      </c>
      <c r="O15" s="33">
        <v>0.80600000000000005</v>
      </c>
      <c r="P15" s="33">
        <v>0.82899999999999996</v>
      </c>
      <c r="Q15" s="33">
        <v>0.86799999999999999</v>
      </c>
      <c r="R15" s="33"/>
      <c r="S15" s="33"/>
      <c r="T15" s="8"/>
      <c r="U15" s="33">
        <v>3.2000000000000001E-2</v>
      </c>
      <c r="V15" s="33">
        <v>2E-3</v>
      </c>
      <c r="W15" s="33">
        <v>2E-3</v>
      </c>
      <c r="X15" s="33"/>
      <c r="Y15" s="33"/>
      <c r="Z15" s="8"/>
      <c r="AA15" s="33">
        <v>0.113</v>
      </c>
      <c r="AB15" s="33">
        <v>7.6999999999999999E-2</v>
      </c>
      <c r="AC15" s="33">
        <v>9.7000000000000003E-2</v>
      </c>
      <c r="AD15" s="33"/>
      <c r="AE15" s="33"/>
      <c r="AF15" s="8"/>
      <c r="AG15" s="33">
        <v>4.3999999999999997E-2</v>
      </c>
      <c r="AH15" s="33">
        <v>8.5999999999999993E-2</v>
      </c>
      <c r="AI15" s="33">
        <v>3.1E-2</v>
      </c>
      <c r="AJ15" s="33"/>
      <c r="AK15" s="33"/>
      <c r="AL15" s="8"/>
      <c r="AM15" s="33">
        <v>5.0000000000000001E-3</v>
      </c>
      <c r="AN15" s="33">
        <v>6.0000000000000001E-3</v>
      </c>
      <c r="AO15" s="33">
        <v>2E-3</v>
      </c>
      <c r="AP15" s="33"/>
      <c r="AQ15" s="33"/>
      <c r="AS15" s="28">
        <v>26.2</v>
      </c>
      <c r="AT15" s="28">
        <v>28.9</v>
      </c>
      <c r="AU15" s="28">
        <v>16.100000000000001</v>
      </c>
      <c r="AV15" s="28"/>
      <c r="AW15" s="28"/>
      <c r="AX15" s="28"/>
      <c r="AY15" s="33">
        <v>0.92500000000000004</v>
      </c>
      <c r="AZ15" s="40">
        <v>0.93</v>
      </c>
      <c r="BA15" s="40">
        <v>0.94</v>
      </c>
      <c r="BB15" s="8"/>
      <c r="BC15" s="8"/>
      <c r="BD15" s="8"/>
      <c r="BE15" s="33">
        <v>0.40500000000000003</v>
      </c>
      <c r="BF15" s="36">
        <v>0.34699999999999998</v>
      </c>
      <c r="BG15" s="36">
        <v>0.30599999999999999</v>
      </c>
      <c r="BH15" s="8"/>
      <c r="BI15" s="8"/>
      <c r="BJ15" s="8"/>
      <c r="BK15" s="33">
        <v>6.4000000000000001E-2</v>
      </c>
      <c r="BL15" s="36">
        <v>6.0999999999999999E-2</v>
      </c>
      <c r="BM15" s="36">
        <v>6.3E-2</v>
      </c>
      <c r="BN15" s="8"/>
      <c r="BO15" s="8"/>
      <c r="BP15" s="8"/>
      <c r="BQ15" s="28">
        <v>18</v>
      </c>
      <c r="BR15" s="24">
        <v>42</v>
      </c>
      <c r="BS15" s="24">
        <v>13</v>
      </c>
      <c r="BT15" s="8"/>
      <c r="BU15" s="8"/>
      <c r="BV15" s="8"/>
      <c r="BW15" s="28" t="s">
        <v>142</v>
      </c>
      <c r="BX15" s="28" t="s">
        <v>143</v>
      </c>
      <c r="BY15" s="28" t="s">
        <v>523</v>
      </c>
      <c r="BZ15" s="28"/>
      <c r="CA15" s="8"/>
      <c r="CB15" s="8"/>
      <c r="CC15" s="28" t="s">
        <v>144</v>
      </c>
      <c r="CD15" s="28" t="s">
        <v>145</v>
      </c>
      <c r="CE15" s="28" t="s">
        <v>524</v>
      </c>
      <c r="CF15" s="28"/>
      <c r="CG15" s="28"/>
      <c r="CH15" s="8"/>
      <c r="CI15" s="13"/>
      <c r="CJ15" s="13"/>
      <c r="CK15" s="13"/>
      <c r="CL15" s="13"/>
      <c r="CM15" s="13"/>
      <c r="CN15" s="13"/>
      <c r="CO15" s="13"/>
      <c r="CP15" s="13"/>
    </row>
    <row r="16" spans="1:95">
      <c r="A16" s="49">
        <v>45972</v>
      </c>
      <c r="B16" s="30">
        <v>10</v>
      </c>
      <c r="C16" s="42" t="s">
        <v>525</v>
      </c>
      <c r="D16" s="28" t="s">
        <v>150</v>
      </c>
      <c r="E16" s="13" t="s">
        <v>147</v>
      </c>
      <c r="F16" s="13" t="s">
        <v>148</v>
      </c>
      <c r="G16" s="13"/>
      <c r="H16" s="13" t="s">
        <v>149</v>
      </c>
      <c r="I16" s="13" t="s">
        <v>150</v>
      </c>
      <c r="J16" s="13" t="s">
        <v>45</v>
      </c>
      <c r="K16" s="13" t="s">
        <v>46</v>
      </c>
      <c r="L16" s="13" t="s">
        <v>151</v>
      </c>
      <c r="M16" s="13">
        <v>6</v>
      </c>
      <c r="N16" s="32">
        <v>0.10299999999999999</v>
      </c>
      <c r="O16" s="33">
        <v>0.94799999999999995</v>
      </c>
      <c r="P16" s="35">
        <v>0.93</v>
      </c>
      <c r="Q16" s="33">
        <v>0.95199999999999996</v>
      </c>
      <c r="R16" s="13"/>
      <c r="S16" s="13"/>
      <c r="T16" s="13"/>
      <c r="U16" s="33">
        <v>2E-3</v>
      </c>
      <c r="V16" s="35">
        <v>0.01</v>
      </c>
      <c r="W16" s="35">
        <v>0</v>
      </c>
      <c r="X16" s="13"/>
      <c r="Y16" s="13"/>
      <c r="Z16" s="13"/>
      <c r="AA16" s="33">
        <v>2.5000000000000001E-2</v>
      </c>
      <c r="AB16" s="33">
        <v>5.0999999999999997E-2</v>
      </c>
      <c r="AC16" s="33">
        <v>3.1E-2</v>
      </c>
      <c r="AD16" s="13"/>
      <c r="AE16" s="13"/>
      <c r="AF16" s="13"/>
      <c r="AG16" s="33">
        <v>2.5000000000000001E-2</v>
      </c>
      <c r="AH16" s="28">
        <v>0</v>
      </c>
      <c r="AI16" s="33">
        <v>1.6E-2</v>
      </c>
      <c r="AJ16" s="13"/>
      <c r="AK16" s="13"/>
      <c r="AL16" s="13"/>
      <c r="AM16" s="35">
        <v>0</v>
      </c>
      <c r="AN16" s="33">
        <v>1E-3</v>
      </c>
      <c r="AO16" s="33">
        <v>1E-3</v>
      </c>
      <c r="AP16" s="13"/>
      <c r="AQ16" s="13"/>
      <c r="AR16" s="13"/>
      <c r="AS16" s="28">
        <v>8.3000000000000007</v>
      </c>
      <c r="AT16" s="28">
        <v>7.9</v>
      </c>
      <c r="AU16" s="28">
        <v>6.6</v>
      </c>
      <c r="AV16" s="13"/>
      <c r="AW16" s="13"/>
      <c r="AX16" s="13"/>
      <c r="AY16" s="33">
        <v>0.25900000000000001</v>
      </c>
      <c r="AZ16" s="33">
        <v>0.26300000000000001</v>
      </c>
      <c r="BA16" s="33">
        <v>0.40500000000000003</v>
      </c>
      <c r="BB16" s="13"/>
      <c r="BC16" s="13"/>
      <c r="BD16" s="13"/>
      <c r="BE16" s="33">
        <v>0.24299999999999999</v>
      </c>
      <c r="BF16" s="33">
        <v>0.28699999999999998</v>
      </c>
      <c r="BG16" s="33">
        <v>0.23899999999999999</v>
      </c>
      <c r="BH16" s="13"/>
      <c r="BI16" s="13"/>
      <c r="BJ16" s="13"/>
      <c r="BK16" s="33">
        <v>0.06</v>
      </c>
      <c r="BL16" s="33">
        <v>6.2E-2</v>
      </c>
      <c r="BM16" s="33">
        <v>0.06</v>
      </c>
      <c r="BN16" s="13"/>
      <c r="BO16" s="13"/>
      <c r="BP16" s="13"/>
      <c r="BQ16" s="28">
        <v>14</v>
      </c>
      <c r="BR16" s="28">
        <v>5</v>
      </c>
      <c r="BS16" s="28">
        <v>7</v>
      </c>
      <c r="BT16" s="13"/>
      <c r="BU16" s="13"/>
      <c r="BV16" s="13"/>
      <c r="BW16" s="28" t="s">
        <v>152</v>
      </c>
      <c r="BX16" s="28" t="s">
        <v>153</v>
      </c>
      <c r="BY16" s="28" t="s">
        <v>526</v>
      </c>
      <c r="BZ16" s="13"/>
      <c r="CA16" s="13"/>
      <c r="CB16" s="13"/>
      <c r="CC16" s="28" t="s">
        <v>154</v>
      </c>
      <c r="CD16" s="28" t="s">
        <v>155</v>
      </c>
      <c r="CE16" s="28" t="s">
        <v>527</v>
      </c>
      <c r="CF16" s="28"/>
      <c r="CG16" s="28"/>
      <c r="CH16" s="8"/>
      <c r="CI16" s="13"/>
      <c r="CJ16" s="13"/>
      <c r="CK16" s="13"/>
      <c r="CL16" s="13"/>
      <c r="CM16" s="13"/>
      <c r="CN16" s="13"/>
      <c r="CO16" s="13"/>
      <c r="CP16" s="13"/>
    </row>
    <row r="17" spans="1:94">
      <c r="A17" s="49">
        <v>45972</v>
      </c>
      <c r="B17" s="30">
        <v>11</v>
      </c>
      <c r="C17" s="42" t="s">
        <v>528</v>
      </c>
      <c r="D17" s="28" t="s">
        <v>88</v>
      </c>
      <c r="E17" s="13" t="s">
        <v>157</v>
      </c>
      <c r="F17" s="13" t="s">
        <v>158</v>
      </c>
      <c r="G17" s="13"/>
      <c r="H17" s="13" t="s">
        <v>159</v>
      </c>
      <c r="I17" s="13" t="s">
        <v>128</v>
      </c>
      <c r="J17" s="13" t="s">
        <v>45</v>
      </c>
      <c r="K17" s="13" t="s">
        <v>46</v>
      </c>
      <c r="L17" s="13" t="s">
        <v>160</v>
      </c>
      <c r="M17" s="13">
        <v>2</v>
      </c>
      <c r="N17" s="32">
        <v>5.5E-2</v>
      </c>
      <c r="O17" s="33">
        <v>0.94099999999999995</v>
      </c>
      <c r="P17" s="33">
        <v>0.97199999999999998</v>
      </c>
      <c r="Q17" s="33">
        <v>0.94499999999999995</v>
      </c>
      <c r="R17" s="13"/>
      <c r="S17" s="13"/>
      <c r="T17" s="13"/>
      <c r="U17" s="35">
        <v>0</v>
      </c>
      <c r="V17" s="35">
        <v>0</v>
      </c>
      <c r="W17" s="35">
        <v>0</v>
      </c>
      <c r="X17" s="13"/>
      <c r="Y17" s="13"/>
      <c r="Z17" s="13"/>
      <c r="AA17" s="33">
        <v>1.2E-2</v>
      </c>
      <c r="AB17" s="33">
        <v>1.7999999999999999E-2</v>
      </c>
      <c r="AC17" s="33">
        <v>3.1E-2</v>
      </c>
      <c r="AD17" s="13"/>
      <c r="AE17" s="13"/>
      <c r="AF17" s="13"/>
      <c r="AG17" s="33">
        <v>3.9E-2</v>
      </c>
      <c r="AH17" s="33">
        <v>8.0000000000000002E-3</v>
      </c>
      <c r="AI17" s="33">
        <v>2.3E-2</v>
      </c>
      <c r="AJ17" s="13"/>
      <c r="AK17" s="13"/>
      <c r="AL17" s="13"/>
      <c r="AM17" s="35">
        <v>0</v>
      </c>
      <c r="AN17" s="33">
        <v>2E-3</v>
      </c>
      <c r="AO17" s="33">
        <v>1E-3</v>
      </c>
      <c r="AP17" s="13"/>
      <c r="AQ17" s="13"/>
      <c r="AR17" s="13"/>
      <c r="AS17" s="28">
        <v>12.7</v>
      </c>
      <c r="AT17" s="28">
        <v>4</v>
      </c>
      <c r="AU17" s="28">
        <v>8.3000000000000007</v>
      </c>
      <c r="AV17" s="13"/>
      <c r="AW17" s="13"/>
      <c r="AX17" s="13"/>
      <c r="AY17" s="33">
        <v>0.86499999999999999</v>
      </c>
      <c r="AZ17" s="33">
        <v>0.91800000000000004</v>
      </c>
      <c r="BA17" s="33">
        <v>0.95899999999999996</v>
      </c>
      <c r="BB17" s="13"/>
      <c r="BC17" s="13"/>
      <c r="BD17" s="13"/>
      <c r="BE17" s="33">
        <v>0.23100000000000001</v>
      </c>
      <c r="BF17" s="33">
        <v>0.21199999999999999</v>
      </c>
      <c r="BG17" s="33">
        <v>0.246</v>
      </c>
      <c r="BH17" s="13"/>
      <c r="BI17" s="13"/>
      <c r="BJ17" s="13"/>
      <c r="BK17" s="33">
        <v>5.8999999999999997E-2</v>
      </c>
      <c r="BL17" s="33">
        <v>0.06</v>
      </c>
      <c r="BM17" s="33">
        <v>6.0999999999999999E-2</v>
      </c>
      <c r="BN17" s="13"/>
      <c r="BO17" s="13"/>
      <c r="BP17" s="13"/>
      <c r="BQ17" s="28">
        <v>14</v>
      </c>
      <c r="BR17" s="28">
        <v>6</v>
      </c>
      <c r="BS17" s="28">
        <v>11</v>
      </c>
      <c r="BT17" s="13"/>
      <c r="BU17" s="13"/>
      <c r="BV17" s="13"/>
      <c r="BW17" s="28" t="s">
        <v>161</v>
      </c>
      <c r="BX17" s="28" t="s">
        <v>162</v>
      </c>
      <c r="BY17" s="28" t="s">
        <v>271</v>
      </c>
      <c r="BZ17" s="13"/>
      <c r="CA17" s="13"/>
      <c r="CB17" s="13"/>
      <c r="CC17" s="28" t="s">
        <v>163</v>
      </c>
      <c r="CD17" s="28" t="s">
        <v>164</v>
      </c>
      <c r="CE17" s="28" t="s">
        <v>164</v>
      </c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</row>
    <row r="18" spans="1:94">
      <c r="A18" s="49">
        <v>45972</v>
      </c>
      <c r="B18" s="30">
        <v>12</v>
      </c>
      <c r="C18" s="31" t="s">
        <v>529</v>
      </c>
      <c r="D18" s="28" t="s">
        <v>44</v>
      </c>
      <c r="E18" s="13" t="s">
        <v>166</v>
      </c>
      <c r="F18" s="13"/>
      <c r="G18" s="13" t="s">
        <v>167</v>
      </c>
      <c r="H18" s="13" t="s">
        <v>168</v>
      </c>
      <c r="I18" s="13" t="s">
        <v>128</v>
      </c>
      <c r="J18" s="13" t="s">
        <v>45</v>
      </c>
      <c r="K18" s="13" t="s">
        <v>46</v>
      </c>
      <c r="L18" s="13" t="s">
        <v>169</v>
      </c>
      <c r="M18" s="13">
        <v>4</v>
      </c>
      <c r="N18" s="32">
        <v>0.113</v>
      </c>
      <c r="O18" s="33">
        <v>0.80600000000000005</v>
      </c>
      <c r="P18" s="33">
        <v>0.77300000000000002</v>
      </c>
      <c r="Q18" s="28"/>
      <c r="R18" s="13"/>
      <c r="S18" s="13"/>
      <c r="T18" s="13"/>
      <c r="U18" s="35">
        <v>0.01</v>
      </c>
      <c r="V18" s="33">
        <v>2.7E-2</v>
      </c>
      <c r="W18" s="28" t="s">
        <v>530</v>
      </c>
      <c r="X18" s="13"/>
      <c r="Y18" s="13"/>
      <c r="Z18" s="13"/>
      <c r="AA18" s="33">
        <v>8.2000000000000003E-2</v>
      </c>
      <c r="AB18" s="35">
        <v>0.13</v>
      </c>
      <c r="AC18" s="28" t="s">
        <v>530</v>
      </c>
      <c r="AD18" s="13"/>
      <c r="AE18" s="13"/>
      <c r="AF18" s="13"/>
      <c r="AG18" s="33">
        <v>6.4000000000000001E-2</v>
      </c>
      <c r="AH18" s="33">
        <v>6.9000000000000006E-2</v>
      </c>
      <c r="AI18" s="28" t="s">
        <v>236</v>
      </c>
      <c r="AJ18" s="13"/>
      <c r="AK18" s="13"/>
      <c r="AL18" s="13"/>
      <c r="AM18" s="33">
        <v>3.7999999999999999E-2</v>
      </c>
      <c r="AN18" s="33">
        <v>1E-3</v>
      </c>
      <c r="AO18" s="28" t="s">
        <v>236</v>
      </c>
      <c r="AP18" s="13"/>
      <c r="AQ18" s="13"/>
      <c r="AR18" s="13"/>
      <c r="AS18" s="28">
        <v>34.9</v>
      </c>
      <c r="AT18" s="28">
        <v>31.6</v>
      </c>
      <c r="AU18" s="28" t="s">
        <v>530</v>
      </c>
      <c r="AV18" s="13"/>
      <c r="AW18" s="13"/>
      <c r="AX18" s="13"/>
      <c r="AY18" s="33">
        <v>0.94699999999999995</v>
      </c>
      <c r="AZ18" s="33">
        <v>0.89700000000000002</v>
      </c>
      <c r="BA18" s="28" t="s">
        <v>530</v>
      </c>
      <c r="BB18" s="13"/>
      <c r="BC18" s="13"/>
      <c r="BD18" s="13"/>
      <c r="BE18" s="33">
        <v>0.38600000000000001</v>
      </c>
      <c r="BF18" s="33">
        <v>0.377</v>
      </c>
      <c r="BG18" s="28" t="s">
        <v>530</v>
      </c>
      <c r="BH18" s="13"/>
      <c r="BI18" s="13"/>
      <c r="BJ18" s="13"/>
      <c r="BK18" s="33">
        <v>0.06</v>
      </c>
      <c r="BL18" s="33">
        <v>6.4000000000000001E-2</v>
      </c>
      <c r="BM18" s="28" t="s">
        <v>236</v>
      </c>
      <c r="BN18" s="13"/>
      <c r="BO18" s="13"/>
      <c r="BP18" s="13"/>
      <c r="BQ18" s="28">
        <v>28</v>
      </c>
      <c r="BR18" s="28">
        <v>25</v>
      </c>
      <c r="BS18" s="28" t="s">
        <v>530</v>
      </c>
      <c r="BT18" s="13"/>
      <c r="BU18" s="13"/>
      <c r="BV18" s="13"/>
      <c r="BW18" s="28" t="s">
        <v>170</v>
      </c>
      <c r="BX18" s="28" t="s">
        <v>171</v>
      </c>
      <c r="BY18" s="28" t="s">
        <v>530</v>
      </c>
      <c r="BZ18" s="13"/>
      <c r="CA18" s="13"/>
      <c r="CB18" s="13"/>
      <c r="CC18" s="28" t="s">
        <v>172</v>
      </c>
      <c r="CD18" s="28" t="s">
        <v>173</v>
      </c>
      <c r="CE18" s="28" t="s">
        <v>531</v>
      </c>
      <c r="CF18" s="28"/>
      <c r="CG18" s="28"/>
      <c r="CH18" s="8"/>
      <c r="CI18" s="28" t="s">
        <v>532</v>
      </c>
      <c r="CJ18" s="13"/>
      <c r="CK18" s="13"/>
      <c r="CL18" s="13"/>
      <c r="CM18" s="13"/>
      <c r="CN18" s="13"/>
      <c r="CO18" s="13"/>
      <c r="CP18" s="13"/>
    </row>
    <row r="19" spans="1:94" ht="14.25" customHeight="1">
      <c r="A19" s="49">
        <v>46003</v>
      </c>
      <c r="B19" s="30">
        <v>13</v>
      </c>
      <c r="C19" s="50" t="s">
        <v>583</v>
      </c>
      <c r="D19" s="60" t="s">
        <v>88</v>
      </c>
      <c r="E19" s="60" t="s">
        <v>175</v>
      </c>
      <c r="F19" s="13" t="s">
        <v>176</v>
      </c>
      <c r="G19" s="13"/>
      <c r="H19" s="13" t="s">
        <v>177</v>
      </c>
      <c r="I19" s="13" t="s">
        <v>88</v>
      </c>
      <c r="J19" s="13" t="s">
        <v>45</v>
      </c>
      <c r="K19" s="13" t="s">
        <v>178</v>
      </c>
      <c r="L19" s="13" t="s">
        <v>179</v>
      </c>
      <c r="M19" s="13">
        <v>2</v>
      </c>
      <c r="N19" s="32">
        <v>9.1499999999999998E-2</v>
      </c>
      <c r="O19" s="33">
        <v>0.246</v>
      </c>
      <c r="P19" s="33">
        <v>0.51400000000000001</v>
      </c>
      <c r="Q19" s="33">
        <v>0.90100000000000002</v>
      </c>
      <c r="R19" s="13"/>
      <c r="S19" s="13"/>
      <c r="T19" s="13"/>
      <c r="U19" s="33">
        <v>0.38900000000000001</v>
      </c>
      <c r="V19" s="33">
        <v>0.10199999999999999</v>
      </c>
      <c r="W19" s="33">
        <v>1E-3</v>
      </c>
      <c r="X19" s="13"/>
      <c r="Y19" s="13"/>
      <c r="Z19" s="13"/>
      <c r="AA19" s="33">
        <v>0.36499999999999999</v>
      </c>
      <c r="AB19" s="33">
        <v>0.376</v>
      </c>
      <c r="AC19" s="33">
        <v>9.8000000000000004E-2</v>
      </c>
      <c r="AD19" s="13"/>
      <c r="AE19" s="13"/>
      <c r="AF19" s="13"/>
      <c r="AG19" s="35">
        <v>0</v>
      </c>
      <c r="AH19" s="35">
        <v>0</v>
      </c>
      <c r="AI19" s="35">
        <v>0</v>
      </c>
      <c r="AJ19" s="13"/>
      <c r="AK19" s="13"/>
      <c r="AL19" s="13"/>
      <c r="AM19" s="35">
        <v>0</v>
      </c>
      <c r="AN19" s="33">
        <v>8.0000000000000002E-3</v>
      </c>
      <c r="AO19" s="35">
        <v>0</v>
      </c>
      <c r="AP19" s="13"/>
      <c r="AQ19" s="13"/>
      <c r="AR19" s="13"/>
      <c r="AS19" s="28">
        <v>91.4</v>
      </c>
      <c r="AT19" s="28">
        <v>48.8</v>
      </c>
      <c r="AU19" s="28">
        <v>8</v>
      </c>
      <c r="AV19" s="13"/>
      <c r="AW19" s="13"/>
      <c r="AX19" s="13"/>
      <c r="AY19" s="35">
        <v>0.55000000000000004</v>
      </c>
      <c r="AZ19" s="33">
        <v>0.755</v>
      </c>
      <c r="BA19" s="33">
        <v>0.76600000000000001</v>
      </c>
      <c r="BB19" s="13"/>
      <c r="BC19" s="13"/>
      <c r="BD19" s="13"/>
      <c r="BE19" s="33">
        <v>0.26100000000000001</v>
      </c>
      <c r="BF19" s="35">
        <v>0.28000000000000003</v>
      </c>
      <c r="BG19" s="33">
        <v>0.25800000000000001</v>
      </c>
      <c r="BH19" s="13"/>
      <c r="BI19" s="13"/>
      <c r="BJ19" s="13"/>
      <c r="BK19" s="33">
        <v>8.7999999999999995E-2</v>
      </c>
      <c r="BL19" s="33">
        <v>7.6999999999999999E-2</v>
      </c>
      <c r="BM19" s="33">
        <v>6.5000000000000002E-2</v>
      </c>
      <c r="BN19" s="13"/>
      <c r="BO19" s="13"/>
      <c r="BP19" s="13"/>
      <c r="BQ19" s="28">
        <v>0</v>
      </c>
      <c r="BR19" s="28">
        <v>2</v>
      </c>
      <c r="BS19" s="28">
        <v>0</v>
      </c>
      <c r="BT19" s="13"/>
      <c r="BU19" s="13"/>
      <c r="BV19" s="13"/>
      <c r="BW19" s="28">
        <v>0</v>
      </c>
      <c r="BX19" s="28" t="s">
        <v>180</v>
      </c>
      <c r="BY19" s="28" t="s">
        <v>112</v>
      </c>
      <c r="BZ19" s="13"/>
      <c r="CA19" s="13"/>
      <c r="CB19" s="13"/>
      <c r="CC19" s="28" t="s">
        <v>181</v>
      </c>
      <c r="CD19" s="28" t="s">
        <v>181</v>
      </c>
      <c r="CE19" s="28" t="s">
        <v>181</v>
      </c>
      <c r="CF19" s="28"/>
      <c r="CG19" s="28"/>
      <c r="CH19" s="8"/>
      <c r="CI19" s="28" t="s">
        <v>182</v>
      </c>
      <c r="CJ19" s="13"/>
      <c r="CK19" s="13"/>
      <c r="CL19" s="13"/>
      <c r="CM19" s="13"/>
      <c r="CN19" s="13"/>
      <c r="CO19" s="13"/>
      <c r="CP19" s="13"/>
    </row>
    <row r="20" spans="1:94">
      <c r="A20" s="47">
        <v>46006</v>
      </c>
      <c r="B20" s="30">
        <v>14</v>
      </c>
      <c r="C20" s="31" t="s">
        <v>584</v>
      </c>
      <c r="D20" s="28" t="s">
        <v>44</v>
      </c>
      <c r="E20" s="28" t="s">
        <v>184</v>
      </c>
      <c r="F20" s="13"/>
      <c r="G20" s="28" t="s">
        <v>185</v>
      </c>
      <c r="H20" s="28" t="s">
        <v>186</v>
      </c>
      <c r="I20" s="28" t="s">
        <v>72</v>
      </c>
      <c r="J20" s="13" t="s">
        <v>73</v>
      </c>
      <c r="K20" s="28" t="s">
        <v>46</v>
      </c>
      <c r="L20" s="28" t="s">
        <v>187</v>
      </c>
      <c r="M20" s="51">
        <v>45718</v>
      </c>
      <c r="N20" s="33">
        <v>9.4E-2</v>
      </c>
      <c r="O20" s="33">
        <v>0.77300000000000002</v>
      </c>
      <c r="P20" s="33">
        <v>0.88600000000000001</v>
      </c>
      <c r="Q20" s="33">
        <v>0.90400000000000003</v>
      </c>
      <c r="R20" s="13"/>
      <c r="S20" s="13"/>
      <c r="T20" s="13"/>
      <c r="U20" s="33">
        <v>4.2000000000000003E-2</v>
      </c>
      <c r="V20" s="33">
        <v>1.6E-2</v>
      </c>
      <c r="W20" s="33">
        <v>1.7000000000000001E-2</v>
      </c>
      <c r="X20" s="13"/>
      <c r="Y20" s="13"/>
      <c r="Z20" s="13"/>
      <c r="AA20" s="33">
        <v>0.16400000000000001</v>
      </c>
      <c r="AB20" s="33">
        <v>9.4E-2</v>
      </c>
      <c r="AC20" s="33">
        <v>7.2999999999999995E-2</v>
      </c>
      <c r="AD20" s="13"/>
      <c r="AE20" s="13"/>
      <c r="AF20" s="13"/>
      <c r="AG20" s="35">
        <v>0.02</v>
      </c>
      <c r="AH20" s="33">
        <v>4.0000000000000001E-3</v>
      </c>
      <c r="AI20" s="33">
        <v>6.0000000000000001E-3</v>
      </c>
      <c r="AJ20" s="13"/>
      <c r="AK20" s="13"/>
      <c r="AL20" s="13"/>
      <c r="AM20" s="33">
        <v>1E-3</v>
      </c>
      <c r="AN20" s="28">
        <v>0</v>
      </c>
      <c r="AO20" s="35">
        <v>0</v>
      </c>
      <c r="AP20" s="13"/>
      <c r="AQ20" s="13"/>
      <c r="AR20" s="13"/>
      <c r="AS20" s="28">
        <v>24.9</v>
      </c>
      <c r="AT20" s="28">
        <v>11</v>
      </c>
      <c r="AU20" s="28">
        <v>10</v>
      </c>
      <c r="AV20" s="13"/>
      <c r="AW20" s="13"/>
      <c r="AX20" s="13"/>
      <c r="AY20" s="33">
        <v>0.96399999999999997</v>
      </c>
      <c r="AZ20" s="33">
        <v>0.98199999999999998</v>
      </c>
      <c r="BA20" s="33">
        <v>0.96799999999999997</v>
      </c>
      <c r="BB20" s="13"/>
      <c r="BC20" s="13"/>
      <c r="BD20" s="13"/>
      <c r="BE20" s="33">
        <v>0.33800000000000002</v>
      </c>
      <c r="BF20" s="33">
        <v>0.27600000000000002</v>
      </c>
      <c r="BG20" s="33">
        <v>0.27100000000000002</v>
      </c>
      <c r="BH20" s="13"/>
      <c r="BI20" s="13"/>
      <c r="BJ20" s="13"/>
      <c r="BK20" s="33">
        <v>6.8000000000000005E-2</v>
      </c>
      <c r="BL20" s="33">
        <v>6.5000000000000002E-2</v>
      </c>
      <c r="BM20" s="33">
        <v>6.5000000000000002E-2</v>
      </c>
      <c r="BN20" s="13"/>
      <c r="BO20" s="13"/>
      <c r="BP20" s="13"/>
      <c r="BQ20" s="28">
        <v>8</v>
      </c>
      <c r="BR20" s="28">
        <v>2</v>
      </c>
      <c r="BS20" s="28">
        <v>3</v>
      </c>
      <c r="BT20" s="13"/>
      <c r="BU20" s="13"/>
      <c r="BV20" s="13"/>
      <c r="BW20" s="28" t="s">
        <v>188</v>
      </c>
      <c r="BX20" s="28" t="s">
        <v>189</v>
      </c>
      <c r="BY20" s="28" t="s">
        <v>189</v>
      </c>
      <c r="BZ20" s="13"/>
      <c r="CA20" s="13"/>
      <c r="CB20" s="13"/>
      <c r="CC20" s="28" t="s">
        <v>190</v>
      </c>
      <c r="CD20" s="28" t="s">
        <v>191</v>
      </c>
      <c r="CE20" s="28" t="s">
        <v>190</v>
      </c>
      <c r="CF20" s="28"/>
      <c r="CG20" s="28"/>
      <c r="CH20" s="8"/>
      <c r="CI20" s="28" t="s">
        <v>585</v>
      </c>
      <c r="CJ20" s="13"/>
      <c r="CK20" s="13"/>
      <c r="CL20" s="13"/>
      <c r="CM20" s="13"/>
      <c r="CN20" s="13"/>
      <c r="CO20" s="13"/>
      <c r="CP20" s="13"/>
    </row>
    <row r="21" spans="1:94">
      <c r="A21" s="52">
        <v>46006</v>
      </c>
      <c r="B21" s="30">
        <v>15</v>
      </c>
      <c r="C21" s="31" t="s">
        <v>192</v>
      </c>
      <c r="D21" s="28"/>
      <c r="E21" s="28" t="s">
        <v>193</v>
      </c>
      <c r="F21" s="28" t="s">
        <v>194</v>
      </c>
      <c r="G21" s="13"/>
      <c r="H21" s="28" t="s">
        <v>195</v>
      </c>
      <c r="I21" s="28" t="s">
        <v>196</v>
      </c>
      <c r="J21" s="13" t="s">
        <v>45</v>
      </c>
      <c r="K21" s="28" t="s">
        <v>46</v>
      </c>
      <c r="L21" s="28" t="s">
        <v>197</v>
      </c>
      <c r="M21" s="28">
        <v>2</v>
      </c>
      <c r="N21" s="33">
        <v>8.6999999999999994E-2</v>
      </c>
      <c r="O21" s="33">
        <v>0.70599999999999996</v>
      </c>
      <c r="P21" s="35">
        <v>0.68</v>
      </c>
      <c r="Q21" s="13"/>
      <c r="R21" s="13"/>
      <c r="S21" s="13"/>
      <c r="T21" s="13"/>
      <c r="U21" s="33">
        <v>8.3000000000000004E-2</v>
      </c>
      <c r="V21" s="33">
        <v>8.1000000000000003E-2</v>
      </c>
      <c r="W21" s="13"/>
      <c r="X21" s="13"/>
      <c r="Y21" s="13"/>
      <c r="Z21" s="13"/>
      <c r="AA21" s="33">
        <v>0.152</v>
      </c>
      <c r="AB21" s="33">
        <v>0.20599999999999999</v>
      </c>
      <c r="AC21" s="13"/>
      <c r="AD21" s="13"/>
      <c r="AE21" s="13"/>
      <c r="AF21" s="13"/>
      <c r="AG21" s="33">
        <v>5.8999999999999997E-2</v>
      </c>
      <c r="AH21" s="33">
        <v>3.1E-2</v>
      </c>
      <c r="AI21" s="13"/>
      <c r="AJ21" s="13"/>
      <c r="AK21" s="13"/>
      <c r="AL21" s="13"/>
      <c r="AM21" s="35">
        <v>0</v>
      </c>
      <c r="AN21" s="28">
        <v>0.2</v>
      </c>
      <c r="AO21" s="13"/>
      <c r="AP21" s="13"/>
      <c r="AQ21" s="13"/>
      <c r="AR21" s="13"/>
      <c r="AS21" s="28">
        <v>39.6</v>
      </c>
      <c r="AT21" s="28">
        <v>37.5</v>
      </c>
      <c r="AU21" s="13"/>
      <c r="AV21" s="13"/>
      <c r="AW21" s="13"/>
      <c r="AX21" s="13"/>
      <c r="AY21" s="33">
        <v>0.753</v>
      </c>
      <c r="AZ21" s="33">
        <v>0.80300000000000005</v>
      </c>
      <c r="BA21" s="13"/>
      <c r="BB21" s="13"/>
      <c r="BC21" s="13"/>
      <c r="BD21" s="13"/>
      <c r="BE21" s="33">
        <v>0.441</v>
      </c>
      <c r="BF21" s="33">
        <v>0.376</v>
      </c>
      <c r="BG21" s="13"/>
      <c r="BH21" s="13"/>
      <c r="BI21" s="13"/>
      <c r="BJ21" s="13"/>
      <c r="BK21" s="33">
        <v>6.8000000000000005E-2</v>
      </c>
      <c r="BL21" s="33">
        <v>7.0999999999999994E-2</v>
      </c>
      <c r="BM21" s="13"/>
      <c r="BN21" s="13"/>
      <c r="BO21" s="13"/>
      <c r="BP21" s="13"/>
      <c r="BQ21" s="28">
        <v>24</v>
      </c>
      <c r="BR21" s="28">
        <v>16</v>
      </c>
      <c r="BS21" s="13"/>
      <c r="BT21" s="13"/>
      <c r="BU21" s="13"/>
      <c r="BV21" s="13"/>
      <c r="BW21" s="28" t="s">
        <v>188</v>
      </c>
      <c r="BX21" s="28" t="s">
        <v>48</v>
      </c>
      <c r="BY21" s="13"/>
      <c r="BZ21" s="13"/>
      <c r="CA21" s="13"/>
      <c r="CB21" s="13"/>
      <c r="CC21" s="28" t="s">
        <v>198</v>
      </c>
      <c r="CD21" s="28" t="s">
        <v>199</v>
      </c>
      <c r="CE21" s="28"/>
      <c r="CF21" s="28"/>
      <c r="CG21" s="28"/>
      <c r="CH21" s="8"/>
      <c r="CI21" s="28" t="s">
        <v>200</v>
      </c>
      <c r="CJ21" s="13"/>
      <c r="CK21" s="13"/>
      <c r="CL21" s="13"/>
      <c r="CM21" s="13"/>
      <c r="CN21" s="13"/>
      <c r="CO21" s="13"/>
      <c r="CP21" s="13"/>
    </row>
    <row r="22" spans="1:94">
      <c r="A22" s="47">
        <v>46006</v>
      </c>
      <c r="B22" s="30">
        <v>16</v>
      </c>
      <c r="C22" s="31" t="s">
        <v>586</v>
      </c>
      <c r="D22" s="24" t="s">
        <v>587</v>
      </c>
      <c r="E22" s="24" t="s">
        <v>202</v>
      </c>
      <c r="F22" s="24" t="s">
        <v>203</v>
      </c>
      <c r="G22" s="8"/>
      <c r="H22" s="24" t="s">
        <v>204</v>
      </c>
      <c r="I22" s="24" t="s">
        <v>205</v>
      </c>
      <c r="J22" s="24" t="s">
        <v>45</v>
      </c>
      <c r="K22" s="24" t="s">
        <v>46</v>
      </c>
      <c r="L22" s="24" t="s">
        <v>206</v>
      </c>
      <c r="M22" s="24">
        <v>5</v>
      </c>
      <c r="N22" s="36">
        <v>0.107</v>
      </c>
      <c r="O22" s="33">
        <v>0.75700000000000001</v>
      </c>
      <c r="P22" s="33">
        <v>0.67100000000000004</v>
      </c>
      <c r="Q22" s="33">
        <v>0.71899999999999997</v>
      </c>
      <c r="R22" s="13"/>
      <c r="S22" s="13"/>
      <c r="T22" s="13"/>
      <c r="U22" s="33">
        <v>2.5999999999999999E-2</v>
      </c>
      <c r="V22" s="33">
        <v>5.5E-2</v>
      </c>
      <c r="W22" s="35">
        <v>0.04</v>
      </c>
      <c r="X22" s="13"/>
      <c r="Y22" s="13"/>
      <c r="Z22" s="13"/>
      <c r="AA22" s="33">
        <v>0.14899999999999999</v>
      </c>
      <c r="AB22" s="33">
        <v>0.20899999999999999</v>
      </c>
      <c r="AC22" s="33">
        <v>0.14599999999999999</v>
      </c>
      <c r="AD22" s="13"/>
      <c r="AE22" s="13"/>
      <c r="AF22" s="13"/>
      <c r="AG22" s="33">
        <v>6.3E-2</v>
      </c>
      <c r="AH22" s="33">
        <v>5.3999999999999999E-2</v>
      </c>
      <c r="AI22" s="35">
        <v>0.08</v>
      </c>
      <c r="AJ22" s="13"/>
      <c r="AK22" s="13"/>
      <c r="AL22" s="13"/>
      <c r="AM22" s="33">
        <v>5.0000000000000001E-3</v>
      </c>
      <c r="AN22" s="33">
        <v>1.0999999999999999E-2</v>
      </c>
      <c r="AO22" s="33">
        <v>1.4999999999999999E-2</v>
      </c>
      <c r="AP22" s="13"/>
      <c r="AQ22" s="13"/>
      <c r="AR22" s="13"/>
      <c r="AS22" s="28">
        <v>32.700000000000003</v>
      </c>
      <c r="AT22" s="28">
        <v>41.8</v>
      </c>
      <c r="AU22" s="28">
        <v>41.8</v>
      </c>
      <c r="AV22" s="13"/>
      <c r="AW22" s="13"/>
      <c r="AX22" s="13"/>
      <c r="AY22" s="33">
        <v>0.72599999999999998</v>
      </c>
      <c r="AZ22" s="33">
        <v>0.88400000000000001</v>
      </c>
      <c r="BA22" s="33">
        <v>0.83699999999999997</v>
      </c>
      <c r="BB22" s="13"/>
      <c r="BC22" s="13"/>
      <c r="BD22" s="13"/>
      <c r="BE22" s="33">
        <v>0.38900000000000001</v>
      </c>
      <c r="BF22" s="35">
        <v>0.4</v>
      </c>
      <c r="BG22" s="33">
        <v>0.432</v>
      </c>
      <c r="BH22" s="13"/>
      <c r="BI22" s="13"/>
      <c r="BJ22" s="13"/>
      <c r="BK22" s="33">
        <v>6.4000000000000001E-2</v>
      </c>
      <c r="BL22" s="33">
        <v>6.8000000000000005E-2</v>
      </c>
      <c r="BM22" s="33">
        <v>6.5000000000000002E-2</v>
      </c>
      <c r="BN22" s="13"/>
      <c r="BO22" s="13"/>
      <c r="BP22" s="13"/>
      <c r="BQ22" s="28">
        <v>37</v>
      </c>
      <c r="BR22" s="28">
        <v>25</v>
      </c>
      <c r="BS22" s="28">
        <v>34</v>
      </c>
      <c r="BT22" s="13"/>
      <c r="BU22" s="13"/>
      <c r="BV22" s="13"/>
      <c r="BW22" s="28" t="s">
        <v>207</v>
      </c>
      <c r="BX22" s="28" t="s">
        <v>208</v>
      </c>
      <c r="BY22" s="28" t="s">
        <v>316</v>
      </c>
      <c r="BZ22" s="13"/>
      <c r="CA22" s="13"/>
      <c r="CB22" s="13"/>
      <c r="CC22" s="28" t="s">
        <v>209</v>
      </c>
      <c r="CD22" s="28" t="s">
        <v>210</v>
      </c>
      <c r="CE22" s="28" t="s">
        <v>588</v>
      </c>
      <c r="CF22" s="28"/>
      <c r="CG22" s="28"/>
      <c r="CH22" s="8"/>
      <c r="CI22" s="13"/>
      <c r="CJ22" s="13"/>
      <c r="CK22" s="13"/>
      <c r="CL22" s="13"/>
      <c r="CM22" s="13"/>
      <c r="CN22" s="13"/>
      <c r="CO22" s="13"/>
      <c r="CP22" s="13"/>
    </row>
    <row r="23" spans="1:94" ht="15.75" customHeight="1">
      <c r="A23" s="47">
        <v>46008</v>
      </c>
      <c r="B23" s="30">
        <v>17</v>
      </c>
      <c r="C23" s="41" t="s">
        <v>589</v>
      </c>
      <c r="D23" s="24" t="s">
        <v>205</v>
      </c>
      <c r="E23" s="24" t="s">
        <v>232</v>
      </c>
      <c r="F23" s="8"/>
      <c r="G23" s="24" t="s">
        <v>233</v>
      </c>
      <c r="H23" s="24" t="s">
        <v>234</v>
      </c>
      <c r="I23" s="24" t="s">
        <v>58</v>
      </c>
      <c r="J23" s="24" t="s">
        <v>225</v>
      </c>
      <c r="K23" s="24" t="s">
        <v>46</v>
      </c>
      <c r="L23" s="24" t="s">
        <v>235</v>
      </c>
      <c r="M23" s="24">
        <v>3</v>
      </c>
      <c r="N23" s="36">
        <v>0.13100000000000001</v>
      </c>
      <c r="O23" s="36">
        <v>0.67200000000000004</v>
      </c>
      <c r="P23" s="36">
        <v>0.71599999999999997</v>
      </c>
      <c r="Q23" s="36">
        <v>0.747</v>
      </c>
      <c r="R23" s="8"/>
      <c r="S23" s="8"/>
      <c r="T23" s="8"/>
      <c r="U23" s="36">
        <v>5.3999999999999999E-2</v>
      </c>
      <c r="V23" s="36">
        <v>3.5000000000000003E-2</v>
      </c>
      <c r="W23" s="36">
        <v>4.4999999999999998E-2</v>
      </c>
      <c r="X23" s="8"/>
      <c r="Y23" s="8"/>
      <c r="Z23" s="8"/>
      <c r="AA23" s="36">
        <v>0.26100000000000001</v>
      </c>
      <c r="AB23" s="36">
        <v>0.19700000000000001</v>
      </c>
      <c r="AC23" s="36">
        <v>0.17699999999999999</v>
      </c>
      <c r="AD23" s="8"/>
      <c r="AE23" s="8"/>
      <c r="AF23" s="8"/>
      <c r="AG23" s="36">
        <v>1.2999999999999999E-2</v>
      </c>
      <c r="AH23" s="36">
        <v>2.9000000000000001E-2</v>
      </c>
      <c r="AI23" s="36">
        <v>2.9000000000000001E-2</v>
      </c>
      <c r="AJ23" s="8"/>
      <c r="AK23" s="8"/>
      <c r="AL23" s="8"/>
      <c r="AM23" s="40">
        <v>0</v>
      </c>
      <c r="AN23" s="36">
        <v>2.3E-2</v>
      </c>
      <c r="AO23" s="36">
        <v>2E-3</v>
      </c>
      <c r="AP23" s="8"/>
      <c r="AQ23" s="8"/>
      <c r="AR23" s="8"/>
      <c r="AS23" s="24">
        <v>32.6</v>
      </c>
      <c r="AT23" s="24">
        <v>35.200000000000003</v>
      </c>
      <c r="AU23" s="24">
        <v>28.9</v>
      </c>
      <c r="AV23" s="8"/>
      <c r="AW23" s="8"/>
      <c r="AX23" s="8"/>
      <c r="AY23" s="40">
        <v>0.94</v>
      </c>
      <c r="AZ23" s="36">
        <v>0.95399999999999996</v>
      </c>
      <c r="BA23" s="40">
        <v>0.94</v>
      </c>
      <c r="BB23" s="8"/>
      <c r="BC23" s="8"/>
      <c r="BD23" s="8"/>
      <c r="BE23" s="40">
        <v>0.34</v>
      </c>
      <c r="BF23" s="40">
        <v>0.38</v>
      </c>
      <c r="BG23" s="36">
        <v>0.35099999999999998</v>
      </c>
      <c r="BH23" s="8"/>
      <c r="BI23" s="8"/>
      <c r="BJ23" s="8"/>
      <c r="BK23" s="40">
        <v>7.0000000000000007E-2</v>
      </c>
      <c r="BL23" s="24" t="s">
        <v>236</v>
      </c>
      <c r="BM23" s="36">
        <v>6.9000000000000006E-2</v>
      </c>
      <c r="BN23" s="8"/>
      <c r="BO23" s="8"/>
      <c r="BP23" s="8"/>
      <c r="BQ23" s="24">
        <v>4</v>
      </c>
      <c r="BR23" s="24">
        <v>7</v>
      </c>
      <c r="BS23" s="24">
        <v>6</v>
      </c>
      <c r="BT23" s="8"/>
      <c r="BU23" s="8"/>
      <c r="BV23" s="8"/>
      <c r="BW23" s="24" t="s">
        <v>237</v>
      </c>
      <c r="BX23" s="24" t="s">
        <v>238</v>
      </c>
      <c r="BY23" s="24" t="s">
        <v>590</v>
      </c>
      <c r="BZ23" s="8"/>
      <c r="CA23" s="8"/>
      <c r="CB23" s="8"/>
      <c r="CC23" s="24" t="s">
        <v>239</v>
      </c>
      <c r="CD23" s="24" t="s">
        <v>239</v>
      </c>
      <c r="CE23" s="24" t="s">
        <v>591</v>
      </c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</row>
    <row r="24" spans="1:94" ht="15.75" customHeight="1">
      <c r="A24" s="47">
        <v>46008</v>
      </c>
      <c r="B24" s="30">
        <v>18</v>
      </c>
      <c r="C24" s="42" t="s">
        <v>592</v>
      </c>
      <c r="D24" s="24"/>
      <c r="E24" s="24" t="s">
        <v>241</v>
      </c>
      <c r="F24" s="8"/>
      <c r="G24" s="24" t="s">
        <v>242</v>
      </c>
      <c r="H24" s="24" t="s">
        <v>243</v>
      </c>
      <c r="I24" s="24" t="s">
        <v>58</v>
      </c>
      <c r="J24" s="24" t="s">
        <v>45</v>
      </c>
      <c r="K24" s="24" t="s">
        <v>46</v>
      </c>
      <c r="L24" s="24" t="s">
        <v>244</v>
      </c>
      <c r="M24" s="24">
        <v>3</v>
      </c>
      <c r="N24" s="36">
        <v>9.7000000000000003E-2</v>
      </c>
      <c r="O24" s="36">
        <v>0.78300000000000003</v>
      </c>
      <c r="P24" s="36">
        <v>0.77600000000000002</v>
      </c>
      <c r="Q24" s="36">
        <v>0.83399999999999996</v>
      </c>
      <c r="R24" s="8"/>
      <c r="S24" s="8"/>
      <c r="T24" s="8"/>
      <c r="U24" s="36">
        <v>4.5999999999999999E-2</v>
      </c>
      <c r="V24" s="36">
        <v>5.0999999999999997E-2</v>
      </c>
      <c r="W24" s="36">
        <v>1.2999999999999999E-2</v>
      </c>
      <c r="X24" s="8"/>
      <c r="Y24" s="8"/>
      <c r="Z24" s="8"/>
      <c r="AA24" s="36">
        <v>0.14699999999999999</v>
      </c>
      <c r="AB24" s="36">
        <v>9.9000000000000005E-2</v>
      </c>
      <c r="AC24" s="36">
        <v>0.10299999999999999</v>
      </c>
      <c r="AD24" s="8"/>
      <c r="AE24" s="8"/>
      <c r="AF24" s="8"/>
      <c r="AG24" s="36">
        <v>2.3E-2</v>
      </c>
      <c r="AH24" s="36">
        <v>4.2000000000000003E-2</v>
      </c>
      <c r="AI24" s="36">
        <v>4.9000000000000002E-2</v>
      </c>
      <c r="AJ24" s="8"/>
      <c r="AK24" s="8"/>
      <c r="AL24" s="8"/>
      <c r="AM24" s="36">
        <v>1E-3</v>
      </c>
      <c r="AN24" s="36">
        <v>3.2000000000000001E-2</v>
      </c>
      <c r="AO24" s="36">
        <v>1E-3</v>
      </c>
      <c r="AP24" s="8"/>
      <c r="AQ24" s="8"/>
      <c r="AR24" s="8"/>
      <c r="AS24" s="24">
        <v>24.9</v>
      </c>
      <c r="AT24" s="24">
        <v>35.799999999999997</v>
      </c>
      <c r="AU24" s="24">
        <v>22.4</v>
      </c>
      <c r="AV24" s="8"/>
      <c r="AW24" s="8"/>
      <c r="AX24" s="8"/>
      <c r="AY24" s="40">
        <v>0.98</v>
      </c>
      <c r="AZ24" s="36">
        <v>0.98799999999999999</v>
      </c>
      <c r="BA24" s="36">
        <v>0.95599999999999996</v>
      </c>
      <c r="BB24" s="8"/>
      <c r="BC24" s="8"/>
      <c r="BD24" s="8"/>
      <c r="BE24" s="36">
        <v>0.377</v>
      </c>
      <c r="BF24" s="36">
        <v>0.433</v>
      </c>
      <c r="BG24" s="36">
        <v>0.39500000000000002</v>
      </c>
      <c r="BH24" s="8"/>
      <c r="BI24" s="8"/>
      <c r="BJ24" s="8"/>
      <c r="BK24" s="36">
        <v>6.6000000000000003E-2</v>
      </c>
      <c r="BL24" s="24" t="s">
        <v>236</v>
      </c>
      <c r="BM24" s="36">
        <v>6.2E-2</v>
      </c>
      <c r="BN24" s="8"/>
      <c r="BO24" s="8"/>
      <c r="BP24" s="8"/>
      <c r="BQ24" s="24">
        <v>9</v>
      </c>
      <c r="BR24" s="24">
        <v>11</v>
      </c>
      <c r="BS24" s="24">
        <v>20</v>
      </c>
      <c r="BT24" s="8"/>
      <c r="BU24" s="8"/>
      <c r="BV24" s="8"/>
      <c r="BW24" s="24" t="s">
        <v>142</v>
      </c>
      <c r="BX24" s="24" t="s">
        <v>245</v>
      </c>
      <c r="BY24" s="24" t="s">
        <v>122</v>
      </c>
      <c r="BZ24" s="8"/>
      <c r="CA24" s="8"/>
      <c r="CB24" s="8"/>
      <c r="CC24" s="24" t="s">
        <v>246</v>
      </c>
      <c r="CD24" s="24" t="s">
        <v>247</v>
      </c>
      <c r="CE24" s="24" t="s">
        <v>593</v>
      </c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</row>
    <row r="25" spans="1:94" ht="18" customHeight="1">
      <c r="A25" s="47">
        <v>6693422</v>
      </c>
      <c r="B25" s="30">
        <v>19</v>
      </c>
      <c r="C25" s="42" t="s">
        <v>594</v>
      </c>
      <c r="D25" s="60" t="s">
        <v>522</v>
      </c>
      <c r="E25" s="60" t="s">
        <v>249</v>
      </c>
      <c r="F25" s="8"/>
      <c r="G25" s="24" t="s">
        <v>250</v>
      </c>
      <c r="H25" s="24" t="s">
        <v>251</v>
      </c>
      <c r="I25" s="24" t="s">
        <v>205</v>
      </c>
      <c r="J25" s="24" t="s">
        <v>225</v>
      </c>
      <c r="K25" s="24" t="s">
        <v>46</v>
      </c>
      <c r="L25" s="24" t="s">
        <v>252</v>
      </c>
      <c r="M25" s="24">
        <v>3</v>
      </c>
      <c r="N25" s="36">
        <v>0.114</v>
      </c>
      <c r="O25" s="40">
        <v>0.45</v>
      </c>
      <c r="P25" s="36">
        <v>0.621</v>
      </c>
      <c r="Q25" s="8"/>
      <c r="R25" s="8"/>
      <c r="S25" s="8"/>
      <c r="T25" s="8"/>
      <c r="U25" s="36">
        <v>0.223</v>
      </c>
      <c r="V25" s="36">
        <v>9.5000000000000001E-2</v>
      </c>
      <c r="W25" s="8"/>
      <c r="X25" s="8"/>
      <c r="Y25" s="8"/>
      <c r="Z25" s="8"/>
      <c r="AA25" s="36">
        <v>0.251</v>
      </c>
      <c r="AB25" s="36">
        <v>0.20399999999999999</v>
      </c>
      <c r="AC25" s="8"/>
      <c r="AD25" s="8"/>
      <c r="AE25" s="8"/>
      <c r="AF25" s="8"/>
      <c r="AG25" s="36">
        <v>6.0999999999999999E-2</v>
      </c>
      <c r="AH25" s="36">
        <v>5.6000000000000001E-2</v>
      </c>
      <c r="AI25" s="8"/>
      <c r="AJ25" s="8"/>
      <c r="AK25" s="8"/>
      <c r="AL25" s="8"/>
      <c r="AM25" s="36">
        <v>1.4999999999999999E-2</v>
      </c>
      <c r="AN25" s="36">
        <v>2.4E-2</v>
      </c>
      <c r="AO25" s="8"/>
      <c r="AP25" s="8"/>
      <c r="AQ25" s="8"/>
      <c r="AR25" s="8"/>
      <c r="AS25" s="24">
        <v>74.900000000000006</v>
      </c>
      <c r="AT25" s="24">
        <v>52.2</v>
      </c>
      <c r="AU25" s="8"/>
      <c r="AV25" s="8"/>
      <c r="AW25" s="8"/>
      <c r="AX25" s="8"/>
      <c r="AY25" s="36">
        <v>0.61299999999999999</v>
      </c>
      <c r="AZ25" s="36">
        <v>0.871</v>
      </c>
      <c r="BA25" s="8"/>
      <c r="BB25" s="8"/>
      <c r="BC25" s="8"/>
      <c r="BD25" s="8"/>
      <c r="BE25" s="36">
        <v>0.48599999999999999</v>
      </c>
      <c r="BF25" s="36">
        <v>0.46400000000000002</v>
      </c>
      <c r="BG25" s="8"/>
      <c r="BH25" s="8"/>
      <c r="BI25" s="8"/>
      <c r="BJ25" s="8"/>
      <c r="BK25" s="36">
        <v>7.6999999999999999E-2</v>
      </c>
      <c r="BL25" s="36">
        <v>7.0000000000000007E-2</v>
      </c>
      <c r="BM25" s="8"/>
      <c r="BN25" s="8"/>
      <c r="BO25" s="8"/>
      <c r="BP25" s="8"/>
      <c r="BQ25" s="24">
        <v>19</v>
      </c>
      <c r="BR25" s="24">
        <v>23</v>
      </c>
      <c r="BS25" s="8"/>
      <c r="BT25" s="8"/>
      <c r="BU25" s="8"/>
      <c r="BV25" s="8"/>
      <c r="BW25" s="24" t="s">
        <v>253</v>
      </c>
      <c r="BX25" s="24" t="s">
        <v>595</v>
      </c>
      <c r="BY25" s="8"/>
      <c r="BZ25" s="8"/>
      <c r="CA25" s="8"/>
      <c r="CB25" s="8"/>
      <c r="CC25" s="24" t="s">
        <v>254</v>
      </c>
      <c r="CD25" s="24" t="s">
        <v>596</v>
      </c>
      <c r="CE25" s="8"/>
      <c r="CF25" s="8"/>
      <c r="CG25" s="8"/>
      <c r="CH25" s="8"/>
      <c r="CI25" s="24" t="s">
        <v>255</v>
      </c>
      <c r="CJ25" s="8"/>
      <c r="CK25" s="8"/>
      <c r="CL25" s="8"/>
      <c r="CM25" s="8"/>
      <c r="CN25" s="8"/>
      <c r="CO25" s="8"/>
      <c r="CP25" s="8"/>
    </row>
    <row r="26" spans="1:94" ht="15.75" customHeight="1">
      <c r="A26" s="47">
        <v>46009</v>
      </c>
      <c r="B26" s="30">
        <v>20</v>
      </c>
      <c r="C26" s="42" t="s">
        <v>597</v>
      </c>
      <c r="D26" s="24" t="s">
        <v>99</v>
      </c>
      <c r="E26" s="24" t="s">
        <v>257</v>
      </c>
      <c r="F26" s="8"/>
      <c r="G26" s="24" t="s">
        <v>258</v>
      </c>
      <c r="H26" s="24" t="s">
        <v>259</v>
      </c>
      <c r="I26" s="24" t="s">
        <v>196</v>
      </c>
      <c r="J26" s="24" t="s">
        <v>225</v>
      </c>
      <c r="K26" s="24" t="s">
        <v>46</v>
      </c>
      <c r="L26" s="24" t="s">
        <v>260</v>
      </c>
      <c r="M26" s="24">
        <v>3</v>
      </c>
      <c r="N26" s="36">
        <v>9.3700000000000006E-2</v>
      </c>
      <c r="O26" s="36">
        <v>0.51100000000000001</v>
      </c>
      <c r="P26" s="36">
        <v>0.50800000000000001</v>
      </c>
      <c r="Q26" s="36">
        <v>0.59899999999999998</v>
      </c>
      <c r="R26" s="8"/>
      <c r="S26" s="8"/>
      <c r="T26" s="8"/>
      <c r="U26" s="36">
        <v>7.5999999999999998E-2</v>
      </c>
      <c r="V26" s="40">
        <v>0.22</v>
      </c>
      <c r="W26" s="36">
        <v>0.122</v>
      </c>
      <c r="X26" s="8"/>
      <c r="Y26" s="8"/>
      <c r="Z26" s="8"/>
      <c r="AA26" s="36">
        <v>0.20499999999999999</v>
      </c>
      <c r="AB26" s="36">
        <v>0.20100000000000001</v>
      </c>
      <c r="AC26" s="36">
        <v>0.20300000000000001</v>
      </c>
      <c r="AD26" s="8"/>
      <c r="AE26" s="8"/>
      <c r="AF26" s="8"/>
      <c r="AG26" s="36">
        <v>0.14899999999999999</v>
      </c>
      <c r="AH26" s="36">
        <v>4.4999999999999998E-2</v>
      </c>
      <c r="AI26" s="36">
        <v>6.8000000000000005E-2</v>
      </c>
      <c r="AJ26" s="8"/>
      <c r="AK26" s="8"/>
      <c r="AL26" s="8"/>
      <c r="AM26" s="36">
        <v>5.8999999999999997E-2</v>
      </c>
      <c r="AN26" s="36">
        <v>2.5999999999999999E-2</v>
      </c>
      <c r="AO26" s="36">
        <v>8.0000000000000002E-3</v>
      </c>
      <c r="AP26" s="8"/>
      <c r="AQ26" s="8"/>
      <c r="AR26" s="8"/>
      <c r="AS26" s="24">
        <v>82</v>
      </c>
      <c r="AT26" s="24">
        <v>69.900000000000006</v>
      </c>
      <c r="AU26" s="24">
        <v>54.5</v>
      </c>
      <c r="AV26" s="8"/>
      <c r="AW26" s="8"/>
      <c r="AX26" s="8"/>
      <c r="AY26" s="36">
        <v>0.996</v>
      </c>
      <c r="AZ26" s="36">
        <v>0.91700000000000004</v>
      </c>
      <c r="BA26" s="36">
        <v>0.94599999999999995</v>
      </c>
      <c r="BB26" s="8"/>
      <c r="BC26" s="8"/>
      <c r="BD26" s="8"/>
      <c r="BE26" s="24" t="s">
        <v>261</v>
      </c>
      <c r="BF26" s="36">
        <v>0.50600000000000001</v>
      </c>
      <c r="BG26" s="36">
        <v>0.48099999999999998</v>
      </c>
      <c r="BH26" s="8"/>
      <c r="BI26" s="8"/>
      <c r="BJ26" s="8"/>
      <c r="BK26" s="24" t="s">
        <v>236</v>
      </c>
      <c r="BL26" s="36">
        <v>7.3999999999999996E-2</v>
      </c>
      <c r="BM26" s="36">
        <v>7.0999999999999994E-2</v>
      </c>
      <c r="BN26" s="8"/>
      <c r="BO26" s="8"/>
      <c r="BP26" s="8"/>
      <c r="BQ26" s="24">
        <v>6</v>
      </c>
      <c r="BR26" s="24">
        <v>14</v>
      </c>
      <c r="BS26" s="24">
        <v>26</v>
      </c>
      <c r="BT26" s="8"/>
      <c r="BU26" s="8"/>
      <c r="BV26" s="8"/>
      <c r="BW26" s="24" t="s">
        <v>262</v>
      </c>
      <c r="BX26" s="24" t="s">
        <v>535</v>
      </c>
      <c r="BY26" s="24" t="s">
        <v>325</v>
      </c>
      <c r="BZ26" s="8"/>
      <c r="CA26" s="8"/>
      <c r="CB26" s="8"/>
      <c r="CC26" s="24" t="s">
        <v>263</v>
      </c>
      <c r="CD26" s="24" t="s">
        <v>536</v>
      </c>
      <c r="CE26" s="66" t="s">
        <v>598</v>
      </c>
      <c r="CF26" s="8"/>
      <c r="CG26" s="8"/>
      <c r="CH26" s="8"/>
      <c r="CI26" s="24" t="s">
        <v>264</v>
      </c>
      <c r="CJ26" s="8"/>
      <c r="CK26" s="8"/>
      <c r="CL26" s="8"/>
      <c r="CM26" s="8"/>
      <c r="CN26" s="8"/>
      <c r="CO26" s="8"/>
      <c r="CP26" s="8"/>
    </row>
    <row r="27" spans="1:94" ht="15.75" customHeight="1">
      <c r="A27" s="47">
        <v>46009</v>
      </c>
      <c r="B27" s="30">
        <v>21</v>
      </c>
      <c r="C27" s="42" t="s">
        <v>599</v>
      </c>
      <c r="D27" s="24"/>
      <c r="E27" s="24" t="s">
        <v>266</v>
      </c>
      <c r="F27" s="8"/>
      <c r="G27" s="24" t="s">
        <v>267</v>
      </c>
      <c r="H27" s="24" t="s">
        <v>268</v>
      </c>
      <c r="I27" s="24" t="s">
        <v>150</v>
      </c>
      <c r="J27" s="24" t="s">
        <v>225</v>
      </c>
      <c r="K27" s="24" t="s">
        <v>46</v>
      </c>
      <c r="L27" s="24" t="s">
        <v>269</v>
      </c>
      <c r="M27" s="24">
        <v>3</v>
      </c>
      <c r="N27" s="36">
        <v>0.107</v>
      </c>
      <c r="O27" s="36">
        <v>0.63500000000000001</v>
      </c>
      <c r="P27" s="36">
        <v>0.65800000000000003</v>
      </c>
      <c r="Q27" s="36">
        <v>0.78500000000000003</v>
      </c>
      <c r="R27" s="8"/>
      <c r="S27" s="8"/>
      <c r="T27" s="8"/>
      <c r="U27" s="40">
        <v>0.11</v>
      </c>
      <c r="V27" s="36">
        <v>3.2000000000000001E-2</v>
      </c>
      <c r="W27" s="36">
        <v>2.4E-2</v>
      </c>
      <c r="X27" s="8"/>
      <c r="Y27" s="8"/>
      <c r="Z27" s="8"/>
      <c r="AA27" s="36">
        <v>0.16400000000000001</v>
      </c>
      <c r="AB27" s="40">
        <v>0.28999999999999998</v>
      </c>
      <c r="AC27" s="36">
        <v>0.16200000000000001</v>
      </c>
      <c r="AD27" s="8"/>
      <c r="AE27" s="8"/>
      <c r="AF27" s="8"/>
      <c r="AG27" s="40">
        <v>0.09</v>
      </c>
      <c r="AH27" s="36">
        <v>1.9E-2</v>
      </c>
      <c r="AI27" s="36">
        <v>2.8000000000000001E-2</v>
      </c>
      <c r="AJ27" s="8"/>
      <c r="AK27" s="8"/>
      <c r="AL27" s="8"/>
      <c r="AM27" s="40">
        <v>0.01</v>
      </c>
      <c r="AN27" s="36">
        <v>1E-3</v>
      </c>
      <c r="AO27" s="36">
        <v>1E-3</v>
      </c>
      <c r="AP27" s="8"/>
      <c r="AQ27" s="8"/>
      <c r="AR27" s="8"/>
      <c r="AS27" s="24">
        <v>52.6</v>
      </c>
      <c r="AT27" s="24">
        <v>33.200000000000003</v>
      </c>
      <c r="AU27" s="24">
        <v>23.8</v>
      </c>
      <c r="AV27" s="8"/>
      <c r="AW27" s="8"/>
      <c r="AX27" s="8"/>
      <c r="AY27" s="36">
        <v>0.79900000000000004</v>
      </c>
      <c r="AZ27" s="36">
        <v>0.871</v>
      </c>
      <c r="BA27" s="36">
        <v>0.86399999999999999</v>
      </c>
      <c r="BB27" s="8"/>
      <c r="BC27" s="8"/>
      <c r="BD27" s="8"/>
      <c r="BE27" s="36">
        <v>0.503</v>
      </c>
      <c r="BF27" s="36">
        <v>0.32700000000000001</v>
      </c>
      <c r="BG27" s="36">
        <v>0.36799999999999999</v>
      </c>
      <c r="BH27" s="8"/>
      <c r="BI27" s="8"/>
      <c r="BJ27" s="8"/>
      <c r="BK27" s="36">
        <v>6.9000000000000006E-2</v>
      </c>
      <c r="BL27" s="36">
        <v>7.0000000000000007E-2</v>
      </c>
      <c r="BM27" s="36">
        <v>6.6000000000000003E-2</v>
      </c>
      <c r="BN27" s="8"/>
      <c r="BO27" s="8"/>
      <c r="BP27" s="8"/>
      <c r="BQ27" s="24">
        <v>28</v>
      </c>
      <c r="BR27" s="24">
        <v>9</v>
      </c>
      <c r="BS27" s="24">
        <v>11</v>
      </c>
      <c r="BT27" s="8"/>
      <c r="BU27" s="8"/>
      <c r="BV27" s="8"/>
      <c r="BW27" s="24" t="s">
        <v>270</v>
      </c>
      <c r="BX27" s="24" t="s">
        <v>271</v>
      </c>
      <c r="BY27" s="24" t="s">
        <v>208</v>
      </c>
      <c r="BZ27" s="8"/>
      <c r="CA27" s="8"/>
      <c r="CB27" s="8"/>
      <c r="CC27" s="24" t="s">
        <v>272</v>
      </c>
      <c r="CD27" s="24" t="s">
        <v>272</v>
      </c>
      <c r="CE27" s="24" t="s">
        <v>600</v>
      </c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</row>
    <row r="28" spans="1:94" ht="16.5" customHeight="1">
      <c r="A28" s="47">
        <v>46009</v>
      </c>
      <c r="B28" s="30">
        <v>22</v>
      </c>
      <c r="C28" s="42" t="s">
        <v>601</v>
      </c>
      <c r="D28" s="24" t="s">
        <v>196</v>
      </c>
      <c r="E28" s="24" t="s">
        <v>274</v>
      </c>
      <c r="F28" s="8"/>
      <c r="G28" s="24" t="s">
        <v>275</v>
      </c>
      <c r="H28" s="24" t="s">
        <v>276</v>
      </c>
      <c r="I28" s="24" t="s">
        <v>150</v>
      </c>
      <c r="J28" s="24" t="s">
        <v>45</v>
      </c>
      <c r="K28" s="24" t="s">
        <v>46</v>
      </c>
      <c r="L28" s="24" t="s">
        <v>277</v>
      </c>
      <c r="M28" s="61">
        <v>45718</v>
      </c>
      <c r="N28" s="36">
        <v>8.8999999999999996E-2</v>
      </c>
      <c r="O28" s="40">
        <v>0.64</v>
      </c>
      <c r="P28" s="36">
        <v>0.78700000000000003</v>
      </c>
      <c r="Q28" s="36">
        <v>0.84199999999999997</v>
      </c>
      <c r="R28" s="8"/>
      <c r="S28" s="8"/>
      <c r="T28" s="8"/>
      <c r="U28" s="40">
        <v>0.1</v>
      </c>
      <c r="V28" s="40">
        <v>0.03</v>
      </c>
      <c r="W28" s="36">
        <v>2.1999999999999999E-2</v>
      </c>
      <c r="X28" s="8"/>
      <c r="Y28" s="8"/>
      <c r="Z28" s="8"/>
      <c r="AA28" s="40">
        <v>0.26</v>
      </c>
      <c r="AB28" s="36">
        <v>0.17599999999999999</v>
      </c>
      <c r="AC28" s="36">
        <v>0.13600000000000001</v>
      </c>
      <c r="AD28" s="8"/>
      <c r="AE28" s="8"/>
      <c r="AF28" s="8"/>
      <c r="AG28" s="40">
        <v>0</v>
      </c>
      <c r="AH28" s="36">
        <v>7.0000000000000001E-3</v>
      </c>
      <c r="AI28" s="40">
        <v>0</v>
      </c>
      <c r="AJ28" s="8"/>
      <c r="AK28" s="8"/>
      <c r="AL28" s="8"/>
      <c r="AM28" s="40">
        <v>0</v>
      </c>
      <c r="AN28" s="40">
        <v>0</v>
      </c>
      <c r="AO28" s="40">
        <v>0</v>
      </c>
      <c r="AP28" s="8"/>
      <c r="AQ28" s="8"/>
      <c r="AR28" s="8"/>
      <c r="AS28" s="24">
        <v>36.799999999999997</v>
      </c>
      <c r="AT28" s="24">
        <v>20.6</v>
      </c>
      <c r="AU28" s="24">
        <v>14.4</v>
      </c>
      <c r="AV28" s="8"/>
      <c r="AW28" s="8"/>
      <c r="AX28" s="8"/>
      <c r="AY28" s="36">
        <v>0.75900000000000001</v>
      </c>
      <c r="AZ28" s="36">
        <v>0.875</v>
      </c>
      <c r="BA28" s="36">
        <v>0.76900000000000002</v>
      </c>
      <c r="BB28" s="8"/>
      <c r="BC28" s="8"/>
      <c r="BD28" s="8"/>
      <c r="BE28" s="36">
        <v>0.38400000000000001</v>
      </c>
      <c r="BF28" s="36">
        <v>0.35699999999999998</v>
      </c>
      <c r="BG28" s="36">
        <v>0.309</v>
      </c>
      <c r="BH28" s="8"/>
      <c r="BI28" s="8"/>
      <c r="BJ28" s="8"/>
      <c r="BK28" s="36">
        <v>7.1999999999999995E-2</v>
      </c>
      <c r="BL28" s="36">
        <v>6.7000000000000004E-2</v>
      </c>
      <c r="BM28" s="36">
        <v>6.6000000000000003E-2</v>
      </c>
      <c r="BN28" s="8"/>
      <c r="BO28" s="8"/>
      <c r="BP28" s="8"/>
      <c r="BQ28" s="24">
        <v>0</v>
      </c>
      <c r="BR28" s="24">
        <v>2</v>
      </c>
      <c r="BS28" s="24">
        <v>0</v>
      </c>
      <c r="BT28" s="8"/>
      <c r="BU28" s="8"/>
      <c r="BV28" s="8"/>
      <c r="BW28" s="24" t="s">
        <v>112</v>
      </c>
      <c r="BX28" s="24" t="s">
        <v>161</v>
      </c>
      <c r="BY28" s="24" t="s">
        <v>112</v>
      </c>
      <c r="BZ28" s="8"/>
      <c r="CA28" s="8"/>
      <c r="CB28" s="8"/>
      <c r="CC28" s="24" t="s">
        <v>278</v>
      </c>
      <c r="CD28" s="24" t="s">
        <v>278</v>
      </c>
      <c r="CE28" s="24" t="s">
        <v>278</v>
      </c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</row>
    <row r="29" spans="1:94" ht="15.75" customHeight="1">
      <c r="A29" s="47">
        <v>46015</v>
      </c>
      <c r="B29" s="30">
        <v>23</v>
      </c>
      <c r="C29" s="42" t="s">
        <v>537</v>
      </c>
      <c r="D29" s="24" t="s">
        <v>72</v>
      </c>
      <c r="E29" s="24" t="s">
        <v>280</v>
      </c>
      <c r="F29" s="24" t="s">
        <v>281</v>
      </c>
      <c r="G29" s="8"/>
      <c r="H29" s="24" t="s">
        <v>282</v>
      </c>
      <c r="I29" s="24" t="s">
        <v>72</v>
      </c>
      <c r="J29" s="24" t="s">
        <v>45</v>
      </c>
      <c r="K29" s="24" t="s">
        <v>46</v>
      </c>
      <c r="L29" s="24" t="s">
        <v>283</v>
      </c>
      <c r="M29" s="24">
        <v>6</v>
      </c>
      <c r="N29" s="36">
        <v>6.8400000000000002E-2</v>
      </c>
      <c r="O29" s="36">
        <v>0.85799999999999998</v>
      </c>
      <c r="P29" s="36">
        <v>0.745</v>
      </c>
      <c r="Q29" s="8"/>
      <c r="R29" s="8"/>
      <c r="S29" s="8"/>
      <c r="T29" s="8"/>
      <c r="U29" s="36">
        <v>1.7000000000000001E-2</v>
      </c>
      <c r="V29" s="36">
        <v>3.5999999999999997E-2</v>
      </c>
      <c r="W29" s="8"/>
      <c r="X29" s="8"/>
      <c r="Y29" s="8"/>
      <c r="Z29" s="8"/>
      <c r="AA29" s="36">
        <v>9.7000000000000003E-2</v>
      </c>
      <c r="AB29" s="36">
        <v>0.20899999999999999</v>
      </c>
      <c r="AC29" s="8"/>
      <c r="AD29" s="8"/>
      <c r="AE29" s="8"/>
      <c r="AF29" s="8"/>
      <c r="AG29" s="36">
        <v>2.8000000000000001E-2</v>
      </c>
      <c r="AH29" s="40">
        <v>0.01</v>
      </c>
      <c r="AI29" s="8"/>
      <c r="AJ29" s="8"/>
      <c r="AK29" s="8"/>
      <c r="AL29" s="8"/>
      <c r="AM29" s="40">
        <v>0</v>
      </c>
      <c r="AN29" s="40">
        <v>0</v>
      </c>
      <c r="AO29" s="8"/>
      <c r="AP29" s="8"/>
      <c r="AQ29" s="8"/>
      <c r="AR29" s="8"/>
      <c r="AS29" s="24">
        <v>17.2</v>
      </c>
      <c r="AT29" s="24">
        <v>24.9</v>
      </c>
      <c r="AU29" s="8"/>
      <c r="AV29" s="8"/>
      <c r="AW29" s="8"/>
      <c r="AX29" s="8"/>
      <c r="AY29" s="36">
        <v>0.69499999999999995</v>
      </c>
      <c r="AZ29" s="40">
        <v>0.91</v>
      </c>
      <c r="BA29" s="8"/>
      <c r="BB29" s="8"/>
      <c r="BC29" s="8"/>
      <c r="BD29" s="8"/>
      <c r="BE29" s="36">
        <v>0.34100000000000003</v>
      </c>
      <c r="BF29" s="36">
        <v>0.32500000000000001</v>
      </c>
      <c r="BG29" s="8"/>
      <c r="BH29" s="8"/>
      <c r="BI29" s="8"/>
      <c r="BJ29" s="8"/>
      <c r="BK29" s="36">
        <v>6.3E-2</v>
      </c>
      <c r="BL29" s="36">
        <v>6.9000000000000006E-2</v>
      </c>
      <c r="BM29" s="8"/>
      <c r="BN29" s="8"/>
      <c r="BO29" s="8"/>
      <c r="BP29" s="8"/>
      <c r="BQ29" s="24">
        <v>18</v>
      </c>
      <c r="BR29" s="24">
        <v>6</v>
      </c>
      <c r="BS29" s="8"/>
      <c r="BT29" s="8"/>
      <c r="BU29" s="8"/>
      <c r="BV29" s="8"/>
      <c r="BW29" s="24" t="s">
        <v>284</v>
      </c>
      <c r="BX29" s="24" t="s">
        <v>538</v>
      </c>
      <c r="BY29" s="8"/>
      <c r="BZ29" s="8"/>
      <c r="CA29" s="8"/>
      <c r="CB29" s="8"/>
      <c r="CC29" s="24" t="s">
        <v>285</v>
      </c>
      <c r="CD29" s="24" t="s">
        <v>539</v>
      </c>
      <c r="CE29" s="8"/>
      <c r="CF29" s="8"/>
      <c r="CG29" s="8"/>
      <c r="CH29" s="8"/>
      <c r="CI29" s="24" t="s">
        <v>286</v>
      </c>
      <c r="CJ29" s="8"/>
      <c r="CK29" s="8"/>
      <c r="CL29" s="8"/>
      <c r="CM29" s="8"/>
      <c r="CN29" s="8"/>
      <c r="CO29" s="8"/>
      <c r="CP29" s="8"/>
    </row>
    <row r="30" spans="1:94" ht="15.75" customHeight="1">
      <c r="A30" s="52">
        <v>46013</v>
      </c>
      <c r="B30" s="30">
        <v>24</v>
      </c>
      <c r="C30" s="42" t="s">
        <v>540</v>
      </c>
      <c r="D30" s="24" t="s">
        <v>72</v>
      </c>
      <c r="E30" s="24" t="s">
        <v>288</v>
      </c>
      <c r="F30" s="24" t="s">
        <v>289</v>
      </c>
      <c r="G30" s="8"/>
      <c r="H30" s="24" t="s">
        <v>290</v>
      </c>
      <c r="I30" s="24" t="s">
        <v>128</v>
      </c>
      <c r="J30" s="24" t="s">
        <v>45</v>
      </c>
      <c r="K30" s="24" t="s">
        <v>46</v>
      </c>
      <c r="L30" s="24" t="s">
        <v>291</v>
      </c>
      <c r="M30" s="61">
        <v>45718</v>
      </c>
      <c r="N30" s="36">
        <v>9.6699999999999994E-2</v>
      </c>
      <c r="O30" s="40">
        <v>0.56999999999999995</v>
      </c>
      <c r="P30" s="36">
        <v>0.76700000000000002</v>
      </c>
      <c r="Q30" s="8"/>
      <c r="R30" s="8"/>
      <c r="S30" s="8"/>
      <c r="T30" s="8"/>
      <c r="U30" s="36">
        <v>8.5999999999999993E-2</v>
      </c>
      <c r="V30" s="36">
        <v>6.0000000000000001E-3</v>
      </c>
      <c r="W30" s="8"/>
      <c r="X30" s="8"/>
      <c r="Y30" s="8"/>
      <c r="Z30" s="8"/>
      <c r="AA30" s="36">
        <v>0.14899999999999999</v>
      </c>
      <c r="AB30" s="36">
        <v>0.187</v>
      </c>
      <c r="AC30" s="8"/>
      <c r="AD30" s="8"/>
      <c r="AE30" s="8"/>
      <c r="AF30" s="8"/>
      <c r="AG30" s="36">
        <v>4.0000000000000001E-3</v>
      </c>
      <c r="AH30" s="40">
        <v>0.04</v>
      </c>
      <c r="AI30" s="8"/>
      <c r="AJ30" s="8"/>
      <c r="AK30" s="8"/>
      <c r="AL30" s="8"/>
      <c r="AM30" s="36">
        <v>0.191</v>
      </c>
      <c r="AN30" s="40">
        <v>0</v>
      </c>
      <c r="AO30" s="8"/>
      <c r="AP30" s="8"/>
      <c r="AQ30" s="8"/>
      <c r="AR30" s="8"/>
      <c r="AS30" s="24">
        <v>83.9</v>
      </c>
      <c r="AT30" s="24">
        <v>25.5</v>
      </c>
      <c r="AU30" s="8"/>
      <c r="AV30" s="8"/>
      <c r="AW30" s="8"/>
      <c r="AX30" s="8"/>
      <c r="AY30" s="36">
        <v>0.79900000000000004</v>
      </c>
      <c r="AZ30" s="40">
        <v>0.94</v>
      </c>
      <c r="BA30" s="8"/>
      <c r="BB30" s="8"/>
      <c r="BC30" s="8"/>
      <c r="BD30" s="8"/>
      <c r="BE30" s="36">
        <v>0.55600000000000005</v>
      </c>
      <c r="BF30" s="36">
        <v>0.36099999999999999</v>
      </c>
      <c r="BG30" s="8"/>
      <c r="BH30" s="8"/>
      <c r="BI30" s="8"/>
      <c r="BJ30" s="8"/>
      <c r="BK30" s="36">
        <v>6.5000000000000002E-2</v>
      </c>
      <c r="BL30" s="36">
        <v>6.5000000000000002E-2</v>
      </c>
      <c r="BM30" s="8"/>
      <c r="BN30" s="8"/>
      <c r="BO30" s="8"/>
      <c r="BP30" s="8"/>
      <c r="BQ30" s="24">
        <v>2</v>
      </c>
      <c r="BR30" s="24">
        <v>17</v>
      </c>
      <c r="BS30" s="8"/>
      <c r="BT30" s="8"/>
      <c r="BU30" s="8"/>
      <c r="BV30" s="8"/>
      <c r="BW30" s="24" t="s">
        <v>292</v>
      </c>
      <c r="BX30" s="24" t="s">
        <v>541</v>
      </c>
      <c r="BY30" s="8"/>
      <c r="BZ30" s="8"/>
      <c r="CA30" s="8"/>
      <c r="CB30" s="8"/>
      <c r="CC30" s="24" t="s">
        <v>293</v>
      </c>
      <c r="CD30" s="24" t="s">
        <v>542</v>
      </c>
      <c r="CE30" s="8"/>
      <c r="CF30" s="8"/>
      <c r="CG30" s="8"/>
      <c r="CH30" s="8"/>
      <c r="CI30" s="24" t="s">
        <v>294</v>
      </c>
      <c r="CJ30" s="8"/>
      <c r="CK30" s="8"/>
      <c r="CL30" s="8"/>
      <c r="CM30" s="8"/>
      <c r="CN30" s="8"/>
      <c r="CO30" s="8"/>
      <c r="CP30" s="8"/>
    </row>
    <row r="31" spans="1:94" ht="15.75" customHeight="1">
      <c r="A31" s="52">
        <v>46013</v>
      </c>
      <c r="B31" s="30">
        <v>25</v>
      </c>
      <c r="C31" s="42" t="s">
        <v>602</v>
      </c>
      <c r="D31" s="24" t="s">
        <v>88</v>
      </c>
      <c r="E31" s="24" t="s">
        <v>296</v>
      </c>
      <c r="F31" s="8"/>
      <c r="G31" s="24" t="s">
        <v>297</v>
      </c>
      <c r="H31" s="24" t="s">
        <v>298</v>
      </c>
      <c r="I31" s="24" t="s">
        <v>88</v>
      </c>
      <c r="J31" s="24" t="s">
        <v>225</v>
      </c>
      <c r="K31" s="24" t="s">
        <v>46</v>
      </c>
      <c r="L31" s="24" t="s">
        <v>299</v>
      </c>
      <c r="M31" s="24">
        <v>6</v>
      </c>
      <c r="N31" s="36">
        <v>0.127</v>
      </c>
      <c r="O31" s="36">
        <v>0.51300000000000001</v>
      </c>
      <c r="P31" s="36">
        <v>0.94499999999999995</v>
      </c>
      <c r="Q31" s="36">
        <v>0.98599999999999999</v>
      </c>
      <c r="R31" s="8"/>
      <c r="S31" s="8"/>
      <c r="T31" s="8"/>
      <c r="U31" s="36">
        <v>0.122</v>
      </c>
      <c r="V31" s="40">
        <v>0</v>
      </c>
      <c r="W31" s="40">
        <v>0</v>
      </c>
      <c r="X31" s="8"/>
      <c r="Y31" s="8"/>
      <c r="Z31" s="8"/>
      <c r="AA31" s="36">
        <v>0.36499999999999999</v>
      </c>
      <c r="AB31" s="36">
        <v>5.2999999999999999E-2</v>
      </c>
      <c r="AC31" s="40">
        <v>0.01</v>
      </c>
      <c r="AD31" s="8"/>
      <c r="AE31" s="8"/>
      <c r="AF31" s="8"/>
      <c r="AG31" s="24">
        <v>0</v>
      </c>
      <c r="AH31" s="36">
        <v>2E-3</v>
      </c>
      <c r="AI31" s="36">
        <v>4.0000000000000001E-3</v>
      </c>
      <c r="AJ31" s="8"/>
      <c r="AK31" s="8"/>
      <c r="AL31" s="8"/>
      <c r="AM31" s="24">
        <v>0</v>
      </c>
      <c r="AN31" s="40">
        <v>0</v>
      </c>
      <c r="AO31" s="40">
        <v>0</v>
      </c>
      <c r="AP31" s="8"/>
      <c r="AQ31" s="8"/>
      <c r="AR31" s="8"/>
      <c r="AS31" s="24">
        <v>48.7</v>
      </c>
      <c r="AT31" s="24">
        <v>4.7</v>
      </c>
      <c r="AU31" s="24">
        <v>1.8</v>
      </c>
      <c r="AV31" s="8"/>
      <c r="AW31" s="8"/>
      <c r="AX31" s="8"/>
      <c r="AY31" s="36">
        <v>0.81899999999999995</v>
      </c>
      <c r="AZ31" s="36">
        <v>0.53900000000000003</v>
      </c>
      <c r="BA31" s="36">
        <v>0.65100000000000002</v>
      </c>
      <c r="BB31" s="8"/>
      <c r="BC31" s="8"/>
      <c r="BD31" s="8"/>
      <c r="BE31" s="36">
        <v>0.311</v>
      </c>
      <c r="BF31" s="36">
        <v>0.24199999999999999</v>
      </c>
      <c r="BG31" s="36">
        <v>0.214</v>
      </c>
      <c r="BH31" s="8"/>
      <c r="BI31" s="8"/>
      <c r="BJ31" s="8"/>
      <c r="BK31" s="36">
        <v>7.6999999999999999E-2</v>
      </c>
      <c r="BL31" s="36">
        <v>6.2E-2</v>
      </c>
      <c r="BM31" s="40">
        <v>0.06</v>
      </c>
      <c r="BN31" s="8"/>
      <c r="BO31" s="8"/>
      <c r="BP31" s="8"/>
      <c r="BQ31" s="24">
        <v>0</v>
      </c>
      <c r="BR31" s="24">
        <v>2</v>
      </c>
      <c r="BS31" s="24">
        <v>1</v>
      </c>
      <c r="BT31" s="8"/>
      <c r="BU31" s="8"/>
      <c r="BV31" s="8"/>
      <c r="BW31" s="24" t="s">
        <v>112</v>
      </c>
      <c r="BX31" s="24" t="s">
        <v>544</v>
      </c>
      <c r="BY31" s="24" t="s">
        <v>603</v>
      </c>
      <c r="BZ31" s="8"/>
      <c r="CA31" s="8"/>
      <c r="CB31" s="8"/>
      <c r="CC31" s="24" t="s">
        <v>300</v>
      </c>
      <c r="CD31" s="24" t="s">
        <v>604</v>
      </c>
      <c r="CE31" s="24" t="s">
        <v>605</v>
      </c>
      <c r="CF31" s="8"/>
      <c r="CG31" s="8"/>
      <c r="CH31" s="8"/>
      <c r="CI31" s="24" t="s">
        <v>301</v>
      </c>
      <c r="CJ31" s="8"/>
      <c r="CK31" s="8"/>
      <c r="CL31" s="8"/>
      <c r="CM31" s="8"/>
      <c r="CN31" s="8"/>
      <c r="CO31" s="8"/>
      <c r="CP31" s="8"/>
    </row>
    <row r="32" spans="1:94" ht="15.75" customHeight="1">
      <c r="A32" s="52">
        <v>46013</v>
      </c>
      <c r="B32" s="30">
        <v>26</v>
      </c>
      <c r="C32" s="42" t="s">
        <v>606</v>
      </c>
      <c r="D32" s="24" t="s">
        <v>205</v>
      </c>
      <c r="E32" s="24" t="s">
        <v>303</v>
      </c>
      <c r="F32" s="8"/>
      <c r="G32" s="24" t="s">
        <v>304</v>
      </c>
      <c r="H32" s="24" t="s">
        <v>305</v>
      </c>
      <c r="I32" s="24" t="s">
        <v>128</v>
      </c>
      <c r="J32" s="24" t="s">
        <v>45</v>
      </c>
      <c r="K32" s="24" t="s">
        <v>46</v>
      </c>
      <c r="L32" s="24" t="s">
        <v>306</v>
      </c>
      <c r="M32" s="24">
        <v>2</v>
      </c>
      <c r="N32" s="36">
        <v>0.112</v>
      </c>
      <c r="O32" s="36">
        <v>0.68600000000000005</v>
      </c>
      <c r="P32" s="36">
        <v>0.86399999999999999</v>
      </c>
      <c r="Q32" s="36">
        <v>0.92800000000000005</v>
      </c>
      <c r="R32" s="8"/>
      <c r="S32" s="8"/>
      <c r="T32" s="8"/>
      <c r="U32" s="36">
        <v>8.1000000000000003E-2</v>
      </c>
      <c r="V32" s="40">
        <v>0.03</v>
      </c>
      <c r="W32" s="36">
        <v>3.0000000000000001E-3</v>
      </c>
      <c r="X32" s="8"/>
      <c r="Y32" s="8"/>
      <c r="Z32" s="8"/>
      <c r="AA32" s="36">
        <v>0.217</v>
      </c>
      <c r="AB32" s="40">
        <v>0.1</v>
      </c>
      <c r="AC32" s="36">
        <v>3.2000000000000001E-2</v>
      </c>
      <c r="AD32" s="8"/>
      <c r="AE32" s="8"/>
      <c r="AF32" s="8"/>
      <c r="AG32" s="36">
        <v>1.2999999999999999E-2</v>
      </c>
      <c r="AH32" s="36">
        <v>6.0000000000000001E-3</v>
      </c>
      <c r="AI32" s="36">
        <v>3.5999999999999997E-2</v>
      </c>
      <c r="AJ32" s="8"/>
      <c r="AK32" s="8"/>
      <c r="AL32" s="8"/>
      <c r="AM32" s="36">
        <v>3.0000000000000001E-3</v>
      </c>
      <c r="AN32" s="40">
        <v>0</v>
      </c>
      <c r="AO32" s="36">
        <v>1E-3</v>
      </c>
      <c r="AP32" s="8"/>
      <c r="AQ32" s="8"/>
      <c r="AR32" s="8"/>
      <c r="AS32" s="24">
        <v>34.299999999999997</v>
      </c>
      <c r="AT32" s="24">
        <v>14.2</v>
      </c>
      <c r="AU32" s="24">
        <v>12</v>
      </c>
      <c r="AV32" s="8"/>
      <c r="AW32" s="8"/>
      <c r="AX32" s="8"/>
      <c r="AY32" s="36">
        <v>0.185</v>
      </c>
      <c r="AZ32" s="40">
        <v>0.2</v>
      </c>
      <c r="BA32" s="36">
        <v>0.20300000000000001</v>
      </c>
      <c r="BB32" s="8"/>
      <c r="BC32" s="8"/>
      <c r="BD32" s="8"/>
      <c r="BE32" s="36">
        <v>0.38800000000000001</v>
      </c>
      <c r="BF32" s="36">
        <v>0.307</v>
      </c>
      <c r="BG32" s="36">
        <v>0.26500000000000001</v>
      </c>
      <c r="BH32" s="8"/>
      <c r="BI32" s="8"/>
      <c r="BJ32" s="8"/>
      <c r="BK32" s="36">
        <v>6.9000000000000006E-2</v>
      </c>
      <c r="BL32" s="36">
        <v>6.7000000000000004E-2</v>
      </c>
      <c r="BM32" s="36">
        <v>0.06</v>
      </c>
      <c r="BN32" s="8"/>
      <c r="BO32" s="8"/>
      <c r="BP32" s="8"/>
      <c r="BQ32" s="24">
        <v>5</v>
      </c>
      <c r="BR32" s="24">
        <v>3</v>
      </c>
      <c r="BS32" s="24">
        <v>12</v>
      </c>
      <c r="BT32" s="8"/>
      <c r="BU32" s="8"/>
      <c r="BV32" s="8"/>
      <c r="BW32" s="24" t="s">
        <v>307</v>
      </c>
      <c r="BX32" s="24" t="s">
        <v>547</v>
      </c>
      <c r="BY32" s="24" t="s">
        <v>270</v>
      </c>
      <c r="BZ32" s="8"/>
      <c r="CA32" s="8"/>
      <c r="CB32" s="8"/>
      <c r="CC32" s="24" t="s">
        <v>308</v>
      </c>
      <c r="CD32" s="24" t="s">
        <v>308</v>
      </c>
      <c r="CE32" s="24" t="s">
        <v>308</v>
      </c>
      <c r="CF32" s="8"/>
      <c r="CG32" s="8"/>
      <c r="CH32" s="8"/>
      <c r="CI32" s="24" t="s">
        <v>548</v>
      </c>
      <c r="CJ32" s="8"/>
      <c r="CK32" s="8"/>
      <c r="CL32" s="8"/>
      <c r="CM32" s="8"/>
      <c r="CN32" s="24" t="s">
        <v>549</v>
      </c>
      <c r="CO32" s="8"/>
      <c r="CP32" s="8"/>
    </row>
    <row r="33" spans="1:94" ht="15.75" customHeight="1">
      <c r="A33" s="47">
        <v>46014</v>
      </c>
      <c r="B33" s="30">
        <v>27</v>
      </c>
      <c r="C33" s="42" t="s">
        <v>550</v>
      </c>
      <c r="D33" s="24" t="s">
        <v>99</v>
      </c>
      <c r="E33" s="24" t="s">
        <v>311</v>
      </c>
      <c r="F33" s="8"/>
      <c r="G33" s="24" t="s">
        <v>312</v>
      </c>
      <c r="H33" s="24" t="s">
        <v>313</v>
      </c>
      <c r="I33" s="24" t="s">
        <v>314</v>
      </c>
      <c r="J33" s="24" t="s">
        <v>45</v>
      </c>
      <c r="K33" s="24" t="s">
        <v>46</v>
      </c>
      <c r="L33" s="24" t="s">
        <v>315</v>
      </c>
      <c r="M33" s="61">
        <v>45718</v>
      </c>
      <c r="N33" s="36">
        <v>9.3299999999999994E-2</v>
      </c>
      <c r="O33" s="36">
        <v>0.68700000000000006</v>
      </c>
      <c r="P33" s="36">
        <v>0.78200000000000003</v>
      </c>
      <c r="Q33" s="8"/>
      <c r="R33" s="8"/>
      <c r="S33" s="8"/>
      <c r="T33" s="8"/>
      <c r="U33" s="36">
        <v>6.9000000000000006E-2</v>
      </c>
      <c r="V33" s="36">
        <v>2.1000000000000001E-2</v>
      </c>
      <c r="W33" s="8"/>
      <c r="X33" s="8"/>
      <c r="Y33" s="8"/>
      <c r="Z33" s="8"/>
      <c r="AA33" s="36">
        <v>0.221</v>
      </c>
      <c r="AB33" s="36">
        <v>0.18099999999999999</v>
      </c>
      <c r="AC33" s="8"/>
      <c r="AD33" s="8"/>
      <c r="AE33" s="8"/>
      <c r="AF33" s="8"/>
      <c r="AG33" s="36">
        <v>1.2999999999999999E-2</v>
      </c>
      <c r="AH33" s="36">
        <v>1.4999999999999999E-2</v>
      </c>
      <c r="AI33" s="8"/>
      <c r="AJ33" s="8"/>
      <c r="AK33" s="8"/>
      <c r="AL33" s="8"/>
      <c r="AM33" s="40">
        <v>0.01</v>
      </c>
      <c r="AN33" s="36">
        <v>1E-3</v>
      </c>
      <c r="AO33" s="8"/>
      <c r="AP33" s="8"/>
      <c r="AQ33" s="8"/>
      <c r="AR33" s="8"/>
      <c r="AS33" s="24">
        <v>34.799999999999997</v>
      </c>
      <c r="AT33" s="24">
        <v>21.7</v>
      </c>
      <c r="AU33" s="8"/>
      <c r="AV33" s="8"/>
      <c r="AW33" s="8"/>
      <c r="AX33" s="8"/>
      <c r="AY33" s="36">
        <v>0.97099999999999997</v>
      </c>
      <c r="AZ33" s="36">
        <v>0.97299999999999998</v>
      </c>
      <c r="BA33" s="8"/>
      <c r="BB33" s="8"/>
      <c r="BC33" s="8"/>
      <c r="BD33" s="8"/>
      <c r="BE33" s="40">
        <v>0.39</v>
      </c>
      <c r="BF33" s="36">
        <v>0.317</v>
      </c>
      <c r="BG33" s="8"/>
      <c r="BH33" s="8"/>
      <c r="BI33" s="8"/>
      <c r="BJ33" s="8"/>
      <c r="BK33" s="40">
        <v>7.0000000000000007E-2</v>
      </c>
      <c r="BL33" s="36">
        <v>6.8000000000000005E-2</v>
      </c>
      <c r="BM33" s="8"/>
      <c r="BN33" s="8"/>
      <c r="BO33" s="8"/>
      <c r="BP33" s="8"/>
      <c r="BQ33" s="24">
        <v>8</v>
      </c>
      <c r="BR33" s="24">
        <v>6</v>
      </c>
      <c r="BS33" s="8"/>
      <c r="BT33" s="8"/>
      <c r="BU33" s="8"/>
      <c r="BV33" s="8"/>
      <c r="BW33" s="24" t="s">
        <v>316</v>
      </c>
      <c r="BX33" s="24" t="s">
        <v>316</v>
      </c>
      <c r="BY33" s="8"/>
      <c r="BZ33" s="8"/>
      <c r="CA33" s="8"/>
      <c r="CB33" s="8"/>
      <c r="CC33" s="24" t="s">
        <v>317</v>
      </c>
      <c r="CD33" s="24" t="s">
        <v>551</v>
      </c>
      <c r="CE33" s="8"/>
      <c r="CF33" s="8"/>
      <c r="CG33" s="8"/>
      <c r="CH33" s="8"/>
      <c r="CI33" s="24" t="s">
        <v>318</v>
      </c>
      <c r="CJ33" s="8"/>
      <c r="CK33" s="8"/>
      <c r="CL33" s="8"/>
      <c r="CM33" s="8"/>
      <c r="CN33" s="8"/>
      <c r="CO33" s="8"/>
      <c r="CP33" s="8"/>
    </row>
    <row r="34" spans="1:94" ht="15.75" customHeight="1">
      <c r="A34" s="47">
        <v>46015</v>
      </c>
      <c r="B34" s="30">
        <v>28</v>
      </c>
      <c r="C34" s="42" t="s">
        <v>552</v>
      </c>
      <c r="D34" s="24" t="s">
        <v>553</v>
      </c>
      <c r="E34" s="24" t="s">
        <v>320</v>
      </c>
      <c r="F34" s="8"/>
      <c r="G34" s="24" t="s">
        <v>321</v>
      </c>
      <c r="H34" s="24" t="s">
        <v>322</v>
      </c>
      <c r="I34" s="24" t="s">
        <v>323</v>
      </c>
      <c r="J34" s="24" t="s">
        <v>45</v>
      </c>
      <c r="K34" s="24" t="s">
        <v>46</v>
      </c>
      <c r="L34" s="24" t="s">
        <v>324</v>
      </c>
      <c r="M34" s="61">
        <v>45718</v>
      </c>
      <c r="N34" s="36">
        <v>0.109</v>
      </c>
      <c r="O34" s="36">
        <v>0.54300000000000004</v>
      </c>
      <c r="P34" s="36">
        <v>0.745</v>
      </c>
      <c r="Q34" s="8"/>
      <c r="R34" s="8"/>
      <c r="S34" s="8"/>
      <c r="T34" s="8"/>
      <c r="U34" s="40">
        <v>0.11</v>
      </c>
      <c r="V34" s="36">
        <v>1.4E-2</v>
      </c>
      <c r="W34" s="8"/>
      <c r="X34" s="8"/>
      <c r="Y34" s="8"/>
      <c r="Z34" s="8"/>
      <c r="AA34" s="36">
        <v>0.34399999999999997</v>
      </c>
      <c r="AB34" s="36">
        <v>0.24099999999999999</v>
      </c>
      <c r="AC34" s="8"/>
      <c r="AD34" s="8"/>
      <c r="AE34" s="8"/>
      <c r="AF34" s="8"/>
      <c r="AG34" s="36">
        <v>3.0000000000000001E-3</v>
      </c>
      <c r="AH34" s="40">
        <v>0</v>
      </c>
      <c r="AI34" s="8"/>
      <c r="AJ34" s="8"/>
      <c r="AK34" s="8"/>
      <c r="AL34" s="8"/>
      <c r="AM34" s="40">
        <v>0</v>
      </c>
      <c r="AN34" s="40">
        <v>0</v>
      </c>
      <c r="AO34" s="8"/>
      <c r="AP34" s="8"/>
      <c r="AQ34" s="8"/>
      <c r="AR34" s="8"/>
      <c r="AS34" s="24">
        <v>45.8</v>
      </c>
      <c r="AT34" s="24">
        <v>21.5</v>
      </c>
      <c r="AU34" s="8"/>
      <c r="AV34" s="8"/>
      <c r="AW34" s="8"/>
      <c r="AX34" s="8"/>
      <c r="AY34" s="36">
        <v>0.98199999999999998</v>
      </c>
      <c r="AZ34" s="36">
        <v>0.99399999999999999</v>
      </c>
      <c r="BA34" s="8"/>
      <c r="BB34" s="8"/>
      <c r="BC34" s="8"/>
      <c r="BD34" s="8"/>
      <c r="BE34" s="36">
        <v>0.28599999999999998</v>
      </c>
      <c r="BF34" s="36">
        <v>0.25</v>
      </c>
      <c r="BG34" s="8"/>
      <c r="BH34" s="8"/>
      <c r="BI34" s="8"/>
      <c r="BJ34" s="8"/>
      <c r="BK34" s="36">
        <v>7.6999999999999999E-2</v>
      </c>
      <c r="BL34" s="36">
        <v>7.0000000000000007E-2</v>
      </c>
      <c r="BM34" s="8"/>
      <c r="BN34" s="8"/>
      <c r="BO34" s="8"/>
      <c r="BP34" s="8"/>
      <c r="BQ34" s="24">
        <v>1</v>
      </c>
      <c r="BR34" s="24">
        <v>0</v>
      </c>
      <c r="BS34" s="8"/>
      <c r="BT34" s="8"/>
      <c r="BU34" s="8"/>
      <c r="BV34" s="8"/>
      <c r="BW34" s="24" t="s">
        <v>325</v>
      </c>
      <c r="BX34" s="24" t="s">
        <v>554</v>
      </c>
      <c r="BY34" s="8"/>
      <c r="BZ34" s="8"/>
      <c r="CA34" s="8"/>
      <c r="CB34" s="8"/>
      <c r="CC34" s="24" t="s">
        <v>326</v>
      </c>
      <c r="CD34" s="24" t="s">
        <v>326</v>
      </c>
      <c r="CE34" s="8"/>
      <c r="CF34" s="8"/>
      <c r="CG34" s="8"/>
      <c r="CH34" s="8"/>
      <c r="CI34" s="24" t="s">
        <v>327</v>
      </c>
      <c r="CJ34" s="8"/>
      <c r="CK34" s="8"/>
      <c r="CL34" s="8"/>
      <c r="CM34" s="8"/>
      <c r="CN34" s="8"/>
      <c r="CO34" s="8"/>
      <c r="CP34" s="8"/>
    </row>
    <row r="35" spans="1:94" ht="15.75" customHeight="1">
      <c r="A35" s="47">
        <v>46017</v>
      </c>
      <c r="B35" s="30">
        <v>29</v>
      </c>
      <c r="C35" s="42" t="s">
        <v>607</v>
      </c>
      <c r="D35" s="24" t="s">
        <v>88</v>
      </c>
      <c r="E35" s="24" t="s">
        <v>329</v>
      </c>
      <c r="F35" s="24" t="s">
        <v>330</v>
      </c>
      <c r="G35" s="8"/>
      <c r="H35" s="24" t="s">
        <v>331</v>
      </c>
      <c r="I35" s="24" t="s">
        <v>88</v>
      </c>
      <c r="J35" s="24" t="s">
        <v>332</v>
      </c>
      <c r="K35" s="24" t="s">
        <v>46</v>
      </c>
      <c r="L35" s="24" t="s">
        <v>333</v>
      </c>
      <c r="M35" s="61">
        <v>46083</v>
      </c>
      <c r="N35" s="36">
        <v>0.89400000000000002</v>
      </c>
      <c r="O35" s="36">
        <v>0.85799999999999998</v>
      </c>
      <c r="P35" s="8"/>
      <c r="Q35" s="8"/>
      <c r="R35" s="8"/>
      <c r="S35" s="8"/>
      <c r="T35" s="8"/>
      <c r="U35" s="36">
        <v>3.0000000000000001E-3</v>
      </c>
      <c r="V35" s="36">
        <v>7.0000000000000001E-3</v>
      </c>
      <c r="W35" s="8"/>
      <c r="X35" s="8"/>
      <c r="Y35" s="8"/>
      <c r="Z35" s="8"/>
      <c r="AA35" s="40">
        <v>7.0000000000000007E-2</v>
      </c>
      <c r="AB35" s="40">
        <v>6.4000000000000001E-2</v>
      </c>
      <c r="AC35" s="8"/>
      <c r="AD35" s="8"/>
      <c r="AE35" s="8"/>
      <c r="AF35" s="8"/>
      <c r="AG35" s="36">
        <v>2.8000000000000001E-2</v>
      </c>
      <c r="AH35" s="36">
        <v>6.2E-2</v>
      </c>
      <c r="AI35" s="8"/>
      <c r="AJ35" s="8"/>
      <c r="AK35" s="8"/>
      <c r="AL35" s="8"/>
      <c r="AM35" s="36">
        <v>5.0000000000000001E-3</v>
      </c>
      <c r="AN35" s="36">
        <v>8.9999999999999993E-3</v>
      </c>
      <c r="AO35" s="8"/>
      <c r="AP35" s="8"/>
      <c r="AQ35" s="8"/>
      <c r="AR35" s="8"/>
      <c r="AS35" s="24">
        <v>14.3</v>
      </c>
      <c r="AT35" s="24">
        <v>23.8</v>
      </c>
      <c r="AU35" s="8"/>
      <c r="AV35" s="8"/>
      <c r="AW35" s="8"/>
      <c r="AX35" s="8"/>
      <c r="AY35" s="40">
        <v>0.26</v>
      </c>
      <c r="AZ35" s="36">
        <v>0.39600000000000002</v>
      </c>
      <c r="BA35" s="8"/>
      <c r="BB35" s="8"/>
      <c r="BC35" s="8"/>
      <c r="BD35" s="8"/>
      <c r="BE35" s="36">
        <v>0.28699999999999998</v>
      </c>
      <c r="BF35" s="36">
        <v>0.32200000000000001</v>
      </c>
      <c r="BG35" s="8"/>
      <c r="BH35" s="8"/>
      <c r="BI35" s="8"/>
      <c r="BJ35" s="8"/>
      <c r="BK35" s="36">
        <v>6.2E-2</v>
      </c>
      <c r="BL35" s="24" t="s">
        <v>530</v>
      </c>
      <c r="BM35" s="8"/>
      <c r="BN35" s="8"/>
      <c r="BO35" s="8"/>
      <c r="BP35" s="8"/>
      <c r="BQ35" s="24">
        <v>11</v>
      </c>
      <c r="BR35" s="24">
        <v>12</v>
      </c>
      <c r="BS35" s="8"/>
      <c r="BT35" s="8"/>
      <c r="BU35" s="8"/>
      <c r="BV35" s="8"/>
      <c r="BW35" s="24" t="s">
        <v>325</v>
      </c>
      <c r="BX35" s="24" t="s">
        <v>608</v>
      </c>
      <c r="BY35" s="8"/>
      <c r="BZ35" s="8"/>
      <c r="CA35" s="8"/>
      <c r="CB35" s="8"/>
      <c r="CC35" s="24" t="s">
        <v>334</v>
      </c>
      <c r="CD35" s="24" t="s">
        <v>609</v>
      </c>
      <c r="CE35" s="8"/>
      <c r="CF35" s="8"/>
      <c r="CG35" s="8"/>
      <c r="CH35" s="8"/>
      <c r="CI35" s="24" t="s">
        <v>610</v>
      </c>
    </row>
    <row r="36" spans="1:94" ht="15.75" customHeight="1">
      <c r="A36" s="24" t="s">
        <v>335</v>
      </c>
      <c r="B36" s="30">
        <v>30</v>
      </c>
      <c r="C36" s="42" t="s">
        <v>611</v>
      </c>
      <c r="D36" s="24"/>
      <c r="E36" s="24" t="s">
        <v>337</v>
      </c>
      <c r="F36" s="24" t="s">
        <v>338</v>
      </c>
      <c r="G36" s="8"/>
      <c r="H36" s="24" t="s">
        <v>339</v>
      </c>
      <c r="I36" s="24" t="s">
        <v>58</v>
      </c>
      <c r="J36" s="24" t="s">
        <v>73</v>
      </c>
      <c r="K36" s="24" t="s">
        <v>340</v>
      </c>
      <c r="L36" s="24" t="s">
        <v>341</v>
      </c>
      <c r="M36" s="61">
        <v>46083</v>
      </c>
      <c r="N36" s="36">
        <v>0.109</v>
      </c>
      <c r="O36" s="36">
        <v>0.41399999999999998</v>
      </c>
      <c r="P36" s="36">
        <v>0.66500000000000004</v>
      </c>
      <c r="Q36" s="8"/>
      <c r="R36" s="8"/>
      <c r="S36" s="8"/>
      <c r="T36" s="8"/>
      <c r="U36" s="36">
        <v>0.27700000000000002</v>
      </c>
      <c r="V36" s="36">
        <v>0.14799999999999999</v>
      </c>
      <c r="W36" s="8"/>
      <c r="X36" s="8"/>
      <c r="Y36" s="8"/>
      <c r="Z36" s="8"/>
      <c r="AA36" s="36">
        <v>0.28899999999999998</v>
      </c>
      <c r="AB36" s="36">
        <v>0.17199999999999999</v>
      </c>
      <c r="AC36" s="8"/>
      <c r="AD36" s="8"/>
      <c r="AE36" s="8"/>
      <c r="AF36" s="8"/>
      <c r="AG36" s="40">
        <v>0.02</v>
      </c>
      <c r="AH36" s="36">
        <v>1.4999999999999999E-2</v>
      </c>
      <c r="AI36" s="8"/>
      <c r="AJ36" s="8"/>
      <c r="AK36" s="8"/>
      <c r="AL36" s="8"/>
      <c r="AM36" s="40">
        <v>0</v>
      </c>
      <c r="AN36" s="40">
        <v>0</v>
      </c>
      <c r="AO36" s="8"/>
      <c r="AP36" s="8"/>
      <c r="AQ36" s="8"/>
      <c r="AR36" s="8"/>
      <c r="AS36" s="24">
        <v>72.2</v>
      </c>
      <c r="AT36" s="24">
        <v>41</v>
      </c>
      <c r="AU36" s="8"/>
      <c r="AV36" s="8"/>
      <c r="AW36" s="8"/>
      <c r="AX36" s="8"/>
      <c r="AY36" s="36">
        <v>0.72699999999999998</v>
      </c>
      <c r="AZ36" s="36">
        <v>0.73699999999999999</v>
      </c>
      <c r="BA36" s="8"/>
      <c r="BB36" s="8"/>
      <c r="BC36" s="8"/>
      <c r="BD36" s="8"/>
      <c r="BE36" s="36">
        <v>0.41599999999999998</v>
      </c>
      <c r="BF36" s="36">
        <v>0.48799999999999999</v>
      </c>
      <c r="BG36" s="8"/>
      <c r="BH36" s="8"/>
      <c r="BI36" s="8"/>
      <c r="BJ36" s="8"/>
      <c r="BK36" s="36">
        <v>0.08</v>
      </c>
      <c r="BL36" s="36">
        <v>7.2999999999999995E-2</v>
      </c>
      <c r="BM36" s="8"/>
      <c r="BN36" s="8"/>
      <c r="BO36" s="8"/>
      <c r="BP36" s="8"/>
      <c r="BQ36" s="24">
        <v>7</v>
      </c>
      <c r="BR36" s="24">
        <v>7</v>
      </c>
      <c r="BS36" s="8"/>
      <c r="BT36" s="8"/>
      <c r="BU36" s="8"/>
      <c r="BV36" s="8"/>
      <c r="BW36" s="24" t="s">
        <v>316</v>
      </c>
      <c r="BX36" s="24" t="s">
        <v>143</v>
      </c>
      <c r="BY36" s="8"/>
      <c r="BZ36" s="8"/>
      <c r="CA36" s="8"/>
      <c r="CB36" s="8"/>
      <c r="CC36" s="24" t="s">
        <v>342</v>
      </c>
      <c r="CD36" s="24" t="s">
        <v>343</v>
      </c>
      <c r="CE36" s="24" t="s">
        <v>612</v>
      </c>
      <c r="CF36" s="8"/>
      <c r="CG36" s="8"/>
      <c r="CH36" s="8"/>
      <c r="CI36" s="8"/>
    </row>
    <row r="37" spans="1:94" ht="15.75" customHeight="1">
      <c r="A37" s="63">
        <v>46036</v>
      </c>
      <c r="B37" s="30">
        <v>31</v>
      </c>
      <c r="C37" s="65" t="s">
        <v>555</v>
      </c>
      <c r="D37" s="24" t="s">
        <v>553</v>
      </c>
      <c r="E37" s="24" t="s">
        <v>349</v>
      </c>
      <c r="F37" s="8"/>
      <c r="G37" s="24" t="s">
        <v>350</v>
      </c>
      <c r="H37" s="24" t="s">
        <v>351</v>
      </c>
      <c r="I37" s="24" t="s">
        <v>323</v>
      </c>
      <c r="J37" s="24" t="s">
        <v>73</v>
      </c>
      <c r="K37" s="24" t="s">
        <v>340</v>
      </c>
      <c r="L37" s="24" t="s">
        <v>352</v>
      </c>
      <c r="M37" s="61">
        <v>46083</v>
      </c>
      <c r="N37" s="36">
        <v>0.13100000000000001</v>
      </c>
      <c r="O37" s="36">
        <v>0.51900000000000002</v>
      </c>
      <c r="P37" s="8"/>
      <c r="Q37" s="8"/>
      <c r="R37" s="8"/>
      <c r="S37" s="8"/>
      <c r="T37" s="8"/>
      <c r="U37" s="36">
        <v>0.20899999999999999</v>
      </c>
      <c r="V37" s="8"/>
      <c r="W37" s="8"/>
      <c r="X37" s="8"/>
      <c r="Y37" s="8"/>
      <c r="Z37" s="8"/>
      <c r="AA37" s="36">
        <v>0.27200000000000002</v>
      </c>
      <c r="AB37" s="8"/>
      <c r="AC37" s="8"/>
      <c r="AD37" s="8"/>
      <c r="AE37" s="8"/>
      <c r="AF37" s="8"/>
      <c r="AG37" s="40">
        <v>0</v>
      </c>
      <c r="AH37" s="8"/>
      <c r="AI37" s="8"/>
      <c r="AJ37" s="8"/>
      <c r="AK37" s="8"/>
      <c r="AL37" s="8"/>
      <c r="AM37" s="40">
        <v>0</v>
      </c>
      <c r="AN37" s="8"/>
      <c r="AO37" s="8"/>
      <c r="AP37" s="8"/>
      <c r="AQ37" s="8"/>
      <c r="AR37" s="8"/>
      <c r="AS37" s="24">
        <v>55.2</v>
      </c>
      <c r="AT37" s="8"/>
      <c r="AU37" s="8"/>
      <c r="AV37" s="8"/>
      <c r="AW37" s="8"/>
      <c r="AX37" s="8"/>
      <c r="AY37" s="40">
        <v>0.6</v>
      </c>
      <c r="AZ37" s="8"/>
      <c r="BA37" s="8"/>
      <c r="BB37" s="8"/>
      <c r="BC37" s="8"/>
      <c r="BD37" s="8"/>
      <c r="BE37" s="36">
        <v>0.38400000000000001</v>
      </c>
      <c r="BF37" s="8"/>
      <c r="BG37" s="8"/>
      <c r="BH37" s="8"/>
      <c r="BI37" s="8"/>
      <c r="BJ37" s="8"/>
      <c r="BK37" s="36">
        <v>7.9000000000000001E-2</v>
      </c>
      <c r="BL37" s="8"/>
      <c r="BM37" s="8"/>
      <c r="BN37" s="8"/>
      <c r="BO37" s="8"/>
      <c r="BP37" s="8"/>
      <c r="BQ37" s="24">
        <v>0</v>
      </c>
      <c r="BR37" s="8"/>
      <c r="BS37" s="8"/>
      <c r="BT37" s="8"/>
      <c r="BU37" s="8"/>
      <c r="BV37" s="8"/>
      <c r="BW37" s="24" t="s">
        <v>112</v>
      </c>
      <c r="BX37" s="8"/>
      <c r="BY37" s="8"/>
      <c r="BZ37" s="8"/>
      <c r="CA37" s="8"/>
      <c r="CB37" s="8"/>
      <c r="CC37" s="24" t="s">
        <v>556</v>
      </c>
      <c r="CD37" s="8"/>
      <c r="CE37" s="8"/>
      <c r="CF37" s="8"/>
      <c r="CG37" s="8"/>
      <c r="CH37" s="8"/>
      <c r="CI37" s="8"/>
    </row>
    <row r="38" spans="1:94" ht="15.75" customHeight="1">
      <c r="A38" s="63">
        <v>46037</v>
      </c>
      <c r="B38" s="30">
        <v>32</v>
      </c>
      <c r="C38" s="31" t="s">
        <v>557</v>
      </c>
      <c r="D38" s="24" t="s">
        <v>128</v>
      </c>
      <c r="E38" s="24" t="s">
        <v>354</v>
      </c>
      <c r="F38" s="8"/>
      <c r="G38" s="24" t="s">
        <v>355</v>
      </c>
      <c r="H38" s="24" t="s">
        <v>356</v>
      </c>
      <c r="I38" s="24" t="s">
        <v>58</v>
      </c>
      <c r="J38" s="24" t="s">
        <v>73</v>
      </c>
      <c r="K38" s="24" t="s">
        <v>46</v>
      </c>
      <c r="L38" s="24" t="s">
        <v>357</v>
      </c>
      <c r="M38" s="24">
        <v>6</v>
      </c>
      <c r="N38" s="36">
        <v>0.72299999999999998</v>
      </c>
      <c r="O38" s="8"/>
      <c r="P38" s="8"/>
      <c r="Q38" s="8"/>
      <c r="R38" s="8"/>
      <c r="S38" s="8"/>
      <c r="T38" s="8"/>
      <c r="U38" s="36">
        <v>5.6000000000000001E-2</v>
      </c>
      <c r="V38" s="8"/>
      <c r="W38" s="8"/>
      <c r="X38" s="8"/>
      <c r="Y38" s="8"/>
      <c r="Z38" s="8"/>
      <c r="AA38" s="36">
        <v>0.20799999999999999</v>
      </c>
      <c r="AB38" s="8"/>
      <c r="AC38" s="8"/>
      <c r="AD38" s="8"/>
      <c r="AE38" s="8"/>
      <c r="AF38" s="8"/>
      <c r="AG38" s="36">
        <v>8.9999999999999993E-3</v>
      </c>
      <c r="AH38" s="8"/>
      <c r="AI38" s="8"/>
      <c r="AJ38" s="8"/>
      <c r="AK38" s="8"/>
      <c r="AL38" s="8"/>
      <c r="AM38" s="36">
        <v>4.0000000000000001E-3</v>
      </c>
      <c r="AN38" s="8"/>
      <c r="AO38" s="8"/>
      <c r="AP38" s="8"/>
      <c r="AQ38" s="8"/>
      <c r="AR38" s="8"/>
      <c r="AS38" s="24">
        <v>29</v>
      </c>
      <c r="AT38" s="8"/>
      <c r="AU38" s="8"/>
      <c r="AV38" s="8"/>
      <c r="AW38" s="8"/>
      <c r="AX38" s="8"/>
      <c r="AY38" s="36">
        <v>0.56200000000000006</v>
      </c>
      <c r="AZ38" s="8"/>
      <c r="BA38" s="8"/>
      <c r="BB38" s="8"/>
      <c r="BC38" s="8"/>
      <c r="BD38" s="8"/>
      <c r="BE38" s="36">
        <v>0.35499999999999998</v>
      </c>
      <c r="BF38" s="8"/>
      <c r="BG38" s="8"/>
      <c r="BH38" s="8"/>
      <c r="BI38" s="8"/>
      <c r="BJ38" s="8"/>
      <c r="BK38" s="36">
        <v>6.9000000000000006E-2</v>
      </c>
      <c r="BL38" s="8"/>
      <c r="BM38" s="8"/>
      <c r="BN38" s="8"/>
      <c r="BO38" s="8"/>
      <c r="BP38" s="8"/>
      <c r="BQ38" s="24">
        <v>5</v>
      </c>
      <c r="BR38" s="8"/>
      <c r="BS38" s="8"/>
      <c r="BT38" s="8"/>
      <c r="BU38" s="8"/>
      <c r="BV38" s="8"/>
      <c r="BW38" s="24" t="s">
        <v>558</v>
      </c>
      <c r="BX38" s="8"/>
      <c r="BY38" s="8"/>
      <c r="BZ38" s="8"/>
      <c r="CA38" s="8"/>
      <c r="CB38" s="8"/>
      <c r="CC38" s="24" t="s">
        <v>559</v>
      </c>
      <c r="CD38" s="8"/>
      <c r="CE38" s="8"/>
      <c r="CF38" s="8"/>
      <c r="CG38" s="8"/>
      <c r="CH38" s="8"/>
      <c r="CI38" s="8"/>
    </row>
    <row r="39" spans="1:94" ht="18.75" customHeight="1">
      <c r="A39" s="63">
        <v>46050</v>
      </c>
      <c r="B39" s="30">
        <v>33</v>
      </c>
      <c r="C39" s="64" t="s">
        <v>497</v>
      </c>
      <c r="D39" s="66" t="s">
        <v>215</v>
      </c>
      <c r="E39" s="66" t="s">
        <v>560</v>
      </c>
      <c r="F39" s="66" t="s">
        <v>561</v>
      </c>
      <c r="H39" s="24" t="s">
        <v>562</v>
      </c>
      <c r="I39" s="24" t="s">
        <v>499</v>
      </c>
      <c r="J39" s="24" t="s">
        <v>73</v>
      </c>
      <c r="K39" s="24" t="s">
        <v>563</v>
      </c>
      <c r="L39" s="24" t="s">
        <v>564</v>
      </c>
      <c r="M39" s="66">
        <v>3</v>
      </c>
      <c r="N39" s="78">
        <v>6.9900000000000004E-2</v>
      </c>
    </row>
    <row r="40" spans="1:94" ht="15.75" customHeight="1">
      <c r="A40" s="74">
        <v>46052</v>
      </c>
      <c r="B40" s="30">
        <v>34</v>
      </c>
      <c r="C40" s="64" t="s">
        <v>498</v>
      </c>
      <c r="D40" s="66" t="s">
        <v>88</v>
      </c>
      <c r="E40" s="66" t="s">
        <v>565</v>
      </c>
      <c r="G40" s="66" t="s">
        <v>566</v>
      </c>
      <c r="H40" s="24" t="s">
        <v>567</v>
      </c>
      <c r="I40" s="24" t="s">
        <v>88</v>
      </c>
      <c r="J40" s="24" t="s">
        <v>45</v>
      </c>
      <c r="K40" s="24" t="s">
        <v>563</v>
      </c>
      <c r="L40" s="24" t="s">
        <v>568</v>
      </c>
      <c r="M40" s="66">
        <v>6</v>
      </c>
      <c r="N40" s="78">
        <v>0.13800000000000001</v>
      </c>
    </row>
    <row r="41" spans="1:94" ht="15.75" customHeight="1">
      <c r="B41" s="1"/>
      <c r="C41" s="1"/>
    </row>
    <row r="42" spans="1:94" ht="15.75" customHeight="1">
      <c r="B42" s="1"/>
      <c r="C42" s="1"/>
    </row>
    <row r="43" spans="1:94" ht="15.75" customHeight="1">
      <c r="B43" s="1"/>
      <c r="C43" s="1"/>
    </row>
    <row r="44" spans="1:94" ht="15.75" customHeight="1">
      <c r="B44" s="1"/>
      <c r="C44" s="1"/>
    </row>
    <row r="45" spans="1:94" ht="15.75" customHeight="1">
      <c r="B45" s="1"/>
      <c r="C45" s="1"/>
    </row>
    <row r="46" spans="1:94" ht="15.75" customHeight="1">
      <c r="B46" s="1"/>
      <c r="C46" s="1"/>
    </row>
    <row r="47" spans="1:94" ht="15.75" customHeight="1">
      <c r="B47" s="1"/>
      <c r="C47" s="1"/>
    </row>
    <row r="48" spans="1:94" ht="15.75" customHeight="1">
      <c r="B48" s="1"/>
      <c r="C48" s="1"/>
    </row>
    <row r="49" spans="2:3" ht="15.75" customHeight="1">
      <c r="B49" s="1"/>
      <c r="C49" s="1"/>
    </row>
    <row r="50" spans="2:3" ht="15.75" customHeight="1">
      <c r="B50" s="1"/>
      <c r="C50" s="1"/>
    </row>
    <row r="51" spans="2:3" ht="15.75" customHeight="1">
      <c r="B51" s="1"/>
      <c r="C51" s="1"/>
    </row>
    <row r="52" spans="2:3" ht="15.75" customHeight="1">
      <c r="B52" s="1"/>
      <c r="C52" s="1"/>
    </row>
    <row r="53" spans="2:3" ht="15.75" customHeight="1">
      <c r="B53" s="1"/>
      <c r="C53" s="1"/>
    </row>
    <row r="54" spans="2:3" ht="15.75" customHeight="1">
      <c r="B54" s="1"/>
      <c r="C54" s="1"/>
    </row>
    <row r="55" spans="2:3" ht="15.75" customHeight="1">
      <c r="B55" s="1"/>
      <c r="C55" s="1"/>
    </row>
    <row r="56" spans="2:3" ht="15.75" customHeight="1">
      <c r="B56" s="1"/>
      <c r="C56" s="1"/>
    </row>
    <row r="57" spans="2:3" ht="15.75" customHeight="1">
      <c r="B57" s="1"/>
      <c r="C57" s="1"/>
    </row>
    <row r="58" spans="2:3" ht="15.75" customHeight="1">
      <c r="B58" s="1"/>
      <c r="C58" s="1"/>
    </row>
    <row r="59" spans="2:3" ht="15.75" customHeight="1">
      <c r="B59" s="1"/>
      <c r="C59" s="1"/>
    </row>
    <row r="60" spans="2:3" ht="15.75" customHeight="1">
      <c r="B60" s="1"/>
      <c r="C60" s="1"/>
    </row>
    <row r="61" spans="2:3" ht="15.75" customHeight="1">
      <c r="B61" s="1"/>
      <c r="C61" s="1"/>
    </row>
    <row r="62" spans="2:3" ht="15.75" customHeight="1">
      <c r="B62" s="1"/>
      <c r="C62" s="1"/>
    </row>
    <row r="63" spans="2:3" ht="15.75" customHeight="1">
      <c r="B63" s="1"/>
      <c r="C63" s="1"/>
    </row>
    <row r="64" spans="2:3" ht="15.75" customHeight="1">
      <c r="B64" s="1"/>
      <c r="C64" s="1"/>
    </row>
    <row r="65" spans="2:3" ht="15.75" customHeight="1">
      <c r="B65" s="1"/>
      <c r="C65" s="1"/>
    </row>
    <row r="66" spans="2:3" ht="15.75" customHeight="1">
      <c r="B66" s="1"/>
      <c r="C66" s="1"/>
    </row>
    <row r="67" spans="2:3" ht="15.75" customHeight="1">
      <c r="B67" s="1"/>
      <c r="C67" s="1"/>
    </row>
    <row r="68" spans="2:3" ht="15.75" customHeight="1">
      <c r="B68" s="1"/>
      <c r="C68" s="1"/>
    </row>
    <row r="69" spans="2:3" ht="15.75" customHeight="1">
      <c r="B69" s="1"/>
      <c r="C69" s="1"/>
    </row>
    <row r="70" spans="2:3" ht="15.75" customHeight="1">
      <c r="B70" s="1"/>
      <c r="C70" s="1"/>
    </row>
    <row r="71" spans="2:3" ht="15.75" customHeight="1">
      <c r="B71" s="1"/>
      <c r="C71" s="1"/>
    </row>
    <row r="72" spans="2:3" ht="15.75" customHeight="1">
      <c r="B72" s="1"/>
      <c r="C72" s="1"/>
    </row>
    <row r="73" spans="2:3" ht="15.75" customHeight="1">
      <c r="B73" s="1"/>
      <c r="C73" s="1"/>
    </row>
    <row r="74" spans="2:3" ht="15.75" customHeight="1">
      <c r="B74" s="1"/>
      <c r="C74" s="1"/>
    </row>
    <row r="75" spans="2:3" ht="15.75" customHeight="1">
      <c r="B75" s="1"/>
      <c r="C75" s="1"/>
    </row>
    <row r="76" spans="2:3" ht="15.75" customHeight="1">
      <c r="B76" s="1"/>
      <c r="C76" s="1"/>
    </row>
    <row r="77" spans="2:3" ht="15.75" customHeight="1">
      <c r="B77" s="1"/>
      <c r="C77" s="1"/>
    </row>
    <row r="78" spans="2:3" ht="15.75" customHeight="1">
      <c r="B78" s="1"/>
      <c r="C78" s="1"/>
    </row>
    <row r="79" spans="2:3" ht="15.75" customHeight="1">
      <c r="B79" s="1"/>
      <c r="C79" s="1"/>
    </row>
    <row r="80" spans="2:3" ht="15.75" customHeight="1">
      <c r="B80" s="1"/>
      <c r="C80" s="1"/>
    </row>
    <row r="81" spans="2:3" ht="15.75" customHeight="1">
      <c r="B81" s="1"/>
      <c r="C81" s="1"/>
    </row>
    <row r="82" spans="2:3" ht="15.75" customHeight="1">
      <c r="B82" s="1"/>
      <c r="C82" s="1"/>
    </row>
    <row r="83" spans="2:3" ht="15.75" customHeight="1">
      <c r="B83" s="1"/>
      <c r="C83" s="1"/>
    </row>
    <row r="84" spans="2:3" ht="15.75" customHeight="1">
      <c r="B84" s="1"/>
      <c r="C84" s="1"/>
    </row>
    <row r="85" spans="2:3" ht="15.75" customHeight="1">
      <c r="B85" s="1"/>
      <c r="C85" s="1"/>
    </row>
    <row r="86" spans="2:3" ht="15.75" customHeight="1">
      <c r="B86" s="1"/>
      <c r="C86" s="1"/>
    </row>
    <row r="87" spans="2:3" ht="15.75" customHeight="1">
      <c r="B87" s="1"/>
      <c r="C87" s="1"/>
    </row>
    <row r="88" spans="2:3" ht="15.75" customHeight="1">
      <c r="B88" s="1"/>
      <c r="C88" s="1"/>
    </row>
    <row r="89" spans="2:3" ht="15.75" customHeight="1">
      <c r="B89" s="1"/>
      <c r="C89" s="1"/>
    </row>
    <row r="90" spans="2:3" ht="15.75" customHeight="1">
      <c r="B90" s="1"/>
      <c r="C90" s="1"/>
    </row>
    <row r="91" spans="2:3" ht="15.75" customHeight="1">
      <c r="B91" s="1"/>
      <c r="C91" s="1"/>
    </row>
    <row r="92" spans="2:3" ht="15.75" customHeight="1">
      <c r="B92" s="1"/>
      <c r="C92" s="1"/>
    </row>
    <row r="93" spans="2:3" ht="15.75" customHeight="1">
      <c r="B93" s="1"/>
      <c r="C93" s="1"/>
    </row>
    <row r="94" spans="2:3" ht="15.75" customHeight="1">
      <c r="B94" s="1"/>
      <c r="C94" s="1"/>
    </row>
    <row r="95" spans="2:3" ht="15.75" customHeight="1">
      <c r="B95" s="1"/>
      <c r="C95" s="1"/>
    </row>
    <row r="96" spans="2:3" ht="15.75" customHeight="1">
      <c r="B96" s="1"/>
      <c r="C96" s="1"/>
    </row>
    <row r="97" spans="2:3" ht="15.75" customHeight="1">
      <c r="B97" s="1"/>
      <c r="C97" s="1"/>
    </row>
    <row r="98" spans="2:3" ht="15.75" customHeight="1">
      <c r="B98" s="1"/>
      <c r="C98" s="1"/>
    </row>
    <row r="99" spans="2:3" ht="15.75" customHeight="1">
      <c r="B99" s="1"/>
      <c r="C99" s="1"/>
    </row>
    <row r="100" spans="2:3" ht="15.75" customHeight="1">
      <c r="B100" s="1"/>
      <c r="C100" s="1"/>
    </row>
    <row r="101" spans="2:3" ht="15.75" customHeight="1">
      <c r="B101" s="1"/>
      <c r="C101" s="1"/>
    </row>
    <row r="102" spans="2:3" ht="15.75" customHeight="1">
      <c r="B102" s="1"/>
      <c r="C102" s="1"/>
    </row>
    <row r="103" spans="2:3" ht="15.75" customHeight="1">
      <c r="B103" s="1"/>
      <c r="C103" s="1"/>
    </row>
    <row r="104" spans="2:3" ht="15.75" customHeight="1">
      <c r="B104" s="1"/>
      <c r="C104" s="1"/>
    </row>
    <row r="105" spans="2:3" ht="15.75" customHeight="1">
      <c r="B105" s="1"/>
      <c r="C105" s="1"/>
    </row>
    <row r="106" spans="2:3" ht="15.75" customHeight="1">
      <c r="B106" s="1"/>
      <c r="C106" s="1"/>
    </row>
    <row r="107" spans="2:3" ht="15.75" customHeight="1">
      <c r="B107" s="1"/>
      <c r="C107" s="1"/>
    </row>
    <row r="108" spans="2:3" ht="15.75" customHeight="1">
      <c r="B108" s="1"/>
      <c r="C108" s="1"/>
    </row>
    <row r="109" spans="2:3" ht="15.75" customHeight="1">
      <c r="B109" s="1"/>
      <c r="C109" s="1"/>
    </row>
    <row r="110" spans="2:3" ht="15.75" customHeight="1">
      <c r="B110" s="1"/>
      <c r="C110" s="1"/>
    </row>
    <row r="111" spans="2:3" ht="15.75" customHeight="1">
      <c r="B111" s="1"/>
      <c r="C111" s="1"/>
    </row>
    <row r="112" spans="2:3" ht="15.75" customHeight="1">
      <c r="B112" s="1"/>
      <c r="C112" s="1"/>
    </row>
    <row r="113" spans="2:3" ht="15.75" customHeight="1">
      <c r="B113" s="1"/>
      <c r="C113" s="1"/>
    </row>
    <row r="114" spans="2:3" ht="15.75" customHeight="1">
      <c r="B114" s="1"/>
      <c r="C114" s="1"/>
    </row>
    <row r="115" spans="2:3" ht="15.75" customHeight="1">
      <c r="B115" s="1"/>
      <c r="C115" s="1"/>
    </row>
    <row r="116" spans="2:3" ht="15.75" customHeight="1">
      <c r="B116" s="1"/>
      <c r="C116" s="1"/>
    </row>
    <row r="117" spans="2:3" ht="15.75" customHeight="1">
      <c r="B117" s="1"/>
      <c r="C117" s="1"/>
    </row>
    <row r="118" spans="2:3" ht="15.75" customHeight="1">
      <c r="B118" s="1"/>
      <c r="C118" s="1"/>
    </row>
    <row r="119" spans="2:3" ht="15.75" customHeight="1">
      <c r="B119" s="1"/>
      <c r="C119" s="1"/>
    </row>
    <row r="120" spans="2:3" ht="15.75" customHeight="1">
      <c r="B120" s="1"/>
      <c r="C120" s="1"/>
    </row>
    <row r="121" spans="2:3" ht="15.75" customHeight="1">
      <c r="B121" s="1"/>
      <c r="C121" s="1"/>
    </row>
    <row r="122" spans="2:3" ht="15.75" customHeight="1">
      <c r="B122" s="1"/>
      <c r="C122" s="1"/>
    </row>
    <row r="123" spans="2:3" ht="15.75" customHeight="1">
      <c r="B123" s="1"/>
      <c r="C123" s="1"/>
    </row>
    <row r="124" spans="2:3" ht="15.75" customHeight="1">
      <c r="B124" s="1"/>
      <c r="C124" s="1"/>
    </row>
    <row r="125" spans="2:3" ht="15.75" customHeight="1">
      <c r="B125" s="1"/>
      <c r="C125" s="1"/>
    </row>
    <row r="126" spans="2:3" ht="15.75" customHeight="1">
      <c r="B126" s="1"/>
      <c r="C126" s="1"/>
    </row>
    <row r="127" spans="2:3" ht="15.75" customHeight="1">
      <c r="B127" s="1"/>
      <c r="C127" s="1"/>
    </row>
    <row r="128" spans="2:3" ht="15.75" customHeight="1">
      <c r="B128" s="1"/>
      <c r="C128" s="1"/>
    </row>
    <row r="129" spans="2:3" ht="15.75" customHeight="1">
      <c r="B129" s="1"/>
      <c r="C129" s="1"/>
    </row>
    <row r="130" spans="2:3" ht="15.75" customHeight="1">
      <c r="B130" s="1"/>
      <c r="C130" s="1"/>
    </row>
    <row r="131" spans="2:3" ht="15.75" customHeight="1">
      <c r="B131" s="1"/>
      <c r="C131" s="1"/>
    </row>
    <row r="132" spans="2:3" ht="15.75" customHeight="1">
      <c r="B132" s="1"/>
      <c r="C132" s="1"/>
    </row>
    <row r="133" spans="2:3" ht="15.75" customHeight="1">
      <c r="B133" s="1"/>
      <c r="C133" s="1"/>
    </row>
    <row r="134" spans="2:3" ht="15.75" customHeight="1">
      <c r="B134" s="1"/>
      <c r="C134" s="1"/>
    </row>
    <row r="135" spans="2:3" ht="15.75" customHeight="1">
      <c r="B135" s="1"/>
      <c r="C135" s="1"/>
    </row>
    <row r="136" spans="2:3" ht="15.75" customHeight="1">
      <c r="B136" s="1"/>
      <c r="C136" s="1"/>
    </row>
    <row r="137" spans="2:3" ht="15.75" customHeight="1">
      <c r="B137" s="1"/>
      <c r="C137" s="1"/>
    </row>
    <row r="138" spans="2:3" ht="15.75" customHeight="1">
      <c r="B138" s="1"/>
      <c r="C138" s="1"/>
    </row>
    <row r="139" spans="2:3" ht="15.75" customHeight="1">
      <c r="B139" s="1"/>
      <c r="C139" s="1"/>
    </row>
    <row r="140" spans="2:3" ht="15.75" customHeight="1">
      <c r="B140" s="1"/>
      <c r="C140" s="1"/>
    </row>
    <row r="141" spans="2:3" ht="15.75" customHeight="1">
      <c r="B141" s="1"/>
      <c r="C141" s="1"/>
    </row>
    <row r="142" spans="2:3" ht="15.75" customHeight="1">
      <c r="B142" s="1"/>
      <c r="C142" s="1"/>
    </row>
    <row r="143" spans="2:3" ht="15.75" customHeight="1">
      <c r="B143" s="1"/>
      <c r="C143" s="1"/>
    </row>
    <row r="144" spans="2:3" ht="15.75" customHeight="1">
      <c r="B144" s="1"/>
      <c r="C144" s="1"/>
    </row>
    <row r="145" spans="2:3" ht="15.75" customHeight="1">
      <c r="B145" s="1"/>
      <c r="C145" s="1"/>
    </row>
    <row r="146" spans="2:3" ht="15.75" customHeight="1">
      <c r="B146" s="1"/>
      <c r="C146" s="1"/>
    </row>
    <row r="147" spans="2:3" ht="15.75" customHeight="1">
      <c r="B147" s="1"/>
      <c r="C147" s="1"/>
    </row>
    <row r="148" spans="2:3" ht="15.75" customHeight="1">
      <c r="B148" s="1"/>
      <c r="C148" s="1"/>
    </row>
    <row r="149" spans="2:3" ht="15.75" customHeight="1">
      <c r="B149" s="1"/>
      <c r="C149" s="1"/>
    </row>
    <row r="150" spans="2:3" ht="15.75" customHeight="1">
      <c r="B150" s="1"/>
      <c r="C150" s="1"/>
    </row>
    <row r="151" spans="2:3" ht="15.75" customHeight="1">
      <c r="B151" s="1"/>
      <c r="C151" s="1"/>
    </row>
    <row r="152" spans="2:3" ht="15.75" customHeight="1">
      <c r="B152" s="1"/>
      <c r="C152" s="1"/>
    </row>
    <row r="153" spans="2:3" ht="15.75" customHeight="1">
      <c r="B153" s="1"/>
      <c r="C153" s="1"/>
    </row>
    <row r="154" spans="2:3" ht="15.75" customHeight="1">
      <c r="B154" s="1"/>
      <c r="C154" s="1"/>
    </row>
    <row r="155" spans="2:3" ht="15.75" customHeight="1">
      <c r="B155" s="1"/>
      <c r="C155" s="1"/>
    </row>
    <row r="156" spans="2:3" ht="15.75" customHeight="1">
      <c r="B156" s="1"/>
      <c r="C156" s="1"/>
    </row>
    <row r="157" spans="2:3" ht="15.75" customHeight="1">
      <c r="B157" s="1"/>
      <c r="C157" s="1"/>
    </row>
    <row r="158" spans="2:3" ht="15.75" customHeight="1">
      <c r="B158" s="1"/>
      <c r="C158" s="1"/>
    </row>
    <row r="159" spans="2:3" ht="15.75" customHeight="1">
      <c r="B159" s="1"/>
      <c r="C159" s="1"/>
    </row>
    <row r="160" spans="2:3" ht="15.75" customHeight="1">
      <c r="B160" s="1"/>
      <c r="C160" s="1"/>
    </row>
    <row r="161" spans="2:3" ht="15.75" customHeight="1">
      <c r="B161" s="1"/>
      <c r="C161" s="1"/>
    </row>
    <row r="162" spans="2:3" ht="15.75" customHeight="1">
      <c r="B162" s="1"/>
      <c r="C162" s="1"/>
    </row>
    <row r="163" spans="2:3" ht="15.75" customHeight="1">
      <c r="B163" s="1"/>
      <c r="C163" s="1"/>
    </row>
    <row r="164" spans="2:3" ht="15.75" customHeight="1">
      <c r="B164" s="1"/>
      <c r="C164" s="1"/>
    </row>
    <row r="165" spans="2:3" ht="15.75" customHeight="1">
      <c r="B165" s="1"/>
      <c r="C165" s="1"/>
    </row>
    <row r="166" spans="2:3" ht="15.75" customHeight="1">
      <c r="B166" s="1"/>
      <c r="C166" s="1"/>
    </row>
    <row r="167" spans="2:3" ht="15.75" customHeight="1">
      <c r="B167" s="1"/>
      <c r="C167" s="1"/>
    </row>
    <row r="168" spans="2:3" ht="15.75" customHeight="1">
      <c r="B168" s="1"/>
      <c r="C168" s="1"/>
    </row>
    <row r="169" spans="2:3" ht="15.75" customHeight="1">
      <c r="B169" s="1"/>
      <c r="C169" s="1"/>
    </row>
    <row r="170" spans="2:3" ht="15.75" customHeight="1">
      <c r="B170" s="1"/>
      <c r="C170" s="1"/>
    </row>
    <row r="171" spans="2:3" ht="15.75" customHeight="1">
      <c r="B171" s="1"/>
      <c r="C171" s="1"/>
    </row>
    <row r="172" spans="2:3" ht="15.75" customHeight="1">
      <c r="B172" s="1"/>
      <c r="C172" s="1"/>
    </row>
    <row r="173" spans="2:3" ht="15.75" customHeight="1">
      <c r="B173" s="1"/>
      <c r="C173" s="1"/>
    </row>
    <row r="174" spans="2:3" ht="15.75" customHeight="1">
      <c r="B174" s="1"/>
      <c r="C174" s="1"/>
    </row>
    <row r="175" spans="2:3" ht="15.75" customHeight="1">
      <c r="B175" s="1"/>
      <c r="C175" s="1"/>
    </row>
    <row r="176" spans="2:3" ht="15.75" customHeight="1">
      <c r="B176" s="1"/>
      <c r="C176" s="1"/>
    </row>
    <row r="177" spans="2:3" ht="15.75" customHeight="1">
      <c r="B177" s="1"/>
      <c r="C177" s="1"/>
    </row>
    <row r="178" spans="2:3" ht="15.75" customHeight="1">
      <c r="B178" s="1"/>
      <c r="C178" s="1"/>
    </row>
    <row r="179" spans="2:3" ht="15.75" customHeight="1">
      <c r="B179" s="1"/>
      <c r="C179" s="1"/>
    </row>
    <row r="180" spans="2:3" ht="15.75" customHeight="1">
      <c r="B180" s="1"/>
      <c r="C180" s="1"/>
    </row>
    <row r="181" spans="2:3" ht="15.75" customHeight="1">
      <c r="B181" s="1"/>
      <c r="C181" s="1"/>
    </row>
    <row r="182" spans="2:3" ht="15.75" customHeight="1">
      <c r="B182" s="1"/>
      <c r="C182" s="1"/>
    </row>
    <row r="183" spans="2:3" ht="15.75" customHeight="1">
      <c r="B183" s="1"/>
      <c r="C183" s="1"/>
    </row>
    <row r="184" spans="2:3" ht="15.75" customHeight="1">
      <c r="B184" s="1"/>
      <c r="C184" s="1"/>
    </row>
    <row r="185" spans="2:3" ht="15.75" customHeight="1">
      <c r="B185" s="1"/>
      <c r="C185" s="1"/>
    </row>
    <row r="186" spans="2:3" ht="15.75" customHeight="1">
      <c r="B186" s="1"/>
      <c r="C186" s="1"/>
    </row>
    <row r="187" spans="2:3" ht="15.75" customHeight="1">
      <c r="B187" s="1"/>
      <c r="C187" s="1"/>
    </row>
    <row r="188" spans="2:3" ht="15.75" customHeight="1">
      <c r="B188" s="1"/>
      <c r="C188" s="1"/>
    </row>
    <row r="189" spans="2:3" ht="15.75" customHeight="1">
      <c r="B189" s="1"/>
      <c r="C189" s="1"/>
    </row>
    <row r="190" spans="2:3" ht="15.75" customHeight="1">
      <c r="B190" s="1"/>
      <c r="C190" s="1"/>
    </row>
    <row r="191" spans="2:3" ht="15.75" customHeight="1">
      <c r="B191" s="1"/>
      <c r="C191" s="1"/>
    </row>
    <row r="192" spans="2:3" ht="15.75" customHeight="1">
      <c r="B192" s="1"/>
      <c r="C192" s="1"/>
    </row>
    <row r="193" spans="2:3" ht="15.75" customHeight="1">
      <c r="B193" s="1"/>
      <c r="C193" s="1"/>
    </row>
    <row r="194" spans="2:3" ht="15.75" customHeight="1">
      <c r="B194" s="1"/>
      <c r="C194" s="1"/>
    </row>
    <row r="195" spans="2:3" ht="15.75" customHeight="1">
      <c r="B195" s="1"/>
      <c r="C195" s="1"/>
    </row>
    <row r="196" spans="2:3" ht="15.75" customHeight="1">
      <c r="B196" s="1"/>
      <c r="C196" s="1"/>
    </row>
    <row r="197" spans="2:3" ht="15.75" customHeight="1">
      <c r="B197" s="1"/>
      <c r="C197" s="1"/>
    </row>
    <row r="198" spans="2:3" ht="15.75" customHeight="1">
      <c r="B198" s="1"/>
      <c r="C198" s="1"/>
    </row>
    <row r="199" spans="2:3" ht="15.75" customHeight="1">
      <c r="B199" s="1"/>
      <c r="C199" s="1"/>
    </row>
    <row r="200" spans="2:3" ht="15.75" customHeight="1">
      <c r="B200" s="1"/>
      <c r="C200" s="1"/>
    </row>
    <row r="201" spans="2:3" ht="15.75" customHeight="1">
      <c r="B201" s="1"/>
      <c r="C201" s="1"/>
    </row>
    <row r="202" spans="2:3" ht="15.75" customHeight="1">
      <c r="B202" s="1"/>
      <c r="C202" s="1"/>
    </row>
    <row r="203" spans="2:3" ht="15.75" customHeight="1">
      <c r="B203" s="1"/>
      <c r="C203" s="1"/>
    </row>
    <row r="204" spans="2:3" ht="15.75" customHeight="1">
      <c r="B204" s="1"/>
      <c r="C204" s="1"/>
    </row>
    <row r="205" spans="2:3" ht="15.75" customHeight="1">
      <c r="B205" s="1"/>
      <c r="C205" s="1"/>
    </row>
    <row r="206" spans="2:3" ht="15.75" customHeight="1">
      <c r="B206" s="1"/>
      <c r="C206" s="1"/>
    </row>
    <row r="207" spans="2:3" ht="15.75" customHeight="1">
      <c r="B207" s="1"/>
      <c r="C207" s="1"/>
    </row>
    <row r="208" spans="2:3" ht="15.75" customHeight="1">
      <c r="B208" s="1"/>
      <c r="C208" s="1"/>
    </row>
    <row r="209" spans="2:3" ht="15.75" customHeight="1">
      <c r="B209" s="1"/>
      <c r="C209" s="1"/>
    </row>
    <row r="210" spans="2:3" ht="15.75" customHeight="1">
      <c r="B210" s="1"/>
      <c r="C210" s="1"/>
    </row>
    <row r="211" spans="2:3" ht="15.75" customHeight="1">
      <c r="B211" s="1"/>
      <c r="C211" s="1"/>
    </row>
    <row r="212" spans="2:3" ht="15.75" customHeight="1">
      <c r="B212" s="1"/>
      <c r="C212" s="1"/>
    </row>
    <row r="213" spans="2:3" ht="15.75" customHeight="1">
      <c r="B213" s="1"/>
      <c r="C213" s="1"/>
    </row>
    <row r="214" spans="2:3" ht="15.75" customHeight="1">
      <c r="B214" s="1"/>
      <c r="C214" s="1"/>
    </row>
    <row r="215" spans="2:3" ht="15.75" customHeight="1">
      <c r="B215" s="1"/>
      <c r="C215" s="1"/>
    </row>
    <row r="216" spans="2:3" ht="15.75" customHeight="1">
      <c r="B216" s="1"/>
      <c r="C216" s="1"/>
    </row>
    <row r="217" spans="2:3" ht="15.75" customHeight="1">
      <c r="B217" s="1"/>
      <c r="C217" s="1"/>
    </row>
    <row r="218" spans="2:3" ht="15.75" customHeight="1">
      <c r="B218" s="1"/>
      <c r="C218" s="1"/>
    </row>
    <row r="219" spans="2:3" ht="15.75" customHeight="1">
      <c r="B219" s="1"/>
      <c r="C219" s="1"/>
    </row>
    <row r="220" spans="2:3" ht="15.75" customHeight="1">
      <c r="B220" s="1"/>
      <c r="C220" s="1"/>
    </row>
    <row r="221" spans="2:3" ht="15.75" customHeight="1">
      <c r="B221" s="1"/>
      <c r="C221" s="1"/>
    </row>
    <row r="222" spans="2:3" ht="15.75" customHeight="1">
      <c r="B222" s="1"/>
      <c r="C222" s="1"/>
    </row>
    <row r="223" spans="2:3" ht="15.75" customHeight="1">
      <c r="B223" s="1"/>
      <c r="C223" s="1"/>
    </row>
    <row r="224" spans="2:3" ht="15.75" customHeight="1">
      <c r="B224" s="1"/>
      <c r="C224" s="1"/>
    </row>
    <row r="225" spans="2:3" ht="15.75" customHeight="1">
      <c r="B225" s="1"/>
      <c r="C225" s="1"/>
    </row>
    <row r="226" spans="2:3" ht="15.75" customHeight="1">
      <c r="B226" s="1"/>
      <c r="C226" s="1"/>
    </row>
    <row r="227" spans="2:3" ht="15.75" customHeight="1">
      <c r="B227" s="1"/>
      <c r="C227" s="1"/>
    </row>
    <row r="228" spans="2:3" ht="15.75" customHeight="1">
      <c r="B228" s="1"/>
      <c r="C228" s="1"/>
    </row>
    <row r="229" spans="2:3" ht="15.75" customHeight="1">
      <c r="B229" s="1"/>
      <c r="C229" s="1"/>
    </row>
    <row r="230" spans="2:3" ht="15.75" customHeight="1">
      <c r="B230" s="1"/>
      <c r="C230" s="1"/>
    </row>
    <row r="231" spans="2:3" ht="15.75" customHeight="1">
      <c r="B231" s="1"/>
      <c r="C231" s="1"/>
    </row>
    <row r="232" spans="2:3" ht="15.75" customHeight="1">
      <c r="B232" s="1"/>
      <c r="C232" s="1"/>
    </row>
    <row r="233" spans="2:3" ht="15.75" customHeight="1">
      <c r="B233" s="1"/>
      <c r="C233" s="1"/>
    </row>
    <row r="234" spans="2:3" ht="15.75" customHeight="1">
      <c r="B234" s="1"/>
      <c r="C234" s="1"/>
    </row>
    <row r="235" spans="2:3" ht="15.75" customHeight="1">
      <c r="B235" s="1"/>
      <c r="C235" s="1"/>
    </row>
    <row r="236" spans="2:3" ht="15.75" customHeight="1">
      <c r="B236" s="1"/>
      <c r="C236" s="1"/>
    </row>
    <row r="237" spans="2:3" ht="15.75" customHeight="1">
      <c r="B237" s="1"/>
      <c r="C237" s="1"/>
    </row>
    <row r="238" spans="2:3" ht="15.75" customHeight="1">
      <c r="B238" s="1"/>
      <c r="C238" s="1"/>
    </row>
    <row r="239" spans="2:3" ht="15.75" customHeight="1">
      <c r="B239" s="1"/>
      <c r="C239" s="1"/>
    </row>
    <row r="240" spans="2:3" ht="15.75" customHeight="1">
      <c r="B240" s="1"/>
      <c r="C240" s="1"/>
    </row>
    <row r="241" spans="2:3" ht="15.75" customHeight="1">
      <c r="B241" s="1"/>
      <c r="C241" s="1"/>
    </row>
    <row r="242" spans="2:3" ht="15.75" customHeight="1">
      <c r="B242" s="1"/>
      <c r="C242" s="1"/>
    </row>
    <row r="243" spans="2:3" ht="15.75" customHeight="1">
      <c r="B243" s="1"/>
      <c r="C243" s="1"/>
    </row>
    <row r="244" spans="2:3" ht="15.75" customHeight="1">
      <c r="B244" s="1"/>
      <c r="C244" s="1"/>
    </row>
    <row r="245" spans="2:3" ht="15.75" customHeight="1">
      <c r="B245" s="1"/>
      <c r="C245" s="1"/>
    </row>
    <row r="246" spans="2:3" ht="15.75" customHeight="1">
      <c r="B246" s="1"/>
      <c r="C246" s="1"/>
    </row>
    <row r="247" spans="2:3" ht="15.75" customHeight="1">
      <c r="B247" s="1"/>
      <c r="C247" s="1"/>
    </row>
    <row r="248" spans="2:3" ht="15.75" customHeight="1">
      <c r="B248" s="1"/>
      <c r="C248" s="1"/>
    </row>
    <row r="249" spans="2:3" ht="15.75" customHeight="1">
      <c r="B249" s="1"/>
      <c r="C249" s="1"/>
    </row>
    <row r="250" spans="2:3" ht="15.75" customHeight="1">
      <c r="B250" s="1"/>
      <c r="C250" s="1"/>
    </row>
    <row r="251" spans="2:3" ht="15.75" customHeight="1">
      <c r="B251" s="1"/>
      <c r="C251" s="1"/>
    </row>
    <row r="252" spans="2:3" ht="15.75" customHeight="1">
      <c r="B252" s="1"/>
      <c r="C252" s="1"/>
    </row>
    <row r="253" spans="2:3" ht="15.75" customHeight="1">
      <c r="B253" s="1"/>
      <c r="C253" s="1"/>
    </row>
    <row r="254" spans="2:3" ht="15.75" customHeight="1">
      <c r="B254" s="1"/>
      <c r="C254" s="1"/>
    </row>
    <row r="255" spans="2:3" ht="15.75" customHeight="1">
      <c r="B255" s="1"/>
      <c r="C255" s="1"/>
    </row>
    <row r="256" spans="2:3" ht="15.75" customHeight="1">
      <c r="B256" s="1"/>
      <c r="C256" s="1"/>
    </row>
    <row r="257" spans="2:3" ht="15.75" customHeight="1">
      <c r="B257" s="1"/>
      <c r="C257" s="1"/>
    </row>
    <row r="258" spans="2:3" ht="15.75" customHeight="1">
      <c r="B258" s="1"/>
      <c r="C258" s="1"/>
    </row>
    <row r="259" spans="2:3" ht="15.75" customHeight="1">
      <c r="B259" s="1"/>
      <c r="C259" s="1"/>
    </row>
    <row r="260" spans="2:3" ht="15.75" customHeight="1">
      <c r="B260" s="1"/>
      <c r="C260" s="1"/>
    </row>
    <row r="261" spans="2:3" ht="15.75" customHeight="1">
      <c r="B261" s="1"/>
      <c r="C261" s="1"/>
    </row>
    <row r="262" spans="2:3" ht="15.75" customHeight="1">
      <c r="B262" s="1"/>
      <c r="C262" s="1"/>
    </row>
    <row r="263" spans="2:3" ht="15.75" customHeight="1">
      <c r="B263" s="1"/>
      <c r="C263" s="1"/>
    </row>
    <row r="264" spans="2:3" ht="15.75" customHeight="1">
      <c r="B264" s="1"/>
      <c r="C264" s="1"/>
    </row>
    <row r="265" spans="2:3" ht="15.75" customHeight="1">
      <c r="B265" s="1"/>
      <c r="C265" s="1"/>
    </row>
    <row r="266" spans="2:3" ht="15.75" customHeight="1">
      <c r="B266" s="1"/>
      <c r="C266" s="1"/>
    </row>
    <row r="267" spans="2:3" ht="15.75" customHeight="1">
      <c r="B267" s="1"/>
      <c r="C267" s="1"/>
    </row>
    <row r="268" spans="2:3" ht="15.75" customHeight="1">
      <c r="B268" s="1"/>
      <c r="C268" s="1"/>
    </row>
    <row r="269" spans="2:3" ht="15.75" customHeight="1">
      <c r="B269" s="1"/>
      <c r="C269" s="1"/>
    </row>
    <row r="270" spans="2:3" ht="15.75" customHeight="1">
      <c r="B270" s="1"/>
      <c r="C270" s="1"/>
    </row>
    <row r="271" spans="2:3" ht="15.75" customHeight="1">
      <c r="B271" s="1"/>
      <c r="C271" s="1"/>
    </row>
    <row r="272" spans="2:3" ht="15.75" customHeight="1">
      <c r="B272" s="1"/>
      <c r="C272" s="1"/>
    </row>
    <row r="273" spans="2:3" ht="15.75" customHeight="1">
      <c r="B273" s="1"/>
      <c r="C273" s="1"/>
    </row>
    <row r="274" spans="2:3" ht="15.75" customHeight="1">
      <c r="B274" s="1"/>
      <c r="C274" s="1"/>
    </row>
    <row r="275" spans="2:3" ht="15.75" customHeight="1">
      <c r="B275" s="1"/>
      <c r="C275" s="1"/>
    </row>
    <row r="276" spans="2:3" ht="15.75" customHeight="1">
      <c r="B276" s="1"/>
      <c r="C276" s="1"/>
    </row>
    <row r="277" spans="2:3" ht="15.75" customHeight="1">
      <c r="B277" s="1"/>
      <c r="C277" s="1"/>
    </row>
    <row r="278" spans="2:3" ht="15.75" customHeight="1">
      <c r="B278" s="1"/>
      <c r="C278" s="1"/>
    </row>
    <row r="279" spans="2:3" ht="15.75" customHeight="1">
      <c r="B279" s="1"/>
      <c r="C279" s="1"/>
    </row>
    <row r="280" spans="2:3" ht="15.75" customHeight="1">
      <c r="B280" s="1"/>
      <c r="C280" s="1"/>
    </row>
    <row r="281" spans="2:3" ht="15.75" customHeight="1">
      <c r="B281" s="1"/>
      <c r="C281" s="1"/>
    </row>
    <row r="282" spans="2:3" ht="15.75" customHeight="1">
      <c r="B282" s="1"/>
      <c r="C282" s="1"/>
    </row>
    <row r="283" spans="2:3" ht="15.75" customHeight="1">
      <c r="B283" s="1"/>
      <c r="C283" s="1"/>
    </row>
    <row r="284" spans="2:3" ht="15.75" customHeight="1">
      <c r="B284" s="1"/>
      <c r="C284" s="1"/>
    </row>
    <row r="285" spans="2:3" ht="15.75" customHeight="1">
      <c r="B285" s="1"/>
      <c r="C285" s="1"/>
    </row>
    <row r="286" spans="2:3" ht="15.75" customHeight="1">
      <c r="B286" s="1"/>
      <c r="C286" s="1"/>
    </row>
    <row r="287" spans="2:3" ht="15.75" customHeight="1">
      <c r="B287" s="1"/>
      <c r="C287" s="1"/>
    </row>
    <row r="288" spans="2:3" ht="15.75" customHeight="1">
      <c r="B288" s="1"/>
      <c r="C288" s="1"/>
    </row>
    <row r="289" spans="2:3" ht="15.75" customHeight="1">
      <c r="B289" s="1"/>
      <c r="C289" s="1"/>
    </row>
    <row r="290" spans="2:3" ht="15.75" customHeight="1">
      <c r="B290" s="1"/>
      <c r="C290" s="1"/>
    </row>
    <row r="291" spans="2:3" ht="15.75" customHeight="1">
      <c r="B291" s="1"/>
      <c r="C291" s="1"/>
    </row>
    <row r="292" spans="2:3" ht="15.75" customHeight="1">
      <c r="B292" s="1"/>
      <c r="C292" s="1"/>
    </row>
    <row r="293" spans="2:3" ht="15.75" customHeight="1">
      <c r="B293" s="1"/>
      <c r="C293" s="1"/>
    </row>
    <row r="294" spans="2:3" ht="15.75" customHeight="1">
      <c r="B294" s="1"/>
      <c r="C294" s="1"/>
    </row>
    <row r="295" spans="2:3" ht="15.75" customHeight="1">
      <c r="B295" s="1"/>
      <c r="C295" s="1"/>
    </row>
    <row r="296" spans="2:3" ht="15.75" customHeight="1">
      <c r="B296" s="1"/>
      <c r="C296" s="1"/>
    </row>
    <row r="297" spans="2:3" ht="15.75" customHeight="1">
      <c r="B297" s="1"/>
      <c r="C297" s="1"/>
    </row>
    <row r="298" spans="2:3" ht="15.75" customHeight="1">
      <c r="B298" s="1"/>
      <c r="C298" s="1"/>
    </row>
    <row r="299" spans="2:3" ht="15.75" customHeight="1">
      <c r="B299" s="1"/>
      <c r="C299" s="1"/>
    </row>
    <row r="300" spans="2:3" ht="15.75" customHeight="1">
      <c r="B300" s="1"/>
      <c r="C300" s="1"/>
    </row>
    <row r="301" spans="2:3" ht="15.75" customHeight="1">
      <c r="B301" s="1"/>
      <c r="C301" s="1"/>
    </row>
    <row r="302" spans="2:3" ht="15.75" customHeight="1">
      <c r="B302" s="1"/>
      <c r="C302" s="1"/>
    </row>
    <row r="303" spans="2:3" ht="15.75" customHeight="1">
      <c r="B303" s="1"/>
      <c r="C303" s="1"/>
    </row>
    <row r="304" spans="2:3" ht="15.75" customHeight="1">
      <c r="B304" s="1"/>
      <c r="C304" s="1"/>
    </row>
    <row r="305" spans="2:3" ht="15.75" customHeight="1">
      <c r="B305" s="1"/>
      <c r="C305" s="1"/>
    </row>
    <row r="306" spans="2:3" ht="15.75" customHeight="1">
      <c r="B306" s="1"/>
      <c r="C306" s="1"/>
    </row>
    <row r="307" spans="2:3" ht="15.75" customHeight="1">
      <c r="B307" s="1"/>
      <c r="C307" s="1"/>
    </row>
    <row r="308" spans="2:3" ht="15.75" customHeight="1">
      <c r="B308" s="1"/>
      <c r="C308" s="1"/>
    </row>
    <row r="309" spans="2:3" ht="15.75" customHeight="1">
      <c r="B309" s="1"/>
      <c r="C309" s="1"/>
    </row>
    <row r="310" spans="2:3" ht="15.75" customHeight="1">
      <c r="B310" s="1"/>
      <c r="C310" s="1"/>
    </row>
    <row r="311" spans="2:3" ht="15.75" customHeight="1">
      <c r="B311" s="1"/>
      <c r="C311" s="1"/>
    </row>
    <row r="312" spans="2:3" ht="15.75" customHeight="1">
      <c r="B312" s="1"/>
      <c r="C312" s="1"/>
    </row>
    <row r="313" spans="2:3" ht="15.75" customHeight="1">
      <c r="B313" s="1"/>
      <c r="C313" s="1"/>
    </row>
    <row r="314" spans="2:3" ht="15.75" customHeight="1">
      <c r="B314" s="1"/>
      <c r="C314" s="1"/>
    </row>
    <row r="315" spans="2:3" ht="15.75" customHeight="1">
      <c r="B315" s="1"/>
      <c r="C315" s="1"/>
    </row>
    <row r="316" spans="2:3" ht="15.75" customHeight="1">
      <c r="B316" s="1"/>
      <c r="C316" s="1"/>
    </row>
    <row r="317" spans="2:3" ht="15.75" customHeight="1">
      <c r="B317" s="1"/>
      <c r="C317" s="1"/>
    </row>
    <row r="318" spans="2:3" ht="15.75" customHeight="1">
      <c r="B318" s="1"/>
      <c r="C318" s="1"/>
    </row>
    <row r="319" spans="2:3" ht="15.75" customHeight="1">
      <c r="B319" s="1"/>
      <c r="C319" s="1"/>
    </row>
    <row r="320" spans="2:3" ht="15.75" customHeight="1">
      <c r="B320" s="1"/>
      <c r="C320" s="1"/>
    </row>
    <row r="321" spans="2:3" ht="15.75" customHeight="1">
      <c r="B321" s="1"/>
      <c r="C321" s="1"/>
    </row>
    <row r="322" spans="2:3" ht="15.75" customHeight="1">
      <c r="B322" s="1"/>
      <c r="C322" s="1"/>
    </row>
    <row r="323" spans="2:3" ht="15.75" customHeight="1">
      <c r="B323" s="1"/>
      <c r="C323" s="1"/>
    </row>
    <row r="324" spans="2:3" ht="15.75" customHeight="1">
      <c r="B324" s="1"/>
      <c r="C324" s="1"/>
    </row>
    <row r="325" spans="2:3" ht="15.75" customHeight="1">
      <c r="B325" s="1"/>
      <c r="C325" s="1"/>
    </row>
    <row r="326" spans="2:3" ht="15.75" customHeight="1">
      <c r="B326" s="1"/>
      <c r="C326" s="1"/>
    </row>
    <row r="327" spans="2:3" ht="15.75" customHeight="1">
      <c r="B327" s="1"/>
      <c r="C327" s="1"/>
    </row>
    <row r="328" spans="2:3" ht="15.75" customHeight="1">
      <c r="B328" s="1"/>
      <c r="C328" s="1"/>
    </row>
    <row r="329" spans="2:3" ht="15.75" customHeight="1">
      <c r="B329" s="1"/>
      <c r="C329" s="1"/>
    </row>
    <row r="330" spans="2:3" ht="15.75" customHeight="1">
      <c r="B330" s="1"/>
      <c r="C330" s="1"/>
    </row>
    <row r="331" spans="2:3" ht="15.75" customHeight="1">
      <c r="B331" s="1"/>
      <c r="C331" s="1"/>
    </row>
    <row r="332" spans="2:3" ht="15.75" customHeight="1">
      <c r="B332" s="1"/>
      <c r="C332" s="1"/>
    </row>
    <row r="333" spans="2:3" ht="15.75" customHeight="1">
      <c r="B333" s="1"/>
      <c r="C333" s="1"/>
    </row>
    <row r="334" spans="2:3" ht="15.75" customHeight="1">
      <c r="B334" s="1"/>
      <c r="C334" s="1"/>
    </row>
    <row r="335" spans="2:3" ht="15.75" customHeight="1">
      <c r="B335" s="1"/>
      <c r="C335" s="1"/>
    </row>
    <row r="336" spans="2:3" ht="15.75" customHeight="1">
      <c r="B336" s="1"/>
      <c r="C336" s="1"/>
    </row>
    <row r="337" spans="2:3" ht="15.75" customHeight="1">
      <c r="B337" s="1"/>
      <c r="C337" s="1"/>
    </row>
    <row r="338" spans="2:3" ht="15.75" customHeight="1">
      <c r="B338" s="1"/>
      <c r="C338" s="1"/>
    </row>
    <row r="339" spans="2:3" ht="15.75" customHeight="1">
      <c r="B339" s="1"/>
      <c r="C339" s="1"/>
    </row>
    <row r="340" spans="2:3" ht="15.75" customHeight="1">
      <c r="B340" s="1"/>
      <c r="C340" s="1"/>
    </row>
    <row r="341" spans="2:3" ht="15.75" customHeight="1">
      <c r="B341" s="1"/>
      <c r="C341" s="1"/>
    </row>
    <row r="342" spans="2:3" ht="15.75" customHeight="1">
      <c r="B342" s="1"/>
      <c r="C342" s="1"/>
    </row>
    <row r="343" spans="2:3" ht="15.75" customHeight="1">
      <c r="B343" s="1"/>
      <c r="C343" s="1"/>
    </row>
    <row r="344" spans="2:3" ht="15.75" customHeight="1">
      <c r="B344" s="1"/>
      <c r="C344" s="1"/>
    </row>
    <row r="345" spans="2:3" ht="15.75" customHeight="1">
      <c r="B345" s="1"/>
      <c r="C345" s="1"/>
    </row>
    <row r="346" spans="2:3" ht="15.75" customHeight="1">
      <c r="B346" s="1"/>
      <c r="C346" s="1"/>
    </row>
    <row r="347" spans="2:3" ht="15.75" customHeight="1">
      <c r="B347" s="1"/>
      <c r="C347" s="1"/>
    </row>
    <row r="348" spans="2:3" ht="15.75" customHeight="1">
      <c r="B348" s="1"/>
      <c r="C348" s="1"/>
    </row>
    <row r="349" spans="2:3" ht="15.75" customHeight="1">
      <c r="B349" s="1"/>
      <c r="C349" s="1"/>
    </row>
    <row r="350" spans="2:3" ht="15.75" customHeight="1">
      <c r="B350" s="1"/>
      <c r="C350" s="1"/>
    </row>
    <row r="351" spans="2:3" ht="15.75" customHeight="1">
      <c r="B351" s="1"/>
      <c r="C351" s="1"/>
    </row>
    <row r="352" spans="2:3" ht="15.75" customHeight="1">
      <c r="B352" s="1"/>
      <c r="C352" s="1"/>
    </row>
    <row r="353" spans="2:3" ht="15.75" customHeight="1">
      <c r="B353" s="1"/>
      <c r="C353" s="1"/>
    </row>
    <row r="354" spans="2:3" ht="15.75" customHeight="1">
      <c r="B354" s="1"/>
      <c r="C354" s="1"/>
    </row>
    <row r="355" spans="2:3" ht="15.75" customHeight="1">
      <c r="B355" s="1"/>
      <c r="C355" s="1"/>
    </row>
    <row r="356" spans="2:3" ht="15.75" customHeight="1">
      <c r="B356" s="1"/>
      <c r="C356" s="1"/>
    </row>
    <row r="357" spans="2:3" ht="15.75" customHeight="1">
      <c r="B357" s="1"/>
      <c r="C357" s="1"/>
    </row>
    <row r="358" spans="2:3" ht="15.75" customHeight="1">
      <c r="B358" s="1"/>
      <c r="C358" s="1"/>
    </row>
    <row r="359" spans="2:3" ht="15.75" customHeight="1">
      <c r="B359" s="1"/>
      <c r="C359" s="1"/>
    </row>
    <row r="360" spans="2:3" ht="15.75" customHeight="1">
      <c r="B360" s="1"/>
      <c r="C360" s="1"/>
    </row>
    <row r="361" spans="2:3" ht="15.75" customHeight="1">
      <c r="B361" s="1"/>
      <c r="C361" s="1"/>
    </row>
    <row r="362" spans="2:3" ht="15.75" customHeight="1">
      <c r="B362" s="1"/>
      <c r="C362" s="1"/>
    </row>
    <row r="363" spans="2:3" ht="15.75" customHeight="1">
      <c r="B363" s="1"/>
      <c r="C363" s="1"/>
    </row>
    <row r="364" spans="2:3" ht="15.75" customHeight="1">
      <c r="B364" s="1"/>
      <c r="C364" s="1"/>
    </row>
    <row r="365" spans="2:3" ht="15.75" customHeight="1">
      <c r="B365" s="1"/>
      <c r="C365" s="1"/>
    </row>
    <row r="366" spans="2:3" ht="15.75" customHeight="1">
      <c r="B366" s="1"/>
      <c r="C366" s="1"/>
    </row>
    <row r="367" spans="2:3" ht="15.75" customHeight="1">
      <c r="B367" s="1"/>
      <c r="C367" s="1"/>
    </row>
    <row r="368" spans="2:3" ht="15.75" customHeight="1">
      <c r="B368" s="1"/>
      <c r="C368" s="1"/>
    </row>
    <row r="369" spans="2:3" ht="15.75" customHeight="1">
      <c r="B369" s="1"/>
      <c r="C369" s="1"/>
    </row>
    <row r="370" spans="2:3" ht="15.75" customHeight="1">
      <c r="B370" s="1"/>
      <c r="C370" s="1"/>
    </row>
    <row r="371" spans="2:3" ht="15.75" customHeight="1">
      <c r="B371" s="1"/>
      <c r="C371" s="1"/>
    </row>
    <row r="372" spans="2:3" ht="15.75" customHeight="1">
      <c r="B372" s="1"/>
      <c r="C372" s="1"/>
    </row>
    <row r="373" spans="2:3" ht="15.75" customHeight="1">
      <c r="B373" s="1"/>
      <c r="C373" s="1"/>
    </row>
    <row r="374" spans="2:3" ht="15.75" customHeight="1">
      <c r="B374" s="1"/>
      <c r="C374" s="1"/>
    </row>
    <row r="375" spans="2:3" ht="15.75" customHeight="1">
      <c r="B375" s="1"/>
      <c r="C375" s="1"/>
    </row>
    <row r="376" spans="2:3" ht="15.75" customHeight="1">
      <c r="B376" s="1"/>
      <c r="C376" s="1"/>
    </row>
    <row r="377" spans="2:3" ht="15.75" customHeight="1">
      <c r="B377" s="1"/>
      <c r="C377" s="1"/>
    </row>
    <row r="378" spans="2:3" ht="15.75" customHeight="1">
      <c r="B378" s="1"/>
      <c r="C378" s="1"/>
    </row>
    <row r="379" spans="2:3" ht="15.75" customHeight="1">
      <c r="B379" s="1"/>
      <c r="C379" s="1"/>
    </row>
    <row r="380" spans="2:3" ht="15.75" customHeight="1">
      <c r="B380" s="1"/>
      <c r="C380" s="1"/>
    </row>
    <row r="381" spans="2:3" ht="15.75" customHeight="1">
      <c r="B381" s="1"/>
      <c r="C381" s="1"/>
    </row>
    <row r="382" spans="2:3" ht="15.75" customHeight="1">
      <c r="B382" s="1"/>
      <c r="C382" s="1"/>
    </row>
    <row r="383" spans="2:3" ht="15.75" customHeight="1">
      <c r="B383" s="1"/>
      <c r="C383" s="1"/>
    </row>
    <row r="384" spans="2:3" ht="15.75" customHeight="1">
      <c r="B384" s="1"/>
      <c r="C384" s="1"/>
    </row>
    <row r="385" spans="2:3" ht="15.75" customHeight="1">
      <c r="B385" s="1"/>
      <c r="C385" s="1"/>
    </row>
    <row r="386" spans="2:3" ht="15.75" customHeight="1">
      <c r="B386" s="1"/>
      <c r="C386" s="1"/>
    </row>
    <row r="387" spans="2:3" ht="15.75" customHeight="1">
      <c r="B387" s="1"/>
      <c r="C387" s="1"/>
    </row>
    <row r="388" spans="2:3" ht="15.75" customHeight="1">
      <c r="B388" s="1"/>
      <c r="C388" s="1"/>
    </row>
    <row r="389" spans="2:3" ht="15.75" customHeight="1">
      <c r="B389" s="1"/>
      <c r="C389" s="1"/>
    </row>
    <row r="390" spans="2:3" ht="15.75" customHeight="1">
      <c r="B390" s="1"/>
      <c r="C390" s="1"/>
    </row>
    <row r="391" spans="2:3" ht="15.75" customHeight="1">
      <c r="B391" s="1"/>
      <c r="C391" s="1"/>
    </row>
    <row r="392" spans="2:3" ht="15.75" customHeight="1">
      <c r="B392" s="1"/>
      <c r="C392" s="1"/>
    </row>
    <row r="393" spans="2:3" ht="15.75" customHeight="1">
      <c r="B393" s="1"/>
      <c r="C393" s="1"/>
    </row>
    <row r="394" spans="2:3" ht="15.75" customHeight="1">
      <c r="B394" s="1"/>
      <c r="C394" s="1"/>
    </row>
    <row r="395" spans="2:3" ht="15.75" customHeight="1">
      <c r="B395" s="1"/>
      <c r="C395" s="1"/>
    </row>
    <row r="396" spans="2:3" ht="15.75" customHeight="1">
      <c r="B396" s="1"/>
      <c r="C396" s="1"/>
    </row>
    <row r="397" spans="2:3" ht="15.75" customHeight="1">
      <c r="B397" s="1"/>
      <c r="C397" s="1"/>
    </row>
    <row r="398" spans="2:3" ht="15.75" customHeight="1">
      <c r="B398" s="1"/>
      <c r="C398" s="1"/>
    </row>
    <row r="399" spans="2:3" ht="15.75" customHeight="1">
      <c r="B399" s="1"/>
      <c r="C399" s="1"/>
    </row>
    <row r="400" spans="2:3" ht="15.75" customHeight="1">
      <c r="B400" s="1"/>
      <c r="C400" s="1"/>
    </row>
    <row r="401" spans="2:3" ht="15.75" customHeight="1">
      <c r="B401" s="1"/>
      <c r="C401" s="1"/>
    </row>
    <row r="402" spans="2:3" ht="15.75" customHeight="1">
      <c r="B402" s="1"/>
      <c r="C402" s="1"/>
    </row>
    <row r="403" spans="2:3" ht="15.75" customHeight="1">
      <c r="B403" s="1"/>
      <c r="C403" s="1"/>
    </row>
    <row r="404" spans="2:3" ht="15.75" customHeight="1">
      <c r="B404" s="1"/>
      <c r="C404" s="1"/>
    </row>
    <row r="405" spans="2:3" ht="15.75" customHeight="1">
      <c r="B405" s="1"/>
      <c r="C405" s="1"/>
    </row>
    <row r="406" spans="2:3" ht="15.75" customHeight="1">
      <c r="B406" s="1"/>
      <c r="C406" s="1"/>
    </row>
    <row r="407" spans="2:3" ht="15.75" customHeight="1">
      <c r="B407" s="1"/>
      <c r="C407" s="1"/>
    </row>
    <row r="408" spans="2:3" ht="15.75" customHeight="1">
      <c r="B408" s="1"/>
      <c r="C408" s="1"/>
    </row>
    <row r="409" spans="2:3" ht="15.75" customHeight="1">
      <c r="B409" s="1"/>
      <c r="C409" s="1"/>
    </row>
    <row r="410" spans="2:3" ht="15.75" customHeight="1">
      <c r="B410" s="1"/>
      <c r="C410" s="1"/>
    </row>
    <row r="411" spans="2:3" ht="15.75" customHeight="1">
      <c r="B411" s="1"/>
      <c r="C411" s="1"/>
    </row>
    <row r="412" spans="2:3" ht="15.75" customHeight="1">
      <c r="B412" s="1"/>
      <c r="C412" s="1"/>
    </row>
    <row r="413" spans="2:3" ht="15.75" customHeight="1">
      <c r="B413" s="1"/>
      <c r="C413" s="1"/>
    </row>
    <row r="414" spans="2:3" ht="15.75" customHeight="1">
      <c r="B414" s="1"/>
      <c r="C414" s="1"/>
    </row>
    <row r="415" spans="2:3" ht="15.75" customHeight="1">
      <c r="B415" s="1"/>
      <c r="C415" s="1"/>
    </row>
    <row r="416" spans="2:3" ht="15.75" customHeight="1">
      <c r="B416" s="1"/>
      <c r="C416" s="1"/>
    </row>
    <row r="417" spans="2:3" ht="15.75" customHeight="1">
      <c r="B417" s="1"/>
      <c r="C417" s="1"/>
    </row>
    <row r="418" spans="2:3" ht="15.75" customHeight="1">
      <c r="B418" s="1"/>
      <c r="C418" s="1"/>
    </row>
    <row r="419" spans="2:3" ht="15.75" customHeight="1">
      <c r="B419" s="1"/>
      <c r="C419" s="1"/>
    </row>
    <row r="420" spans="2:3" ht="15.75" customHeight="1">
      <c r="B420" s="1"/>
      <c r="C420" s="1"/>
    </row>
    <row r="421" spans="2:3" ht="15.75" customHeight="1">
      <c r="B421" s="1"/>
      <c r="C421" s="1"/>
    </row>
    <row r="422" spans="2:3" ht="15.75" customHeight="1">
      <c r="B422" s="1"/>
      <c r="C422" s="1"/>
    </row>
    <row r="423" spans="2:3" ht="15.75" customHeight="1">
      <c r="B423" s="1"/>
      <c r="C423" s="1"/>
    </row>
    <row r="424" spans="2:3" ht="15.75" customHeight="1">
      <c r="B424" s="1"/>
      <c r="C424" s="1"/>
    </row>
    <row r="425" spans="2:3" ht="15.75" customHeight="1">
      <c r="B425" s="1"/>
      <c r="C425" s="1"/>
    </row>
    <row r="426" spans="2:3" ht="15.75" customHeight="1">
      <c r="B426" s="1"/>
      <c r="C426" s="1"/>
    </row>
    <row r="427" spans="2:3" ht="15.75" customHeight="1">
      <c r="B427" s="1"/>
      <c r="C427" s="1"/>
    </row>
    <row r="428" spans="2:3" ht="15.75" customHeight="1">
      <c r="B428" s="1"/>
      <c r="C428" s="1"/>
    </row>
    <row r="429" spans="2:3" ht="15.75" customHeight="1">
      <c r="B429" s="1"/>
      <c r="C429" s="1"/>
    </row>
    <row r="430" spans="2:3" ht="15.75" customHeight="1">
      <c r="B430" s="1"/>
      <c r="C430" s="1"/>
    </row>
    <row r="431" spans="2:3" ht="15.75" customHeight="1">
      <c r="B431" s="1"/>
      <c r="C431" s="1"/>
    </row>
    <row r="432" spans="2:3" ht="15.75" customHeight="1">
      <c r="B432" s="1"/>
      <c r="C432" s="1"/>
    </row>
    <row r="433" spans="2:3" ht="15.75" customHeight="1">
      <c r="B433" s="1"/>
      <c r="C433" s="1"/>
    </row>
    <row r="434" spans="2:3" ht="15.75" customHeight="1">
      <c r="B434" s="1"/>
      <c r="C434" s="1"/>
    </row>
    <row r="435" spans="2:3" ht="15.75" customHeight="1">
      <c r="B435" s="1"/>
      <c r="C435" s="1"/>
    </row>
    <row r="436" spans="2:3" ht="15.75" customHeight="1">
      <c r="B436" s="1"/>
      <c r="C436" s="1"/>
    </row>
    <row r="437" spans="2:3" ht="15.75" customHeight="1">
      <c r="B437" s="1"/>
      <c r="C437" s="1"/>
    </row>
    <row r="438" spans="2:3" ht="15.75" customHeight="1">
      <c r="B438" s="1"/>
      <c r="C438" s="1"/>
    </row>
    <row r="439" spans="2:3" ht="15.75" customHeight="1">
      <c r="B439" s="1"/>
      <c r="C439" s="1"/>
    </row>
    <row r="440" spans="2:3" ht="15.75" customHeight="1">
      <c r="B440" s="1"/>
      <c r="C440" s="1"/>
    </row>
    <row r="441" spans="2:3" ht="15.75" customHeight="1">
      <c r="B441" s="1"/>
      <c r="C441" s="1"/>
    </row>
    <row r="442" spans="2:3" ht="15.75" customHeight="1">
      <c r="B442" s="1"/>
      <c r="C442" s="1"/>
    </row>
    <row r="443" spans="2:3" ht="15.75" customHeight="1">
      <c r="B443" s="1"/>
      <c r="C443" s="1"/>
    </row>
    <row r="444" spans="2:3" ht="15.75" customHeight="1">
      <c r="B444" s="1"/>
      <c r="C444" s="1"/>
    </row>
    <row r="445" spans="2:3" ht="15.75" customHeight="1">
      <c r="B445" s="1"/>
      <c r="C445" s="1"/>
    </row>
    <row r="446" spans="2:3" ht="15.75" customHeight="1">
      <c r="B446" s="1"/>
      <c r="C446" s="1"/>
    </row>
    <row r="447" spans="2:3" ht="15.75" customHeight="1">
      <c r="B447" s="1"/>
      <c r="C447" s="1"/>
    </row>
    <row r="448" spans="2:3" ht="15.75" customHeight="1">
      <c r="B448" s="1"/>
      <c r="C448" s="1"/>
    </row>
    <row r="449" spans="2:3" ht="15.75" customHeight="1">
      <c r="B449" s="1"/>
      <c r="C449" s="1"/>
    </row>
    <row r="450" spans="2:3" ht="15.75" customHeight="1">
      <c r="B450" s="1"/>
      <c r="C450" s="1"/>
    </row>
    <row r="451" spans="2:3" ht="15.75" customHeight="1">
      <c r="B451" s="1"/>
      <c r="C451" s="1"/>
    </row>
    <row r="452" spans="2:3" ht="15.75" customHeight="1">
      <c r="B452" s="1"/>
      <c r="C452" s="1"/>
    </row>
    <row r="453" spans="2:3" ht="15.75" customHeight="1">
      <c r="B453" s="1"/>
      <c r="C453" s="1"/>
    </row>
    <row r="454" spans="2:3" ht="15.75" customHeight="1">
      <c r="B454" s="1"/>
      <c r="C454" s="1"/>
    </row>
    <row r="455" spans="2:3" ht="15.75" customHeight="1">
      <c r="B455" s="1"/>
      <c r="C455" s="1"/>
    </row>
    <row r="456" spans="2:3" ht="15.75" customHeight="1">
      <c r="B456" s="1"/>
      <c r="C456" s="1"/>
    </row>
    <row r="457" spans="2:3" ht="15.75" customHeight="1">
      <c r="B457" s="1"/>
      <c r="C457" s="1"/>
    </row>
    <row r="458" spans="2:3" ht="15.75" customHeight="1">
      <c r="B458" s="1"/>
      <c r="C458" s="1"/>
    </row>
    <row r="459" spans="2:3" ht="15.75" customHeight="1">
      <c r="B459" s="1"/>
      <c r="C459" s="1"/>
    </row>
    <row r="460" spans="2:3" ht="15.75" customHeight="1">
      <c r="B460" s="1"/>
      <c r="C460" s="1"/>
    </row>
    <row r="461" spans="2:3" ht="15.75" customHeight="1">
      <c r="B461" s="1"/>
      <c r="C461" s="1"/>
    </row>
    <row r="462" spans="2:3" ht="15.75" customHeight="1">
      <c r="B462" s="1"/>
      <c r="C462" s="1"/>
    </row>
    <row r="463" spans="2:3" ht="15.75" customHeight="1">
      <c r="B463" s="1"/>
      <c r="C463" s="1"/>
    </row>
    <row r="464" spans="2:3" ht="15.75" customHeight="1">
      <c r="B464" s="1"/>
      <c r="C464" s="1"/>
    </row>
    <row r="465" spans="2:3" ht="15.75" customHeight="1">
      <c r="B465" s="1"/>
      <c r="C465" s="1"/>
    </row>
    <row r="466" spans="2:3" ht="15.75" customHeight="1">
      <c r="B466" s="1"/>
      <c r="C466" s="1"/>
    </row>
    <row r="467" spans="2:3" ht="15.75" customHeight="1">
      <c r="B467" s="1"/>
      <c r="C467" s="1"/>
    </row>
    <row r="468" spans="2:3" ht="15.75" customHeight="1">
      <c r="B468" s="1"/>
      <c r="C468" s="1"/>
    </row>
    <row r="469" spans="2:3" ht="15.75" customHeight="1">
      <c r="B469" s="1"/>
      <c r="C469" s="1"/>
    </row>
    <row r="470" spans="2:3" ht="15.75" customHeight="1">
      <c r="B470" s="1"/>
      <c r="C470" s="1"/>
    </row>
    <row r="471" spans="2:3" ht="15.75" customHeight="1">
      <c r="B471" s="1"/>
      <c r="C471" s="1"/>
    </row>
    <row r="472" spans="2:3" ht="15.75" customHeight="1">
      <c r="B472" s="1"/>
      <c r="C472" s="1"/>
    </row>
    <row r="473" spans="2:3" ht="15.75" customHeight="1">
      <c r="B473" s="1"/>
      <c r="C473" s="1"/>
    </row>
    <row r="474" spans="2:3" ht="15.75" customHeight="1">
      <c r="B474" s="1"/>
      <c r="C474" s="1"/>
    </row>
    <row r="475" spans="2:3" ht="15.75" customHeight="1">
      <c r="B475" s="1"/>
      <c r="C475" s="1"/>
    </row>
    <row r="476" spans="2:3" ht="15.75" customHeight="1">
      <c r="B476" s="1"/>
      <c r="C476" s="1"/>
    </row>
    <row r="477" spans="2:3" ht="15.75" customHeight="1">
      <c r="B477" s="1"/>
      <c r="C477" s="1"/>
    </row>
    <row r="478" spans="2:3" ht="15.75" customHeight="1">
      <c r="B478" s="1"/>
      <c r="C478" s="1"/>
    </row>
    <row r="479" spans="2:3" ht="15.75" customHeight="1">
      <c r="B479" s="1"/>
      <c r="C479" s="1"/>
    </row>
    <row r="480" spans="2:3" ht="15.75" customHeight="1">
      <c r="B480" s="1"/>
      <c r="C480" s="1"/>
    </row>
    <row r="481" spans="2:3" ht="15.75" customHeight="1">
      <c r="B481" s="1"/>
      <c r="C481" s="1"/>
    </row>
    <row r="482" spans="2:3" ht="15.75" customHeight="1">
      <c r="B482" s="1"/>
      <c r="C482" s="1"/>
    </row>
    <row r="483" spans="2:3" ht="15.75" customHeight="1">
      <c r="B483" s="1"/>
      <c r="C483" s="1"/>
    </row>
    <row r="484" spans="2:3" ht="15.75" customHeight="1">
      <c r="B484" s="1"/>
      <c r="C484" s="1"/>
    </row>
    <row r="485" spans="2:3" ht="15.75" customHeight="1">
      <c r="B485" s="1"/>
      <c r="C485" s="1"/>
    </row>
    <row r="486" spans="2:3" ht="15.75" customHeight="1">
      <c r="B486" s="1"/>
      <c r="C486" s="1"/>
    </row>
    <row r="487" spans="2:3" ht="15.75" customHeight="1">
      <c r="B487" s="1"/>
      <c r="C487" s="1"/>
    </row>
    <row r="488" spans="2:3" ht="15.75" customHeight="1">
      <c r="B488" s="1"/>
      <c r="C488" s="1"/>
    </row>
    <row r="489" spans="2:3" ht="15.75" customHeight="1">
      <c r="B489" s="1"/>
      <c r="C489" s="1"/>
    </row>
    <row r="490" spans="2:3" ht="15.75" customHeight="1">
      <c r="B490" s="1"/>
      <c r="C490" s="1"/>
    </row>
    <row r="491" spans="2:3" ht="15.75" customHeight="1">
      <c r="B491" s="1"/>
      <c r="C491" s="1"/>
    </row>
    <row r="492" spans="2:3" ht="15.75" customHeight="1">
      <c r="B492" s="1"/>
      <c r="C492" s="1"/>
    </row>
    <row r="493" spans="2:3" ht="15.75" customHeight="1">
      <c r="B493" s="1"/>
      <c r="C493" s="1"/>
    </row>
    <row r="494" spans="2:3" ht="15.75" customHeight="1">
      <c r="B494" s="1"/>
      <c r="C494" s="1"/>
    </row>
    <row r="495" spans="2:3" ht="15.75" customHeight="1">
      <c r="B495" s="1"/>
      <c r="C495" s="1"/>
    </row>
    <row r="496" spans="2:3" ht="15.75" customHeight="1">
      <c r="B496" s="1"/>
      <c r="C496" s="1"/>
    </row>
    <row r="497" spans="2:3" ht="15.75" customHeight="1">
      <c r="B497" s="1"/>
      <c r="C497" s="1"/>
    </row>
    <row r="498" spans="2:3" ht="15.75" customHeight="1">
      <c r="B498" s="1"/>
      <c r="C498" s="1"/>
    </row>
    <row r="499" spans="2:3" ht="15.75" customHeight="1">
      <c r="B499" s="1"/>
      <c r="C499" s="1"/>
    </row>
    <row r="500" spans="2:3" ht="15.75" customHeight="1">
      <c r="B500" s="1"/>
      <c r="C500" s="1"/>
    </row>
    <row r="501" spans="2:3" ht="15.75" customHeight="1">
      <c r="B501" s="1"/>
      <c r="C501" s="1"/>
    </row>
    <row r="502" spans="2:3" ht="15.75" customHeight="1">
      <c r="B502" s="1"/>
      <c r="C502" s="1"/>
    </row>
    <row r="503" spans="2:3" ht="15.75" customHeight="1">
      <c r="B503" s="1"/>
      <c r="C503" s="1"/>
    </row>
    <row r="504" spans="2:3" ht="15.75" customHeight="1">
      <c r="B504" s="1"/>
      <c r="C504" s="1"/>
    </row>
    <row r="505" spans="2:3" ht="15.75" customHeight="1">
      <c r="B505" s="1"/>
      <c r="C505" s="1"/>
    </row>
    <row r="506" spans="2:3" ht="15.75" customHeight="1">
      <c r="B506" s="1"/>
      <c r="C506" s="1"/>
    </row>
    <row r="507" spans="2:3" ht="15.75" customHeight="1">
      <c r="B507" s="1"/>
      <c r="C507" s="1"/>
    </row>
    <row r="508" spans="2:3" ht="15.75" customHeight="1">
      <c r="B508" s="1"/>
      <c r="C508" s="1"/>
    </row>
    <row r="509" spans="2:3" ht="15.75" customHeight="1">
      <c r="B509" s="1"/>
      <c r="C509" s="1"/>
    </row>
    <row r="510" spans="2:3" ht="15.75" customHeight="1">
      <c r="B510" s="1"/>
      <c r="C510" s="1"/>
    </row>
    <row r="511" spans="2:3" ht="15.75" customHeight="1">
      <c r="B511" s="1"/>
      <c r="C511" s="1"/>
    </row>
    <row r="512" spans="2:3" ht="15.75" customHeight="1">
      <c r="B512" s="1"/>
      <c r="C512" s="1"/>
    </row>
    <row r="513" spans="2:3" ht="15.75" customHeight="1">
      <c r="B513" s="1"/>
      <c r="C513" s="1"/>
    </row>
    <row r="514" spans="2:3" ht="15.75" customHeight="1">
      <c r="B514" s="1"/>
      <c r="C514" s="1"/>
    </row>
    <row r="515" spans="2:3" ht="15.75" customHeight="1">
      <c r="B515" s="1"/>
      <c r="C515" s="1"/>
    </row>
    <row r="516" spans="2:3" ht="15.75" customHeight="1">
      <c r="B516" s="1"/>
      <c r="C516" s="1"/>
    </row>
    <row r="517" spans="2:3" ht="15.75" customHeight="1">
      <c r="B517" s="1"/>
      <c r="C517" s="1"/>
    </row>
    <row r="518" spans="2:3" ht="15.75" customHeight="1">
      <c r="B518" s="1"/>
      <c r="C518" s="1"/>
    </row>
    <row r="519" spans="2:3" ht="15.75" customHeight="1">
      <c r="B519" s="1"/>
      <c r="C519" s="1"/>
    </row>
    <row r="520" spans="2:3" ht="15.75" customHeight="1">
      <c r="B520" s="1"/>
      <c r="C520" s="1"/>
    </row>
    <row r="521" spans="2:3" ht="15.75" customHeight="1">
      <c r="B521" s="1"/>
      <c r="C521" s="1"/>
    </row>
    <row r="522" spans="2:3" ht="15.75" customHeight="1">
      <c r="B522" s="1"/>
      <c r="C522" s="1"/>
    </row>
    <row r="523" spans="2:3" ht="15.75" customHeight="1">
      <c r="B523" s="1"/>
      <c r="C523" s="1"/>
    </row>
    <row r="524" spans="2:3" ht="15.75" customHeight="1">
      <c r="B524" s="1"/>
      <c r="C524" s="1"/>
    </row>
    <row r="525" spans="2:3" ht="15.75" customHeight="1">
      <c r="B525" s="1"/>
      <c r="C525" s="1"/>
    </row>
    <row r="526" spans="2:3" ht="15.75" customHeight="1">
      <c r="B526" s="1"/>
      <c r="C526" s="1"/>
    </row>
    <row r="527" spans="2:3" ht="15.75" customHeight="1">
      <c r="B527" s="1"/>
      <c r="C527" s="1"/>
    </row>
    <row r="528" spans="2:3" ht="15.75" customHeight="1">
      <c r="B528" s="1"/>
      <c r="C528" s="1"/>
    </row>
    <row r="529" spans="2:3" ht="15.75" customHeight="1">
      <c r="B529" s="1"/>
      <c r="C529" s="1"/>
    </row>
    <row r="530" spans="2:3" ht="15.75" customHeight="1">
      <c r="B530" s="1"/>
      <c r="C530" s="1"/>
    </row>
    <row r="531" spans="2:3" ht="15.75" customHeight="1">
      <c r="B531" s="1"/>
      <c r="C531" s="1"/>
    </row>
    <row r="532" spans="2:3" ht="15.75" customHeight="1">
      <c r="B532" s="1"/>
      <c r="C532" s="1"/>
    </row>
    <row r="533" spans="2:3" ht="15.75" customHeight="1">
      <c r="B533" s="1"/>
      <c r="C533" s="1"/>
    </row>
    <row r="534" spans="2:3" ht="15.75" customHeight="1">
      <c r="B534" s="1"/>
      <c r="C534" s="1"/>
    </row>
    <row r="535" spans="2:3" ht="15.75" customHeight="1">
      <c r="B535" s="1"/>
      <c r="C535" s="1"/>
    </row>
    <row r="536" spans="2:3" ht="15.75" customHeight="1">
      <c r="B536" s="1"/>
      <c r="C536" s="1"/>
    </row>
    <row r="537" spans="2:3" ht="15.75" customHeight="1">
      <c r="B537" s="1"/>
      <c r="C537" s="1"/>
    </row>
    <row r="538" spans="2:3" ht="15.75" customHeight="1">
      <c r="B538" s="1"/>
      <c r="C538" s="1"/>
    </row>
    <row r="539" spans="2:3" ht="15.75" customHeight="1">
      <c r="B539" s="1"/>
      <c r="C539" s="1"/>
    </row>
    <row r="540" spans="2:3" ht="15.75" customHeight="1">
      <c r="B540" s="1"/>
      <c r="C540" s="1"/>
    </row>
    <row r="541" spans="2:3" ht="15.75" customHeight="1">
      <c r="B541" s="1"/>
      <c r="C541" s="1"/>
    </row>
    <row r="542" spans="2:3" ht="15.75" customHeight="1">
      <c r="B542" s="1"/>
      <c r="C542" s="1"/>
    </row>
    <row r="543" spans="2:3" ht="15.75" customHeight="1">
      <c r="B543" s="1"/>
      <c r="C543" s="1"/>
    </row>
    <row r="544" spans="2:3" ht="15.75" customHeight="1">
      <c r="B544" s="1"/>
      <c r="C544" s="1"/>
    </row>
    <row r="545" spans="2:3" ht="15.75" customHeight="1">
      <c r="B545" s="1"/>
      <c r="C545" s="1"/>
    </row>
    <row r="546" spans="2:3" ht="15.75" customHeight="1">
      <c r="B546" s="1"/>
      <c r="C546" s="1"/>
    </row>
    <row r="547" spans="2:3" ht="15.75" customHeight="1">
      <c r="B547" s="1"/>
      <c r="C547" s="1"/>
    </row>
    <row r="548" spans="2:3" ht="15.75" customHeight="1">
      <c r="B548" s="1"/>
      <c r="C548" s="1"/>
    </row>
    <row r="549" spans="2:3" ht="15.75" customHeight="1">
      <c r="B549" s="1"/>
      <c r="C549" s="1"/>
    </row>
    <row r="550" spans="2:3" ht="15.75" customHeight="1">
      <c r="B550" s="1"/>
      <c r="C550" s="1"/>
    </row>
    <row r="551" spans="2:3" ht="15.75" customHeight="1">
      <c r="B551" s="1"/>
      <c r="C551" s="1"/>
    </row>
    <row r="552" spans="2:3" ht="15.75" customHeight="1">
      <c r="B552" s="1"/>
      <c r="C552" s="1"/>
    </row>
    <row r="553" spans="2:3" ht="15.75" customHeight="1">
      <c r="B553" s="1"/>
      <c r="C553" s="1"/>
    </row>
    <row r="554" spans="2:3" ht="15.75" customHeight="1">
      <c r="B554" s="1"/>
      <c r="C554" s="1"/>
    </row>
    <row r="555" spans="2:3" ht="15.75" customHeight="1">
      <c r="B555" s="1"/>
      <c r="C555" s="1"/>
    </row>
    <row r="556" spans="2:3" ht="15.75" customHeight="1">
      <c r="B556" s="1"/>
      <c r="C556" s="1"/>
    </row>
    <row r="557" spans="2:3" ht="15.75" customHeight="1">
      <c r="B557" s="1"/>
      <c r="C557" s="1"/>
    </row>
    <row r="558" spans="2:3" ht="15.75" customHeight="1">
      <c r="B558" s="1"/>
      <c r="C558" s="1"/>
    </row>
    <row r="559" spans="2:3" ht="15.75" customHeight="1">
      <c r="B559" s="1"/>
      <c r="C559" s="1"/>
    </row>
    <row r="560" spans="2:3" ht="15.75" customHeight="1">
      <c r="B560" s="1"/>
      <c r="C560" s="1"/>
    </row>
    <row r="561" spans="2:3" ht="15.75" customHeight="1">
      <c r="B561" s="1"/>
      <c r="C561" s="1"/>
    </row>
    <row r="562" spans="2:3" ht="15.75" customHeight="1">
      <c r="B562" s="1"/>
      <c r="C562" s="1"/>
    </row>
    <row r="563" spans="2:3" ht="15.75" customHeight="1">
      <c r="B563" s="1"/>
      <c r="C563" s="1"/>
    </row>
    <row r="564" spans="2:3" ht="15.75" customHeight="1">
      <c r="B564" s="1"/>
      <c r="C564" s="1"/>
    </row>
    <row r="565" spans="2:3" ht="15.75" customHeight="1">
      <c r="B565" s="1"/>
      <c r="C565" s="1"/>
    </row>
    <row r="566" spans="2:3" ht="15.75" customHeight="1">
      <c r="B566" s="1"/>
      <c r="C566" s="1"/>
    </row>
    <row r="567" spans="2:3" ht="15.75" customHeight="1">
      <c r="B567" s="1"/>
      <c r="C567" s="1"/>
    </row>
    <row r="568" spans="2:3" ht="15.75" customHeight="1">
      <c r="B568" s="1"/>
      <c r="C568" s="1"/>
    </row>
    <row r="569" spans="2:3" ht="15.75" customHeight="1">
      <c r="B569" s="1"/>
      <c r="C569" s="1"/>
    </row>
    <row r="570" spans="2:3" ht="15.75" customHeight="1">
      <c r="B570" s="1"/>
      <c r="C570" s="1"/>
    </row>
    <row r="571" spans="2:3" ht="15.75" customHeight="1">
      <c r="B571" s="1"/>
      <c r="C571" s="1"/>
    </row>
    <row r="572" spans="2:3" ht="15.75" customHeight="1">
      <c r="B572" s="1"/>
      <c r="C572" s="1"/>
    </row>
    <row r="573" spans="2:3" ht="15.75" customHeight="1">
      <c r="B573" s="1"/>
      <c r="C573" s="1"/>
    </row>
    <row r="574" spans="2:3" ht="15.75" customHeight="1">
      <c r="B574" s="1"/>
      <c r="C574" s="1"/>
    </row>
    <row r="575" spans="2:3" ht="15.75" customHeight="1">
      <c r="B575" s="1"/>
      <c r="C575" s="1"/>
    </row>
    <row r="576" spans="2:3" ht="15.75" customHeight="1">
      <c r="B576" s="1"/>
      <c r="C576" s="1"/>
    </row>
    <row r="577" spans="2:3" ht="15.75" customHeight="1">
      <c r="B577" s="1"/>
      <c r="C577" s="1"/>
    </row>
    <row r="578" spans="2:3" ht="15.75" customHeight="1">
      <c r="B578" s="1"/>
      <c r="C578" s="1"/>
    </row>
    <row r="579" spans="2:3" ht="15.75" customHeight="1">
      <c r="B579" s="1"/>
      <c r="C579" s="1"/>
    </row>
    <row r="580" spans="2:3" ht="15.75" customHeight="1">
      <c r="B580" s="1"/>
      <c r="C580" s="1"/>
    </row>
    <row r="581" spans="2:3" ht="15.75" customHeight="1">
      <c r="B581" s="1"/>
      <c r="C581" s="1"/>
    </row>
    <row r="582" spans="2:3" ht="15.75" customHeight="1">
      <c r="B582" s="1"/>
      <c r="C582" s="1"/>
    </row>
    <row r="583" spans="2:3" ht="15.75" customHeight="1">
      <c r="B583" s="1"/>
      <c r="C583" s="1"/>
    </row>
    <row r="584" spans="2:3" ht="15.75" customHeight="1">
      <c r="B584" s="1"/>
      <c r="C584" s="1"/>
    </row>
    <row r="585" spans="2:3" ht="15.75" customHeight="1">
      <c r="B585" s="1"/>
      <c r="C585" s="1"/>
    </row>
    <row r="586" spans="2:3" ht="15.75" customHeight="1">
      <c r="B586" s="1"/>
      <c r="C586" s="1"/>
    </row>
    <row r="587" spans="2:3" ht="15.75" customHeight="1">
      <c r="B587" s="1"/>
      <c r="C587" s="1"/>
    </row>
    <row r="588" spans="2:3" ht="15.75" customHeight="1">
      <c r="B588" s="1"/>
      <c r="C588" s="1"/>
    </row>
    <row r="589" spans="2:3" ht="15.75" customHeight="1">
      <c r="B589" s="1"/>
      <c r="C589" s="1"/>
    </row>
    <row r="590" spans="2:3" ht="15.75" customHeight="1">
      <c r="B590" s="1"/>
      <c r="C590" s="1"/>
    </row>
    <row r="591" spans="2:3" ht="15.75" customHeight="1">
      <c r="B591" s="1"/>
      <c r="C591" s="1"/>
    </row>
    <row r="592" spans="2:3" ht="15.75" customHeight="1">
      <c r="B592" s="1"/>
      <c r="C592" s="1"/>
    </row>
    <row r="593" spans="2:3" ht="15.75" customHeight="1">
      <c r="B593" s="1"/>
      <c r="C593" s="1"/>
    </row>
    <row r="594" spans="2:3" ht="15.75" customHeight="1">
      <c r="B594" s="1"/>
      <c r="C594" s="1"/>
    </row>
    <row r="595" spans="2:3" ht="15.75" customHeight="1">
      <c r="B595" s="1"/>
      <c r="C595" s="1"/>
    </row>
    <row r="596" spans="2:3" ht="15.75" customHeight="1">
      <c r="B596" s="1"/>
      <c r="C596" s="1"/>
    </row>
    <row r="597" spans="2:3" ht="15.75" customHeight="1">
      <c r="B597" s="1"/>
      <c r="C597" s="1"/>
    </row>
    <row r="598" spans="2:3" ht="15.75" customHeight="1">
      <c r="B598" s="1"/>
      <c r="C598" s="1"/>
    </row>
    <row r="599" spans="2:3" ht="15.75" customHeight="1">
      <c r="B599" s="1"/>
      <c r="C599" s="1"/>
    </row>
    <row r="600" spans="2:3" ht="15.75" customHeight="1">
      <c r="B600" s="1"/>
      <c r="C600" s="1"/>
    </row>
    <row r="601" spans="2:3" ht="15.75" customHeight="1">
      <c r="B601" s="1"/>
      <c r="C601" s="1"/>
    </row>
    <row r="602" spans="2:3" ht="15.75" customHeight="1">
      <c r="B602" s="1"/>
      <c r="C602" s="1"/>
    </row>
    <row r="603" spans="2:3" ht="15.75" customHeight="1">
      <c r="B603" s="1"/>
      <c r="C603" s="1"/>
    </row>
    <row r="604" spans="2:3" ht="15.75" customHeight="1">
      <c r="B604" s="1"/>
      <c r="C604" s="1"/>
    </row>
    <row r="605" spans="2:3" ht="15.75" customHeight="1">
      <c r="B605" s="1"/>
      <c r="C605" s="1"/>
    </row>
    <row r="606" spans="2:3" ht="15.75" customHeight="1">
      <c r="B606" s="1"/>
      <c r="C606" s="1"/>
    </row>
    <row r="607" spans="2:3" ht="15.75" customHeight="1">
      <c r="B607" s="1"/>
      <c r="C607" s="1"/>
    </row>
    <row r="608" spans="2:3" ht="15.75" customHeight="1">
      <c r="B608" s="1"/>
      <c r="C608" s="1"/>
    </row>
    <row r="609" spans="2:3" ht="15.75" customHeight="1">
      <c r="B609" s="1"/>
      <c r="C609" s="1"/>
    </row>
    <row r="610" spans="2:3" ht="15.75" customHeight="1">
      <c r="B610" s="1"/>
      <c r="C610" s="1"/>
    </row>
    <row r="611" spans="2:3" ht="15.75" customHeight="1">
      <c r="B611" s="1"/>
      <c r="C611" s="1"/>
    </row>
    <row r="612" spans="2:3" ht="15.75" customHeight="1">
      <c r="B612" s="1"/>
      <c r="C612" s="1"/>
    </row>
    <row r="613" spans="2:3" ht="15.75" customHeight="1">
      <c r="B613" s="1"/>
      <c r="C613" s="1"/>
    </row>
    <row r="614" spans="2:3" ht="15.75" customHeight="1">
      <c r="B614" s="1"/>
      <c r="C614" s="1"/>
    </row>
    <row r="615" spans="2:3" ht="15.75" customHeight="1">
      <c r="B615" s="1"/>
      <c r="C615" s="1"/>
    </row>
    <row r="616" spans="2:3" ht="15.75" customHeight="1">
      <c r="B616" s="1"/>
      <c r="C616" s="1"/>
    </row>
    <row r="617" spans="2:3" ht="15.75" customHeight="1">
      <c r="B617" s="1"/>
      <c r="C617" s="1"/>
    </row>
    <row r="618" spans="2:3" ht="15.75" customHeight="1">
      <c r="B618" s="1"/>
      <c r="C618" s="1"/>
    </row>
    <row r="619" spans="2:3" ht="15.75" customHeight="1">
      <c r="B619" s="1"/>
      <c r="C619" s="1"/>
    </row>
    <row r="620" spans="2:3" ht="15.75" customHeight="1">
      <c r="B620" s="1"/>
      <c r="C620" s="1"/>
    </row>
    <row r="621" spans="2:3" ht="15.75" customHeight="1">
      <c r="B621" s="1"/>
      <c r="C621" s="1"/>
    </row>
    <row r="622" spans="2:3" ht="15.75" customHeight="1">
      <c r="B622" s="1"/>
      <c r="C622" s="1"/>
    </row>
    <row r="623" spans="2:3" ht="15.75" customHeight="1">
      <c r="B623" s="1"/>
      <c r="C623" s="1"/>
    </row>
    <row r="624" spans="2:3" ht="15.75" customHeight="1">
      <c r="B624" s="1"/>
      <c r="C624" s="1"/>
    </row>
    <row r="625" spans="2:3" ht="15.75" customHeight="1">
      <c r="B625" s="1"/>
      <c r="C625" s="1"/>
    </row>
    <row r="626" spans="2:3" ht="15.75" customHeight="1">
      <c r="B626" s="1"/>
      <c r="C626" s="1"/>
    </row>
    <row r="627" spans="2:3" ht="15.75" customHeight="1">
      <c r="B627" s="1"/>
      <c r="C627" s="1"/>
    </row>
    <row r="628" spans="2:3" ht="15.75" customHeight="1">
      <c r="B628" s="1"/>
      <c r="C628" s="1"/>
    </row>
    <row r="629" spans="2:3" ht="15.75" customHeight="1">
      <c r="B629" s="1"/>
      <c r="C629" s="1"/>
    </row>
    <row r="630" spans="2:3" ht="15.75" customHeight="1">
      <c r="B630" s="1"/>
      <c r="C630" s="1"/>
    </row>
    <row r="631" spans="2:3" ht="15.75" customHeight="1">
      <c r="B631" s="1"/>
      <c r="C631" s="1"/>
    </row>
    <row r="632" spans="2:3" ht="15.75" customHeight="1">
      <c r="B632" s="1"/>
      <c r="C632" s="1"/>
    </row>
    <row r="633" spans="2:3" ht="15.75" customHeight="1">
      <c r="B633" s="1"/>
      <c r="C633" s="1"/>
    </row>
    <row r="634" spans="2:3" ht="15.75" customHeight="1">
      <c r="B634" s="1"/>
      <c r="C634" s="1"/>
    </row>
    <row r="635" spans="2:3" ht="15.75" customHeight="1">
      <c r="B635" s="1"/>
      <c r="C635" s="1"/>
    </row>
    <row r="636" spans="2:3" ht="15.75" customHeight="1">
      <c r="B636" s="1"/>
      <c r="C636" s="1"/>
    </row>
    <row r="637" spans="2:3" ht="15.75" customHeight="1">
      <c r="B637" s="1"/>
      <c r="C637" s="1"/>
    </row>
    <row r="638" spans="2:3" ht="15.75" customHeight="1">
      <c r="B638" s="1"/>
      <c r="C638" s="1"/>
    </row>
    <row r="639" spans="2:3" ht="15.75" customHeight="1">
      <c r="B639" s="1"/>
      <c r="C639" s="1"/>
    </row>
    <row r="640" spans="2:3" ht="15.75" customHeight="1">
      <c r="B640" s="1"/>
      <c r="C640" s="1"/>
    </row>
    <row r="641" spans="2:3" ht="15.75" customHeight="1">
      <c r="B641" s="1"/>
      <c r="C641" s="1"/>
    </row>
    <row r="642" spans="2:3" ht="15.75" customHeight="1">
      <c r="B642" s="1"/>
      <c r="C642" s="1"/>
    </row>
    <row r="643" spans="2:3" ht="15.75" customHeight="1">
      <c r="B643" s="1"/>
      <c r="C643" s="1"/>
    </row>
    <row r="644" spans="2:3" ht="15.75" customHeight="1">
      <c r="B644" s="1"/>
      <c r="C644" s="1"/>
    </row>
    <row r="645" spans="2:3" ht="15.75" customHeight="1">
      <c r="B645" s="1"/>
      <c r="C645" s="1"/>
    </row>
    <row r="646" spans="2:3" ht="15.75" customHeight="1">
      <c r="B646" s="1"/>
      <c r="C646" s="1"/>
    </row>
    <row r="647" spans="2:3" ht="15.75" customHeight="1">
      <c r="B647" s="1"/>
      <c r="C647" s="1"/>
    </row>
    <row r="648" spans="2:3" ht="15.75" customHeight="1">
      <c r="B648" s="1"/>
      <c r="C648" s="1"/>
    </row>
    <row r="649" spans="2:3" ht="15.75" customHeight="1">
      <c r="B649" s="1"/>
      <c r="C649" s="1"/>
    </row>
    <row r="650" spans="2:3" ht="15.75" customHeight="1">
      <c r="B650" s="1"/>
      <c r="C650" s="1"/>
    </row>
    <row r="651" spans="2:3" ht="15.75" customHeight="1">
      <c r="B651" s="1"/>
      <c r="C651" s="1"/>
    </row>
    <row r="652" spans="2:3" ht="15.75" customHeight="1">
      <c r="B652" s="1"/>
      <c r="C652" s="1"/>
    </row>
    <row r="653" spans="2:3" ht="15.75" customHeight="1">
      <c r="B653" s="1"/>
      <c r="C653" s="1"/>
    </row>
    <row r="654" spans="2:3" ht="15.75" customHeight="1">
      <c r="B654" s="1"/>
      <c r="C654" s="1"/>
    </row>
    <row r="655" spans="2:3" ht="15.75" customHeight="1">
      <c r="B655" s="1"/>
      <c r="C655" s="1"/>
    </row>
    <row r="656" spans="2:3" ht="15.75" customHeight="1">
      <c r="B656" s="1"/>
      <c r="C656" s="1"/>
    </row>
    <row r="657" spans="2:3" ht="15.75" customHeight="1">
      <c r="B657" s="1"/>
      <c r="C657" s="1"/>
    </row>
    <row r="658" spans="2:3" ht="15.75" customHeight="1">
      <c r="B658" s="1"/>
      <c r="C658" s="1"/>
    </row>
    <row r="659" spans="2:3" ht="15.75" customHeight="1">
      <c r="B659" s="1"/>
      <c r="C659" s="1"/>
    </row>
    <row r="660" spans="2:3" ht="15.75" customHeight="1">
      <c r="B660" s="1"/>
      <c r="C660" s="1"/>
    </row>
    <row r="661" spans="2:3" ht="15.75" customHeight="1">
      <c r="B661" s="1"/>
      <c r="C661" s="1"/>
    </row>
    <row r="662" spans="2:3" ht="15.75" customHeight="1">
      <c r="B662" s="1"/>
      <c r="C662" s="1"/>
    </row>
    <row r="663" spans="2:3" ht="15.75" customHeight="1">
      <c r="B663" s="1"/>
      <c r="C663" s="1"/>
    </row>
    <row r="664" spans="2:3" ht="15.75" customHeight="1">
      <c r="B664" s="1"/>
      <c r="C664" s="1"/>
    </row>
    <row r="665" spans="2:3" ht="15.75" customHeight="1">
      <c r="B665" s="1"/>
      <c r="C665" s="1"/>
    </row>
    <row r="666" spans="2:3" ht="15.75" customHeight="1">
      <c r="B666" s="1"/>
      <c r="C666" s="1"/>
    </row>
    <row r="667" spans="2:3" ht="15.75" customHeight="1">
      <c r="B667" s="1"/>
      <c r="C667" s="1"/>
    </row>
    <row r="668" spans="2:3" ht="15.75" customHeight="1">
      <c r="B668" s="1"/>
      <c r="C668" s="1"/>
    </row>
    <row r="669" spans="2:3" ht="15.75" customHeight="1">
      <c r="B669" s="1"/>
      <c r="C669" s="1"/>
    </row>
    <row r="670" spans="2:3" ht="15.75" customHeight="1">
      <c r="B670" s="1"/>
      <c r="C670" s="1"/>
    </row>
    <row r="671" spans="2:3" ht="15.75" customHeight="1">
      <c r="B671" s="1"/>
      <c r="C671" s="1"/>
    </row>
    <row r="672" spans="2:3" ht="15.75" customHeight="1">
      <c r="B672" s="1"/>
      <c r="C672" s="1"/>
    </row>
    <row r="673" spans="2:3" ht="15.75" customHeight="1">
      <c r="B673" s="1"/>
      <c r="C673" s="1"/>
    </row>
    <row r="674" spans="2:3" ht="15.75" customHeight="1">
      <c r="B674" s="1"/>
      <c r="C674" s="1"/>
    </row>
    <row r="675" spans="2:3" ht="15.75" customHeight="1">
      <c r="B675" s="1"/>
      <c r="C675" s="1"/>
    </row>
    <row r="676" spans="2:3" ht="15.75" customHeight="1">
      <c r="B676" s="1"/>
      <c r="C676" s="1"/>
    </row>
    <row r="677" spans="2:3" ht="15.75" customHeight="1">
      <c r="B677" s="1"/>
      <c r="C677" s="1"/>
    </row>
    <row r="678" spans="2:3" ht="15.75" customHeight="1">
      <c r="B678" s="1"/>
      <c r="C678" s="1"/>
    </row>
    <row r="679" spans="2:3" ht="15.75" customHeight="1">
      <c r="B679" s="1"/>
      <c r="C679" s="1"/>
    </row>
    <row r="680" spans="2:3" ht="15.75" customHeight="1">
      <c r="B680" s="1"/>
      <c r="C680" s="1"/>
    </row>
    <row r="681" spans="2:3" ht="15.75" customHeight="1">
      <c r="B681" s="1"/>
      <c r="C681" s="1"/>
    </row>
    <row r="682" spans="2:3" ht="15.75" customHeight="1">
      <c r="B682" s="1"/>
      <c r="C682" s="1"/>
    </row>
    <row r="683" spans="2:3" ht="15.75" customHeight="1">
      <c r="B683" s="1"/>
      <c r="C683" s="1"/>
    </row>
    <row r="684" spans="2:3" ht="15.75" customHeight="1">
      <c r="B684" s="1"/>
      <c r="C684" s="1"/>
    </row>
    <row r="685" spans="2:3" ht="15.75" customHeight="1">
      <c r="B685" s="1"/>
      <c r="C685" s="1"/>
    </row>
    <row r="686" spans="2:3" ht="15.75" customHeight="1">
      <c r="B686" s="1"/>
      <c r="C686" s="1"/>
    </row>
    <row r="687" spans="2:3" ht="15.75" customHeight="1">
      <c r="B687" s="1"/>
      <c r="C687" s="1"/>
    </row>
    <row r="688" spans="2:3" ht="15.75" customHeight="1">
      <c r="B688" s="1"/>
      <c r="C688" s="1"/>
    </row>
    <row r="689" spans="2:3" ht="15.75" customHeight="1">
      <c r="B689" s="1"/>
      <c r="C689" s="1"/>
    </row>
    <row r="690" spans="2:3" ht="15.75" customHeight="1">
      <c r="B690" s="1"/>
      <c r="C690" s="1"/>
    </row>
    <row r="691" spans="2:3" ht="15.75" customHeight="1">
      <c r="B691" s="1"/>
      <c r="C691" s="1"/>
    </row>
    <row r="692" spans="2:3" ht="15.75" customHeight="1">
      <c r="B692" s="1"/>
      <c r="C692" s="1"/>
    </row>
    <row r="693" spans="2:3" ht="15.75" customHeight="1">
      <c r="B693" s="1"/>
      <c r="C693" s="1"/>
    </row>
    <row r="694" spans="2:3" ht="15.75" customHeight="1">
      <c r="B694" s="1"/>
      <c r="C694" s="1"/>
    </row>
    <row r="695" spans="2:3" ht="15.75" customHeight="1">
      <c r="B695" s="1"/>
      <c r="C695" s="1"/>
    </row>
    <row r="696" spans="2:3" ht="15.75" customHeight="1">
      <c r="B696" s="1"/>
      <c r="C696" s="1"/>
    </row>
    <row r="697" spans="2:3" ht="15.75" customHeight="1">
      <c r="B697" s="1"/>
      <c r="C697" s="1"/>
    </row>
    <row r="698" spans="2:3" ht="15.75" customHeight="1">
      <c r="B698" s="1"/>
      <c r="C698" s="1"/>
    </row>
    <row r="699" spans="2:3" ht="15.75" customHeight="1">
      <c r="B699" s="1"/>
      <c r="C699" s="1"/>
    </row>
    <row r="700" spans="2:3" ht="15.75" customHeight="1">
      <c r="B700" s="1"/>
      <c r="C700" s="1"/>
    </row>
    <row r="701" spans="2:3" ht="15.75" customHeight="1">
      <c r="B701" s="1"/>
      <c r="C701" s="1"/>
    </row>
    <row r="702" spans="2:3" ht="15.75" customHeight="1">
      <c r="B702" s="1"/>
      <c r="C702" s="1"/>
    </row>
    <row r="703" spans="2:3" ht="15.75" customHeight="1">
      <c r="B703" s="1"/>
      <c r="C703" s="1"/>
    </row>
    <row r="704" spans="2:3" ht="15.75" customHeight="1">
      <c r="B704" s="1"/>
      <c r="C704" s="1"/>
    </row>
    <row r="705" spans="2:3" ht="15.75" customHeight="1">
      <c r="B705" s="1"/>
      <c r="C705" s="1"/>
    </row>
    <row r="706" spans="2:3" ht="15.75" customHeight="1">
      <c r="B706" s="1"/>
      <c r="C706" s="1"/>
    </row>
    <row r="707" spans="2:3" ht="15.75" customHeight="1">
      <c r="B707" s="1"/>
      <c r="C707" s="1"/>
    </row>
    <row r="708" spans="2:3" ht="15.75" customHeight="1">
      <c r="B708" s="1"/>
      <c r="C708" s="1"/>
    </row>
    <row r="709" spans="2:3" ht="15.75" customHeight="1">
      <c r="B709" s="1"/>
      <c r="C709" s="1"/>
    </row>
    <row r="710" spans="2:3" ht="15.75" customHeight="1">
      <c r="B710" s="1"/>
      <c r="C710" s="1"/>
    </row>
    <row r="711" spans="2:3" ht="15.75" customHeight="1">
      <c r="B711" s="1"/>
      <c r="C711" s="1"/>
    </row>
    <row r="712" spans="2:3" ht="15.75" customHeight="1">
      <c r="B712" s="1"/>
      <c r="C712" s="1"/>
    </row>
    <row r="713" spans="2:3" ht="15.75" customHeight="1">
      <c r="B713" s="1"/>
      <c r="C713" s="1"/>
    </row>
    <row r="714" spans="2:3" ht="15.75" customHeight="1">
      <c r="B714" s="1"/>
      <c r="C714" s="1"/>
    </row>
    <row r="715" spans="2:3" ht="15.75" customHeight="1">
      <c r="B715" s="1"/>
      <c r="C715" s="1"/>
    </row>
    <row r="716" spans="2:3" ht="15.75" customHeight="1">
      <c r="B716" s="1"/>
      <c r="C716" s="1"/>
    </row>
    <row r="717" spans="2:3" ht="15.75" customHeight="1">
      <c r="B717" s="1"/>
      <c r="C717" s="1"/>
    </row>
    <row r="718" spans="2:3" ht="15.75" customHeight="1">
      <c r="B718" s="1"/>
      <c r="C718" s="1"/>
    </row>
    <row r="719" spans="2:3" ht="15.75" customHeight="1">
      <c r="B719" s="1"/>
      <c r="C719" s="1"/>
    </row>
    <row r="720" spans="2:3" ht="15.75" customHeight="1">
      <c r="B720" s="1"/>
      <c r="C720" s="1"/>
    </row>
    <row r="721" spans="2:3" ht="15.75" customHeight="1">
      <c r="B721" s="1"/>
      <c r="C721" s="1"/>
    </row>
    <row r="722" spans="2:3" ht="15.75" customHeight="1">
      <c r="B722" s="1"/>
      <c r="C722" s="1"/>
    </row>
    <row r="723" spans="2:3" ht="15.75" customHeight="1">
      <c r="B723" s="1"/>
      <c r="C723" s="1"/>
    </row>
    <row r="724" spans="2:3" ht="15.75" customHeight="1">
      <c r="B724" s="1"/>
      <c r="C724" s="1"/>
    </row>
    <row r="725" spans="2:3" ht="15.75" customHeight="1">
      <c r="B725" s="1"/>
      <c r="C725" s="1"/>
    </row>
    <row r="726" spans="2:3" ht="15.75" customHeight="1">
      <c r="B726" s="1"/>
      <c r="C726" s="1"/>
    </row>
    <row r="727" spans="2:3" ht="15.75" customHeight="1">
      <c r="B727" s="1"/>
      <c r="C727" s="1"/>
    </row>
    <row r="728" spans="2:3" ht="15.75" customHeight="1">
      <c r="B728" s="1"/>
      <c r="C728" s="1"/>
    </row>
    <row r="729" spans="2:3" ht="15.75" customHeight="1">
      <c r="B729" s="1"/>
      <c r="C729" s="1"/>
    </row>
    <row r="730" spans="2:3" ht="15.75" customHeight="1">
      <c r="B730" s="1"/>
      <c r="C730" s="1"/>
    </row>
    <row r="731" spans="2:3" ht="15.75" customHeight="1">
      <c r="B731" s="1"/>
      <c r="C731" s="1"/>
    </row>
    <row r="732" spans="2:3" ht="15.75" customHeight="1">
      <c r="B732" s="1"/>
      <c r="C732" s="1"/>
    </row>
    <row r="733" spans="2:3" ht="15.75" customHeight="1">
      <c r="B733" s="1"/>
      <c r="C733" s="1"/>
    </row>
    <row r="734" spans="2:3" ht="15.75" customHeight="1">
      <c r="B734" s="1"/>
      <c r="C734" s="1"/>
    </row>
    <row r="735" spans="2:3" ht="15.75" customHeight="1">
      <c r="B735" s="1"/>
      <c r="C735" s="1"/>
    </row>
    <row r="736" spans="2:3" ht="15.75" customHeight="1">
      <c r="B736" s="1"/>
      <c r="C736" s="1"/>
    </row>
    <row r="737" spans="2:3" ht="15.75" customHeight="1">
      <c r="B737" s="1"/>
      <c r="C737" s="1"/>
    </row>
    <row r="738" spans="2:3" ht="15.75" customHeight="1">
      <c r="B738" s="1"/>
      <c r="C738" s="1"/>
    </row>
    <row r="739" spans="2:3" ht="15.75" customHeight="1">
      <c r="B739" s="1"/>
      <c r="C739" s="1"/>
    </row>
    <row r="740" spans="2:3" ht="15.75" customHeight="1">
      <c r="B740" s="1"/>
      <c r="C740" s="1"/>
    </row>
    <row r="741" spans="2:3" ht="15.75" customHeight="1">
      <c r="B741" s="1"/>
      <c r="C741" s="1"/>
    </row>
    <row r="742" spans="2:3" ht="15.75" customHeight="1">
      <c r="B742" s="1"/>
      <c r="C742" s="1"/>
    </row>
    <row r="743" spans="2:3" ht="15.75" customHeight="1">
      <c r="B743" s="1"/>
      <c r="C743" s="1"/>
    </row>
    <row r="744" spans="2:3" ht="15.75" customHeight="1">
      <c r="B744" s="1"/>
      <c r="C744" s="1"/>
    </row>
    <row r="745" spans="2:3" ht="15.75" customHeight="1">
      <c r="B745" s="1"/>
      <c r="C745" s="1"/>
    </row>
    <row r="746" spans="2:3" ht="15.75" customHeight="1">
      <c r="B746" s="1"/>
      <c r="C746" s="1"/>
    </row>
    <row r="747" spans="2:3" ht="15.75" customHeight="1">
      <c r="B747" s="1"/>
      <c r="C747" s="1"/>
    </row>
    <row r="748" spans="2:3" ht="15.75" customHeight="1">
      <c r="B748" s="1"/>
      <c r="C748" s="1"/>
    </row>
    <row r="749" spans="2:3" ht="15.75" customHeight="1">
      <c r="B749" s="1"/>
      <c r="C749" s="1"/>
    </row>
    <row r="750" spans="2:3" ht="15.75" customHeight="1">
      <c r="B750" s="1"/>
      <c r="C750" s="1"/>
    </row>
    <row r="751" spans="2:3" ht="15.75" customHeight="1">
      <c r="B751" s="1"/>
      <c r="C751" s="1"/>
    </row>
    <row r="752" spans="2:3" ht="15.75" customHeight="1">
      <c r="B752" s="1"/>
      <c r="C752" s="1"/>
    </row>
    <row r="753" spans="2:3" ht="15.75" customHeight="1">
      <c r="B753" s="1"/>
      <c r="C753" s="1"/>
    </row>
    <row r="754" spans="2:3" ht="15.75" customHeight="1">
      <c r="B754" s="1"/>
      <c r="C754" s="1"/>
    </row>
    <row r="755" spans="2:3" ht="15.75" customHeight="1">
      <c r="B755" s="1"/>
      <c r="C755" s="1"/>
    </row>
    <row r="756" spans="2:3" ht="15.75" customHeight="1">
      <c r="B756" s="1"/>
      <c r="C756" s="1"/>
    </row>
    <row r="757" spans="2:3" ht="15.75" customHeight="1">
      <c r="B757" s="1"/>
      <c r="C757" s="1"/>
    </row>
    <row r="758" spans="2:3" ht="15.75" customHeight="1">
      <c r="B758" s="1"/>
      <c r="C758" s="1"/>
    </row>
    <row r="759" spans="2:3" ht="15.75" customHeight="1">
      <c r="B759" s="1"/>
      <c r="C759" s="1"/>
    </row>
    <row r="760" spans="2:3" ht="15.75" customHeight="1">
      <c r="B760" s="1"/>
      <c r="C760" s="1"/>
    </row>
    <row r="761" spans="2:3" ht="15.75" customHeight="1">
      <c r="B761" s="1"/>
      <c r="C761" s="1"/>
    </row>
    <row r="762" spans="2:3" ht="15.75" customHeight="1">
      <c r="B762" s="1"/>
      <c r="C762" s="1"/>
    </row>
    <row r="763" spans="2:3" ht="15.75" customHeight="1">
      <c r="B763" s="1"/>
      <c r="C763" s="1"/>
    </row>
    <row r="764" spans="2:3" ht="15.75" customHeight="1">
      <c r="B764" s="1"/>
      <c r="C764" s="1"/>
    </row>
    <row r="765" spans="2:3" ht="15.75" customHeight="1">
      <c r="B765" s="1"/>
      <c r="C765" s="1"/>
    </row>
    <row r="766" spans="2:3" ht="15.75" customHeight="1">
      <c r="B766" s="1"/>
      <c r="C766" s="1"/>
    </row>
    <row r="767" spans="2:3" ht="15.75" customHeight="1">
      <c r="B767" s="1"/>
      <c r="C767" s="1"/>
    </row>
    <row r="768" spans="2:3" ht="15.75" customHeight="1">
      <c r="B768" s="1"/>
      <c r="C768" s="1"/>
    </row>
    <row r="769" spans="2:3" ht="15.75" customHeight="1">
      <c r="B769" s="1"/>
      <c r="C769" s="1"/>
    </row>
    <row r="770" spans="2:3" ht="15.75" customHeight="1">
      <c r="B770" s="1"/>
      <c r="C770" s="1"/>
    </row>
    <row r="771" spans="2:3" ht="15.75" customHeight="1">
      <c r="B771" s="1"/>
      <c r="C771" s="1"/>
    </row>
    <row r="772" spans="2:3" ht="15.75" customHeight="1">
      <c r="B772" s="1"/>
      <c r="C772" s="1"/>
    </row>
    <row r="773" spans="2:3" ht="15.75" customHeight="1">
      <c r="B773" s="1"/>
      <c r="C773" s="1"/>
    </row>
    <row r="774" spans="2:3" ht="15.75" customHeight="1">
      <c r="B774" s="1"/>
      <c r="C774" s="1"/>
    </row>
    <row r="775" spans="2:3" ht="15.75" customHeight="1">
      <c r="B775" s="1"/>
      <c r="C775" s="1"/>
    </row>
    <row r="776" spans="2:3" ht="15.75" customHeight="1">
      <c r="B776" s="1"/>
      <c r="C776" s="1"/>
    </row>
    <row r="777" spans="2:3" ht="15.75" customHeight="1">
      <c r="B777" s="1"/>
      <c r="C777" s="1"/>
    </row>
    <row r="778" spans="2:3" ht="15.75" customHeight="1">
      <c r="B778" s="1"/>
      <c r="C778" s="1"/>
    </row>
    <row r="779" spans="2:3" ht="15.75" customHeight="1">
      <c r="B779" s="1"/>
      <c r="C779" s="1"/>
    </row>
    <row r="780" spans="2:3" ht="15.75" customHeight="1">
      <c r="B780" s="1"/>
      <c r="C780" s="1"/>
    </row>
    <row r="781" spans="2:3" ht="15.75" customHeight="1">
      <c r="B781" s="1"/>
      <c r="C781" s="1"/>
    </row>
    <row r="782" spans="2:3" ht="15.75" customHeight="1">
      <c r="B782" s="1"/>
      <c r="C782" s="1"/>
    </row>
    <row r="783" spans="2:3" ht="15.75" customHeight="1">
      <c r="B783" s="1"/>
      <c r="C783" s="1"/>
    </row>
    <row r="784" spans="2:3" ht="15.75" customHeight="1">
      <c r="B784" s="1"/>
      <c r="C784" s="1"/>
    </row>
    <row r="785" spans="2:3" ht="15.75" customHeight="1">
      <c r="B785" s="1"/>
      <c r="C785" s="1"/>
    </row>
    <row r="786" spans="2:3" ht="15.75" customHeight="1">
      <c r="B786" s="1"/>
      <c r="C786" s="1"/>
    </row>
    <row r="787" spans="2:3" ht="15.75" customHeight="1">
      <c r="B787" s="1"/>
      <c r="C787" s="1"/>
    </row>
    <row r="788" spans="2:3" ht="15.75" customHeight="1">
      <c r="B788" s="1"/>
      <c r="C788" s="1"/>
    </row>
    <row r="789" spans="2:3" ht="15.75" customHeight="1">
      <c r="B789" s="1"/>
      <c r="C789" s="1"/>
    </row>
    <row r="790" spans="2:3" ht="15.75" customHeight="1">
      <c r="B790" s="1"/>
      <c r="C790" s="1"/>
    </row>
    <row r="791" spans="2:3" ht="15.75" customHeight="1">
      <c r="B791" s="1"/>
      <c r="C791" s="1"/>
    </row>
    <row r="792" spans="2:3" ht="15.75" customHeight="1">
      <c r="B792" s="1"/>
      <c r="C792" s="1"/>
    </row>
    <row r="793" spans="2:3" ht="15.75" customHeight="1">
      <c r="B793" s="1"/>
      <c r="C793" s="1"/>
    </row>
    <row r="794" spans="2:3" ht="15.75" customHeight="1">
      <c r="B794" s="1"/>
      <c r="C794" s="1"/>
    </row>
    <row r="795" spans="2:3" ht="15.75" customHeight="1">
      <c r="B795" s="1"/>
      <c r="C795" s="1"/>
    </row>
    <row r="796" spans="2:3" ht="15.75" customHeight="1">
      <c r="B796" s="1"/>
      <c r="C796" s="1"/>
    </row>
    <row r="797" spans="2:3" ht="15.75" customHeight="1">
      <c r="B797" s="1"/>
      <c r="C797" s="1"/>
    </row>
    <row r="798" spans="2:3" ht="15.75" customHeight="1">
      <c r="B798" s="1"/>
      <c r="C798" s="1"/>
    </row>
    <row r="799" spans="2:3" ht="15.75" customHeight="1">
      <c r="B799" s="1"/>
      <c r="C799" s="1"/>
    </row>
    <row r="800" spans="2:3" ht="15.75" customHeight="1">
      <c r="B800" s="1"/>
      <c r="C800" s="1"/>
    </row>
    <row r="801" spans="2:3" ht="15.75" customHeight="1">
      <c r="B801" s="1"/>
      <c r="C801" s="1"/>
    </row>
    <row r="802" spans="2:3" ht="15.75" customHeight="1">
      <c r="B802" s="1"/>
      <c r="C802" s="1"/>
    </row>
    <row r="803" spans="2:3" ht="15.75" customHeight="1">
      <c r="B803" s="1"/>
      <c r="C803" s="1"/>
    </row>
    <row r="804" spans="2:3" ht="15.75" customHeight="1">
      <c r="B804" s="1"/>
      <c r="C804" s="1"/>
    </row>
    <row r="805" spans="2:3" ht="15.75" customHeight="1">
      <c r="B805" s="1"/>
      <c r="C805" s="1"/>
    </row>
    <row r="806" spans="2:3" ht="15.75" customHeight="1">
      <c r="B806" s="1"/>
      <c r="C806" s="1"/>
    </row>
    <row r="807" spans="2:3" ht="15.75" customHeight="1">
      <c r="B807" s="1"/>
      <c r="C807" s="1"/>
    </row>
    <row r="808" spans="2:3" ht="15.75" customHeight="1">
      <c r="B808" s="1"/>
      <c r="C808" s="1"/>
    </row>
    <row r="809" spans="2:3" ht="15.75" customHeight="1">
      <c r="B809" s="1"/>
      <c r="C809" s="1"/>
    </row>
    <row r="810" spans="2:3" ht="15.75" customHeight="1">
      <c r="B810" s="1"/>
      <c r="C810" s="1"/>
    </row>
    <row r="811" spans="2:3" ht="15.75" customHeight="1">
      <c r="B811" s="1"/>
      <c r="C811" s="1"/>
    </row>
    <row r="812" spans="2:3" ht="15.75" customHeight="1">
      <c r="B812" s="1"/>
      <c r="C812" s="1"/>
    </row>
    <row r="813" spans="2:3" ht="15.75" customHeight="1">
      <c r="B813" s="1"/>
      <c r="C813" s="1"/>
    </row>
    <row r="814" spans="2:3" ht="15.75" customHeight="1">
      <c r="B814" s="1"/>
      <c r="C814" s="1"/>
    </row>
    <row r="815" spans="2:3" ht="15.75" customHeight="1">
      <c r="B815" s="1"/>
      <c r="C815" s="1"/>
    </row>
    <row r="816" spans="2:3" ht="15.75" customHeight="1">
      <c r="B816" s="1"/>
      <c r="C816" s="1"/>
    </row>
    <row r="817" spans="2:3" ht="15.75" customHeight="1">
      <c r="B817" s="1"/>
      <c r="C817" s="1"/>
    </row>
    <row r="818" spans="2:3" ht="15.75" customHeight="1">
      <c r="B818" s="1"/>
      <c r="C818" s="1"/>
    </row>
    <row r="819" spans="2:3" ht="15.75" customHeight="1">
      <c r="B819" s="1"/>
      <c r="C819" s="1"/>
    </row>
    <row r="820" spans="2:3" ht="15.75" customHeight="1">
      <c r="B820" s="1"/>
      <c r="C820" s="1"/>
    </row>
    <row r="821" spans="2:3" ht="15.75" customHeight="1">
      <c r="B821" s="1"/>
      <c r="C821" s="1"/>
    </row>
    <row r="822" spans="2:3" ht="15.75" customHeight="1">
      <c r="B822" s="1"/>
      <c r="C822" s="1"/>
    </row>
    <row r="823" spans="2:3" ht="15.75" customHeight="1">
      <c r="B823" s="1"/>
      <c r="C823" s="1"/>
    </row>
    <row r="824" spans="2:3" ht="15.75" customHeight="1">
      <c r="B824" s="1"/>
      <c r="C824" s="1"/>
    </row>
    <row r="825" spans="2:3" ht="15.75" customHeight="1">
      <c r="B825" s="1"/>
      <c r="C825" s="1"/>
    </row>
    <row r="826" spans="2:3" ht="15.75" customHeight="1">
      <c r="B826" s="1"/>
      <c r="C826" s="1"/>
    </row>
    <row r="827" spans="2:3" ht="15.75" customHeight="1">
      <c r="B827" s="1"/>
      <c r="C827" s="1"/>
    </row>
    <row r="828" spans="2:3" ht="15.75" customHeight="1">
      <c r="B828" s="1"/>
      <c r="C828" s="1"/>
    </row>
    <row r="829" spans="2:3" ht="15.75" customHeight="1">
      <c r="B829" s="1"/>
      <c r="C829" s="1"/>
    </row>
    <row r="830" spans="2:3" ht="15.75" customHeight="1">
      <c r="B830" s="1"/>
      <c r="C830" s="1"/>
    </row>
    <row r="831" spans="2:3" ht="15.75" customHeight="1">
      <c r="B831" s="1"/>
      <c r="C831" s="1"/>
    </row>
    <row r="832" spans="2:3" ht="15.75" customHeight="1">
      <c r="B832" s="1"/>
      <c r="C832" s="1"/>
    </row>
    <row r="833" spans="2:3" ht="15.75" customHeight="1">
      <c r="B833" s="1"/>
      <c r="C833" s="1"/>
    </row>
    <row r="834" spans="2:3" ht="15.75" customHeight="1">
      <c r="B834" s="1"/>
      <c r="C834" s="1"/>
    </row>
    <row r="835" spans="2:3" ht="15.75" customHeight="1">
      <c r="B835" s="1"/>
      <c r="C835" s="1"/>
    </row>
    <row r="836" spans="2:3" ht="15.75" customHeight="1">
      <c r="B836" s="1"/>
      <c r="C836" s="1"/>
    </row>
    <row r="837" spans="2:3" ht="15.75" customHeight="1">
      <c r="B837" s="1"/>
      <c r="C837" s="1"/>
    </row>
    <row r="838" spans="2:3" ht="15.75" customHeight="1">
      <c r="B838" s="1"/>
      <c r="C838" s="1"/>
    </row>
    <row r="839" spans="2:3" ht="15.75" customHeight="1">
      <c r="B839" s="1"/>
      <c r="C839" s="1"/>
    </row>
    <row r="840" spans="2:3" ht="15.75" customHeight="1">
      <c r="B840" s="1"/>
      <c r="C840" s="1"/>
    </row>
    <row r="841" spans="2:3" ht="15.75" customHeight="1">
      <c r="B841" s="1"/>
      <c r="C841" s="1"/>
    </row>
    <row r="842" spans="2:3" ht="15.75" customHeight="1">
      <c r="B842" s="1"/>
      <c r="C842" s="1"/>
    </row>
    <row r="843" spans="2:3" ht="15.75" customHeight="1">
      <c r="B843" s="1"/>
      <c r="C843" s="1"/>
    </row>
    <row r="844" spans="2:3" ht="15.75" customHeight="1">
      <c r="B844" s="1"/>
      <c r="C844" s="1"/>
    </row>
    <row r="845" spans="2:3" ht="15.75" customHeight="1">
      <c r="B845" s="1"/>
      <c r="C845" s="1"/>
    </row>
    <row r="846" spans="2:3" ht="15.75" customHeight="1">
      <c r="B846" s="1"/>
      <c r="C846" s="1"/>
    </row>
    <row r="847" spans="2:3" ht="15.75" customHeight="1">
      <c r="B847" s="1"/>
      <c r="C847" s="1"/>
    </row>
    <row r="848" spans="2:3" ht="15.75" customHeight="1">
      <c r="B848" s="1"/>
      <c r="C848" s="1"/>
    </row>
    <row r="849" spans="2:3" ht="15.75" customHeight="1">
      <c r="B849" s="1"/>
      <c r="C849" s="1"/>
    </row>
    <row r="850" spans="2:3" ht="15.75" customHeight="1">
      <c r="B850" s="1"/>
      <c r="C850" s="1"/>
    </row>
    <row r="851" spans="2:3" ht="15.75" customHeight="1">
      <c r="B851" s="1"/>
      <c r="C851" s="1"/>
    </row>
    <row r="852" spans="2:3" ht="15.75" customHeight="1">
      <c r="B852" s="1"/>
      <c r="C852" s="1"/>
    </row>
    <row r="853" spans="2:3" ht="15.75" customHeight="1">
      <c r="B853" s="1"/>
      <c r="C853" s="1"/>
    </row>
    <row r="854" spans="2:3" ht="15.75" customHeight="1">
      <c r="B854" s="1"/>
      <c r="C854" s="1"/>
    </row>
    <row r="855" spans="2:3" ht="15.75" customHeight="1">
      <c r="B855" s="1"/>
      <c r="C855" s="1"/>
    </row>
    <row r="856" spans="2:3" ht="15.75" customHeight="1">
      <c r="B856" s="1"/>
      <c r="C856" s="1"/>
    </row>
    <row r="857" spans="2:3" ht="15.75" customHeight="1">
      <c r="B857" s="1"/>
      <c r="C857" s="1"/>
    </row>
    <row r="858" spans="2:3" ht="15.75" customHeight="1">
      <c r="B858" s="1"/>
      <c r="C858" s="1"/>
    </row>
    <row r="859" spans="2:3" ht="15.75" customHeight="1">
      <c r="B859" s="1"/>
      <c r="C859" s="1"/>
    </row>
    <row r="860" spans="2:3" ht="15.75" customHeight="1">
      <c r="B860" s="1"/>
      <c r="C860" s="1"/>
    </row>
    <row r="861" spans="2:3" ht="15.75" customHeight="1">
      <c r="B861" s="1"/>
      <c r="C861" s="1"/>
    </row>
    <row r="862" spans="2:3" ht="15.75" customHeight="1">
      <c r="B862" s="1"/>
      <c r="C862" s="1"/>
    </row>
    <row r="863" spans="2:3" ht="15.75" customHeight="1">
      <c r="B863" s="1"/>
      <c r="C863" s="1"/>
    </row>
    <row r="864" spans="2:3" ht="15.75" customHeight="1">
      <c r="B864" s="1"/>
      <c r="C864" s="1"/>
    </row>
    <row r="865" spans="2:3" ht="15.75" customHeight="1">
      <c r="B865" s="1"/>
      <c r="C865" s="1"/>
    </row>
    <row r="866" spans="2:3" ht="15.75" customHeight="1">
      <c r="B866" s="1"/>
      <c r="C866" s="1"/>
    </row>
    <row r="867" spans="2:3" ht="15.75" customHeight="1">
      <c r="B867" s="1"/>
      <c r="C867" s="1"/>
    </row>
    <row r="868" spans="2:3" ht="15.75" customHeight="1">
      <c r="B868" s="1"/>
      <c r="C868" s="1"/>
    </row>
    <row r="869" spans="2:3" ht="15.75" customHeight="1">
      <c r="B869" s="1"/>
      <c r="C869" s="1"/>
    </row>
    <row r="870" spans="2:3" ht="15.75" customHeight="1">
      <c r="B870" s="1"/>
      <c r="C870" s="1"/>
    </row>
    <row r="871" spans="2:3" ht="15.75" customHeight="1">
      <c r="B871" s="1"/>
      <c r="C871" s="1"/>
    </row>
    <row r="872" spans="2:3" ht="15.75" customHeight="1">
      <c r="B872" s="1"/>
      <c r="C872" s="1"/>
    </row>
    <row r="873" spans="2:3" ht="15.75" customHeight="1">
      <c r="B873" s="1"/>
      <c r="C873" s="1"/>
    </row>
    <row r="874" spans="2:3" ht="15.75" customHeight="1">
      <c r="B874" s="1"/>
      <c r="C874" s="1"/>
    </row>
    <row r="875" spans="2:3" ht="15.75" customHeight="1">
      <c r="B875" s="1"/>
      <c r="C875" s="1"/>
    </row>
    <row r="876" spans="2:3" ht="15.75" customHeight="1">
      <c r="B876" s="1"/>
      <c r="C876" s="1"/>
    </row>
    <row r="877" spans="2:3" ht="15.75" customHeight="1">
      <c r="B877" s="1"/>
      <c r="C877" s="1"/>
    </row>
    <row r="878" spans="2:3" ht="15.75" customHeight="1">
      <c r="B878" s="1"/>
      <c r="C878" s="1"/>
    </row>
    <row r="879" spans="2:3" ht="15.75" customHeight="1">
      <c r="B879" s="1"/>
      <c r="C879" s="1"/>
    </row>
    <row r="880" spans="2:3" ht="15.75" customHeight="1">
      <c r="B880" s="1"/>
      <c r="C880" s="1"/>
    </row>
    <row r="881" spans="2:3" ht="15.75" customHeight="1">
      <c r="B881" s="1"/>
      <c r="C881" s="1"/>
    </row>
    <row r="882" spans="2:3" ht="15.75" customHeight="1">
      <c r="B882" s="1"/>
      <c r="C882" s="1"/>
    </row>
    <row r="883" spans="2:3" ht="15.75" customHeight="1">
      <c r="B883" s="1"/>
      <c r="C883" s="1"/>
    </row>
    <row r="884" spans="2:3" ht="15.75" customHeight="1">
      <c r="B884" s="1"/>
      <c r="C884" s="1"/>
    </row>
    <row r="885" spans="2:3" ht="15.75" customHeight="1">
      <c r="B885" s="1"/>
      <c r="C885" s="1"/>
    </row>
    <row r="886" spans="2:3" ht="15.75" customHeight="1">
      <c r="B886" s="1"/>
      <c r="C886" s="1"/>
    </row>
    <row r="887" spans="2:3" ht="15.75" customHeight="1">
      <c r="B887" s="1"/>
      <c r="C887" s="1"/>
    </row>
    <row r="888" spans="2:3" ht="15.75" customHeight="1">
      <c r="B888" s="1"/>
      <c r="C888" s="1"/>
    </row>
    <row r="889" spans="2:3" ht="15.75" customHeight="1">
      <c r="B889" s="1"/>
      <c r="C889" s="1"/>
    </row>
    <row r="890" spans="2:3" ht="15.75" customHeight="1">
      <c r="B890" s="1"/>
      <c r="C890" s="1"/>
    </row>
    <row r="891" spans="2:3" ht="15.75" customHeight="1">
      <c r="B891" s="1"/>
      <c r="C891" s="1"/>
    </row>
    <row r="892" spans="2:3" ht="15.75" customHeight="1">
      <c r="B892" s="1"/>
      <c r="C892" s="1"/>
    </row>
    <row r="893" spans="2:3" ht="15.75" customHeight="1">
      <c r="B893" s="1"/>
      <c r="C893" s="1"/>
    </row>
    <row r="894" spans="2:3" ht="15.75" customHeight="1">
      <c r="B894" s="1"/>
      <c r="C894" s="1"/>
    </row>
    <row r="895" spans="2:3" ht="15.75" customHeight="1">
      <c r="B895" s="1"/>
      <c r="C895" s="1"/>
    </row>
    <row r="896" spans="2:3" ht="15.75" customHeight="1">
      <c r="B896" s="1"/>
      <c r="C896" s="1"/>
    </row>
    <row r="897" spans="2:3" ht="15.75" customHeight="1">
      <c r="B897" s="1"/>
      <c r="C897" s="1"/>
    </row>
    <row r="898" spans="2:3" ht="15.75" customHeight="1">
      <c r="B898" s="1"/>
      <c r="C898" s="1"/>
    </row>
    <row r="899" spans="2:3" ht="15.75" customHeight="1">
      <c r="B899" s="1"/>
      <c r="C899" s="1"/>
    </row>
    <row r="900" spans="2:3" ht="15.75" customHeight="1">
      <c r="B900" s="1"/>
      <c r="C900" s="1"/>
    </row>
    <row r="901" spans="2:3" ht="15.75" customHeight="1">
      <c r="B901" s="1"/>
      <c r="C901" s="1"/>
    </row>
    <row r="902" spans="2:3" ht="15.75" customHeight="1">
      <c r="B902" s="1"/>
      <c r="C902" s="1"/>
    </row>
    <row r="903" spans="2:3" ht="15.75" customHeight="1">
      <c r="B903" s="1"/>
      <c r="C903" s="1"/>
    </row>
    <row r="904" spans="2:3" ht="15.75" customHeight="1">
      <c r="B904" s="1"/>
      <c r="C904" s="1"/>
    </row>
    <row r="905" spans="2:3" ht="15.75" customHeight="1">
      <c r="B905" s="1"/>
      <c r="C905" s="1"/>
    </row>
    <row r="906" spans="2:3" ht="15.75" customHeight="1">
      <c r="B906" s="1"/>
      <c r="C906" s="1"/>
    </row>
    <row r="907" spans="2:3" ht="15.75" customHeight="1">
      <c r="B907" s="1"/>
      <c r="C907" s="1"/>
    </row>
    <row r="908" spans="2:3" ht="15.75" customHeight="1">
      <c r="B908" s="1"/>
      <c r="C908" s="1"/>
    </row>
    <row r="909" spans="2:3" ht="15.75" customHeight="1">
      <c r="B909" s="1"/>
      <c r="C909" s="1"/>
    </row>
    <row r="910" spans="2:3" ht="15.75" customHeight="1">
      <c r="B910" s="1"/>
      <c r="C910" s="1"/>
    </row>
    <row r="911" spans="2:3" ht="15.75" customHeight="1">
      <c r="B911" s="1"/>
      <c r="C911" s="1"/>
    </row>
    <row r="912" spans="2:3" ht="15.75" customHeight="1">
      <c r="B912" s="1"/>
      <c r="C912" s="1"/>
    </row>
    <row r="913" spans="2:3" ht="15.75" customHeight="1">
      <c r="B913" s="1"/>
      <c r="C913" s="1"/>
    </row>
    <row r="914" spans="2:3" ht="15.75" customHeight="1">
      <c r="B914" s="1"/>
      <c r="C914" s="1"/>
    </row>
    <row r="915" spans="2:3" ht="15.75" customHeight="1">
      <c r="B915" s="1"/>
      <c r="C915" s="1"/>
    </row>
    <row r="916" spans="2:3" ht="15.75" customHeight="1">
      <c r="B916" s="1"/>
      <c r="C916" s="1"/>
    </row>
    <row r="917" spans="2:3" ht="15.75" customHeight="1">
      <c r="B917" s="1"/>
      <c r="C917" s="1"/>
    </row>
    <row r="918" spans="2:3" ht="15.75" customHeight="1">
      <c r="B918" s="1"/>
      <c r="C918" s="1"/>
    </row>
    <row r="919" spans="2:3" ht="15.75" customHeight="1">
      <c r="B919" s="1"/>
      <c r="C919" s="1"/>
    </row>
    <row r="920" spans="2:3" ht="15.75" customHeight="1">
      <c r="B920" s="1"/>
      <c r="C920" s="1"/>
    </row>
    <row r="921" spans="2:3" ht="15.75" customHeight="1">
      <c r="B921" s="1"/>
      <c r="C921" s="1"/>
    </row>
    <row r="922" spans="2:3" ht="15.75" customHeight="1">
      <c r="B922" s="1"/>
      <c r="C922" s="1"/>
    </row>
    <row r="923" spans="2:3" ht="15.75" customHeight="1">
      <c r="B923" s="1"/>
      <c r="C923" s="1"/>
    </row>
    <row r="924" spans="2:3" ht="15.75" customHeight="1">
      <c r="B924" s="1"/>
      <c r="C924" s="1"/>
    </row>
    <row r="925" spans="2:3" ht="15.75" customHeight="1">
      <c r="B925" s="1"/>
      <c r="C925" s="1"/>
    </row>
    <row r="926" spans="2:3" ht="15.75" customHeight="1">
      <c r="B926" s="1"/>
      <c r="C926" s="1"/>
    </row>
    <row r="927" spans="2:3" ht="15.75" customHeight="1">
      <c r="B927" s="1"/>
      <c r="C927" s="1"/>
    </row>
    <row r="928" spans="2:3" ht="15.75" customHeight="1">
      <c r="B928" s="1"/>
      <c r="C928" s="1"/>
    </row>
    <row r="929" spans="2:3" ht="15.75" customHeight="1">
      <c r="B929" s="1"/>
      <c r="C929" s="1"/>
    </row>
    <row r="930" spans="2:3" ht="15.75" customHeight="1">
      <c r="B930" s="1"/>
      <c r="C930" s="1"/>
    </row>
    <row r="931" spans="2:3" ht="15.75" customHeight="1">
      <c r="B931" s="1"/>
      <c r="C931" s="1"/>
    </row>
    <row r="932" spans="2:3" ht="15.75" customHeight="1">
      <c r="B932" s="1"/>
      <c r="C932" s="1"/>
    </row>
    <row r="933" spans="2:3" ht="15.75" customHeight="1">
      <c r="B933" s="1"/>
      <c r="C933" s="1"/>
    </row>
    <row r="934" spans="2:3" ht="15.75" customHeight="1">
      <c r="B934" s="1"/>
      <c r="C934" s="1"/>
    </row>
    <row r="935" spans="2:3" ht="15.75" customHeight="1">
      <c r="B935" s="1"/>
      <c r="C935" s="1"/>
    </row>
    <row r="936" spans="2:3" ht="15.75" customHeight="1">
      <c r="B936" s="1"/>
      <c r="C936" s="1"/>
    </row>
    <row r="937" spans="2:3" ht="15.75" customHeight="1">
      <c r="B937" s="1"/>
      <c r="C937" s="1"/>
    </row>
    <row r="938" spans="2:3" ht="15.75" customHeight="1">
      <c r="B938" s="1"/>
      <c r="C938" s="1"/>
    </row>
    <row r="939" spans="2:3" ht="15.75" customHeight="1">
      <c r="B939" s="1"/>
      <c r="C939" s="1"/>
    </row>
    <row r="940" spans="2:3" ht="15.75" customHeight="1">
      <c r="B940" s="1"/>
      <c r="C940" s="1"/>
    </row>
    <row r="941" spans="2:3" ht="15.75" customHeight="1">
      <c r="B941" s="1"/>
      <c r="C941" s="1"/>
    </row>
    <row r="942" spans="2:3" ht="15.75" customHeight="1">
      <c r="B942" s="1"/>
      <c r="C942" s="1"/>
    </row>
    <row r="943" spans="2:3" ht="15.75" customHeight="1">
      <c r="B943" s="1"/>
      <c r="C943" s="1"/>
    </row>
    <row r="944" spans="2:3" ht="15.75" customHeight="1">
      <c r="B944" s="1"/>
      <c r="C944" s="1"/>
    </row>
    <row r="945" spans="2:3" ht="15.75" customHeight="1">
      <c r="B945" s="1"/>
      <c r="C945" s="1"/>
    </row>
    <row r="946" spans="2:3" ht="15.75" customHeight="1">
      <c r="B946" s="1"/>
      <c r="C946" s="1"/>
    </row>
    <row r="947" spans="2:3" ht="15.75" customHeight="1">
      <c r="B947" s="1"/>
      <c r="C947" s="1"/>
    </row>
    <row r="948" spans="2:3" ht="15.75" customHeight="1">
      <c r="B948" s="1"/>
      <c r="C948" s="1"/>
    </row>
    <row r="949" spans="2:3" ht="15.75" customHeight="1">
      <c r="B949" s="1"/>
      <c r="C949" s="1"/>
    </row>
    <row r="950" spans="2:3" ht="15.75" customHeight="1">
      <c r="B950" s="1"/>
      <c r="C950" s="1"/>
    </row>
    <row r="951" spans="2:3" ht="15.75" customHeight="1">
      <c r="B951" s="1"/>
      <c r="C951" s="1"/>
    </row>
    <row r="952" spans="2:3" ht="15.75" customHeight="1">
      <c r="B952" s="1"/>
      <c r="C952" s="1"/>
    </row>
    <row r="953" spans="2:3" ht="15.75" customHeight="1">
      <c r="B953" s="1"/>
      <c r="C953" s="1"/>
    </row>
    <row r="954" spans="2:3" ht="15.75" customHeight="1">
      <c r="B954" s="1"/>
      <c r="C954" s="1"/>
    </row>
    <row r="955" spans="2:3" ht="15.75" customHeight="1">
      <c r="B955" s="1"/>
      <c r="C955" s="1"/>
    </row>
    <row r="956" spans="2:3" ht="15.75" customHeight="1">
      <c r="B956" s="1"/>
      <c r="C956" s="1"/>
    </row>
    <row r="957" spans="2:3" ht="15.75" customHeight="1">
      <c r="B957" s="1"/>
      <c r="C957" s="1"/>
    </row>
    <row r="958" spans="2:3" ht="15.75" customHeight="1">
      <c r="B958" s="1"/>
      <c r="C958" s="1"/>
    </row>
    <row r="959" spans="2:3" ht="15.75" customHeight="1">
      <c r="B959" s="1"/>
      <c r="C959" s="1"/>
    </row>
    <row r="960" spans="2:3" ht="15.75" customHeight="1">
      <c r="B960" s="1"/>
      <c r="C960" s="1"/>
    </row>
    <row r="961" spans="2:3" ht="15.75" customHeight="1">
      <c r="B961" s="1"/>
      <c r="C961" s="1"/>
    </row>
    <row r="962" spans="2:3" ht="15.75" customHeight="1">
      <c r="B962" s="1"/>
      <c r="C962" s="1"/>
    </row>
    <row r="963" spans="2:3" ht="15.75" customHeight="1">
      <c r="B963" s="1"/>
      <c r="C963" s="1"/>
    </row>
    <row r="964" spans="2:3" ht="15.75" customHeight="1">
      <c r="B964" s="1"/>
      <c r="C964" s="1"/>
    </row>
    <row r="965" spans="2:3" ht="15.75" customHeight="1">
      <c r="B965" s="1"/>
      <c r="C965" s="1"/>
    </row>
    <row r="966" spans="2:3" ht="15.75" customHeight="1">
      <c r="B966" s="1"/>
      <c r="C966" s="1"/>
    </row>
    <row r="967" spans="2:3" ht="15.75" customHeight="1">
      <c r="B967" s="1"/>
      <c r="C967" s="1"/>
    </row>
    <row r="968" spans="2:3" ht="15.75" customHeight="1">
      <c r="B968" s="1"/>
      <c r="C968" s="1"/>
    </row>
    <row r="969" spans="2:3" ht="15.75" customHeight="1">
      <c r="B969" s="1"/>
      <c r="C969" s="1"/>
    </row>
    <row r="970" spans="2:3" ht="15.75" customHeight="1">
      <c r="B970" s="1"/>
      <c r="C970" s="1"/>
    </row>
    <row r="971" spans="2:3" ht="15.75" customHeight="1">
      <c r="B971" s="1"/>
      <c r="C971" s="1"/>
    </row>
    <row r="972" spans="2:3" ht="15.75" customHeight="1">
      <c r="B972" s="1"/>
      <c r="C972" s="1"/>
    </row>
    <row r="973" spans="2:3" ht="15.75" customHeight="1">
      <c r="B973" s="1"/>
      <c r="C973" s="1"/>
    </row>
    <row r="974" spans="2:3" ht="15.75" customHeight="1">
      <c r="B974" s="1"/>
      <c r="C974" s="1"/>
    </row>
    <row r="975" spans="2:3" ht="15.75" customHeight="1">
      <c r="B975" s="1"/>
      <c r="C975" s="1"/>
    </row>
    <row r="976" spans="2:3" ht="15.75" customHeight="1">
      <c r="B976" s="1"/>
      <c r="C976" s="1"/>
    </row>
    <row r="977" spans="2:3" ht="15.75" customHeight="1">
      <c r="B977" s="1"/>
      <c r="C977" s="1"/>
    </row>
    <row r="978" spans="2:3" ht="15.75" customHeight="1">
      <c r="B978" s="1"/>
      <c r="C978" s="1"/>
    </row>
    <row r="979" spans="2:3" ht="15.75" customHeight="1">
      <c r="B979" s="1"/>
      <c r="C979" s="1"/>
    </row>
    <row r="980" spans="2:3" ht="15.75" customHeight="1">
      <c r="B980" s="1"/>
      <c r="C980" s="1"/>
    </row>
    <row r="981" spans="2:3" ht="15.75" customHeight="1">
      <c r="B981" s="1"/>
      <c r="C981" s="1"/>
    </row>
    <row r="982" spans="2:3" ht="15.75" customHeight="1">
      <c r="B982" s="1"/>
      <c r="C982" s="1"/>
    </row>
    <row r="983" spans="2:3" ht="15.75" customHeight="1">
      <c r="B983" s="1"/>
      <c r="C983" s="1"/>
    </row>
    <row r="984" spans="2:3" ht="15.75" customHeight="1">
      <c r="B984" s="1"/>
      <c r="C984" s="1"/>
    </row>
    <row r="985" spans="2:3" ht="15.75" customHeight="1">
      <c r="B985" s="1"/>
      <c r="C985" s="1"/>
    </row>
    <row r="986" spans="2:3" ht="15.75" customHeight="1">
      <c r="B986" s="1"/>
      <c r="C986" s="1"/>
    </row>
    <row r="987" spans="2:3" ht="15.75" customHeight="1">
      <c r="B987" s="1"/>
      <c r="C987" s="1"/>
    </row>
    <row r="988" spans="2:3" ht="15.75" customHeight="1">
      <c r="B988" s="1"/>
      <c r="C988" s="1"/>
    </row>
    <row r="989" spans="2:3" ht="15.75" customHeight="1">
      <c r="B989" s="1"/>
      <c r="C989" s="1"/>
    </row>
    <row r="990" spans="2:3" ht="15.75" customHeight="1">
      <c r="B990" s="1"/>
      <c r="C990" s="1"/>
    </row>
    <row r="991" spans="2:3" ht="15.75" customHeight="1">
      <c r="B991" s="1"/>
      <c r="C991" s="1"/>
    </row>
    <row r="992" spans="2:3" ht="15.75" customHeight="1">
      <c r="B992" s="1"/>
      <c r="C992" s="1"/>
    </row>
    <row r="993" spans="2:3" ht="15.75" customHeight="1">
      <c r="B993" s="1"/>
      <c r="C993" s="1"/>
    </row>
    <row r="994" spans="2:3" ht="15.75" customHeight="1">
      <c r="B994" s="1"/>
      <c r="C994" s="1"/>
    </row>
    <row r="995" spans="2:3" ht="15.75" customHeight="1">
      <c r="B995" s="1"/>
      <c r="C995" s="1"/>
    </row>
    <row r="996" spans="2:3" ht="15.75" customHeight="1">
      <c r="B996" s="1"/>
      <c r="C996" s="1"/>
    </row>
    <row r="997" spans="2:3" ht="15.75" customHeight="1">
      <c r="B997" s="1"/>
      <c r="C997" s="1"/>
    </row>
    <row r="998" spans="2:3" ht="15.75" customHeight="1">
      <c r="B998" s="1"/>
      <c r="C998" s="1"/>
    </row>
    <row r="999" spans="2:3" ht="15.75" customHeight="1">
      <c r="B999" s="1"/>
      <c r="C999" s="1"/>
    </row>
  </sheetData>
  <mergeCells count="39">
    <mergeCell ref="BK5:BP5"/>
    <mergeCell ref="BQ5:BV5"/>
    <mergeCell ref="BW5:CB5"/>
    <mergeCell ref="BQ4:BV4"/>
    <mergeCell ref="BW4:CB4"/>
    <mergeCell ref="BK4:BP4"/>
    <mergeCell ref="O5:T5"/>
    <mergeCell ref="U5:Z5"/>
    <mergeCell ref="AA5:AF5"/>
    <mergeCell ref="AG5:AL5"/>
    <mergeCell ref="AM5:AR5"/>
    <mergeCell ref="CN2:CP2"/>
    <mergeCell ref="O3:T3"/>
    <mergeCell ref="U3:AF3"/>
    <mergeCell ref="AL3:AR3"/>
    <mergeCell ref="AS3:AX3"/>
    <mergeCell ref="AY3:BD3"/>
    <mergeCell ref="BE3:BJ3"/>
    <mergeCell ref="BK3:BP3"/>
    <mergeCell ref="BQ3:BV3"/>
    <mergeCell ref="BW3:CB3"/>
    <mergeCell ref="CK2:CM2"/>
    <mergeCell ref="CC3:CH3"/>
    <mergeCell ref="C2:C5"/>
    <mergeCell ref="D2:D5"/>
    <mergeCell ref="E2:E5"/>
    <mergeCell ref="F2:G2"/>
    <mergeCell ref="O2:CB2"/>
    <mergeCell ref="O4:T4"/>
    <mergeCell ref="U4:Z4"/>
    <mergeCell ref="AA4:AF4"/>
    <mergeCell ref="AS5:AX5"/>
    <mergeCell ref="AY5:BD5"/>
    <mergeCell ref="BE5:BJ5"/>
    <mergeCell ref="AG4:AL4"/>
    <mergeCell ref="AM4:AR4"/>
    <mergeCell ref="AS4:AX4"/>
    <mergeCell ref="AY4:BD4"/>
    <mergeCell ref="BE4:BJ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99"/>
  <sheetViews>
    <sheetView topLeftCell="A5" zoomScale="68" zoomScaleNormal="68" workbookViewId="0">
      <selection activeCell="BK7" sqref="BK7:BO40"/>
    </sheetView>
  </sheetViews>
  <sheetFormatPr baseColWidth="10" defaultColWidth="14.42578125" defaultRowHeight="15" customHeight="1"/>
  <cols>
    <col min="1" max="1" width="41.5703125" style="129" customWidth="1"/>
    <col min="2" max="2" width="7.42578125" style="129" customWidth="1"/>
    <col min="3" max="3" width="74" style="129" customWidth="1"/>
    <col min="4" max="5" width="21.140625" style="129" customWidth="1"/>
    <col min="6" max="6" width="44.5703125" style="129" customWidth="1"/>
    <col min="7" max="7" width="54" style="129" customWidth="1"/>
    <col min="8" max="8" width="64.42578125" style="129" customWidth="1"/>
    <col min="9" max="10" width="21.140625" style="129" customWidth="1"/>
    <col min="11" max="11" width="31.85546875" style="129" customWidth="1"/>
    <col min="12" max="12" width="53.7109375" style="129" customWidth="1"/>
    <col min="13" max="13" width="16.140625" style="129" customWidth="1"/>
    <col min="14" max="14" width="8.85546875" style="129" customWidth="1"/>
    <col min="15" max="15" width="9" style="129" bestFit="1" customWidth="1"/>
    <col min="16" max="17" width="8.7109375" style="129" customWidth="1"/>
    <col min="18" max="18" width="8.28515625" style="129" customWidth="1"/>
    <col min="19" max="19" width="8.42578125" style="129" customWidth="1"/>
    <col min="20" max="26" width="8.28515625" style="129" customWidth="1"/>
    <col min="27" max="32" width="7" style="129" customWidth="1"/>
    <col min="33" max="38" width="7.85546875" style="129" customWidth="1"/>
    <col min="39" max="44" width="8.28515625" style="129" customWidth="1"/>
    <col min="45" max="74" width="8.140625" style="129" customWidth="1"/>
    <col min="75" max="75" width="12" style="129" customWidth="1"/>
    <col min="76" max="79" width="8.140625" style="129" customWidth="1"/>
    <col min="80" max="80" width="3.85546875" style="129" customWidth="1"/>
    <col min="81" max="81" width="42.28515625" style="129" customWidth="1"/>
    <col min="82" max="82" width="43.42578125" style="129" customWidth="1"/>
    <col min="83" max="83" width="44.140625" style="129" customWidth="1"/>
    <col min="84" max="84" width="38.5703125" style="129" customWidth="1"/>
    <col min="85" max="85" width="18" style="129" customWidth="1"/>
    <col min="86" max="86" width="38.7109375" style="129" customWidth="1"/>
    <col min="87" max="87" width="135.7109375" style="129" customWidth="1"/>
    <col min="88" max="88" width="17.140625" style="129" customWidth="1"/>
    <col min="89" max="91" width="18.42578125" style="129" customWidth="1"/>
    <col min="92" max="93" width="19.140625" style="129" customWidth="1"/>
    <col min="94" max="95" width="8.85546875" style="129" customWidth="1"/>
    <col min="96" max="16384" width="14.42578125" style="129"/>
  </cols>
  <sheetData>
    <row r="1" spans="1:95">
      <c r="B1" s="1"/>
      <c r="C1" s="2"/>
    </row>
    <row r="2" spans="1:95" ht="45">
      <c r="A2" s="69"/>
      <c r="B2" s="4" t="s">
        <v>0</v>
      </c>
      <c r="C2" s="150" t="s">
        <v>1</v>
      </c>
      <c r="D2" s="153" t="s">
        <v>501</v>
      </c>
      <c r="E2" s="153" t="s">
        <v>2</v>
      </c>
      <c r="F2" s="154" t="s">
        <v>3</v>
      </c>
      <c r="G2" s="140"/>
      <c r="H2" s="5" t="s">
        <v>4</v>
      </c>
      <c r="I2" s="4" t="s">
        <v>5</v>
      </c>
      <c r="J2" s="6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155" t="s">
        <v>11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1"/>
      <c r="CC2" s="68"/>
      <c r="CD2" s="68"/>
      <c r="CE2" s="68"/>
      <c r="CF2" s="68"/>
      <c r="CG2" s="68"/>
      <c r="CH2" s="68"/>
      <c r="CI2" s="68"/>
      <c r="CJ2" s="5"/>
      <c r="CK2" s="154" t="s">
        <v>12</v>
      </c>
      <c r="CL2" s="140"/>
      <c r="CM2" s="141"/>
      <c r="CN2" s="154" t="s">
        <v>13</v>
      </c>
      <c r="CO2" s="140"/>
      <c r="CP2" s="141"/>
      <c r="CQ2" s="69"/>
    </row>
    <row r="3" spans="1:95" ht="46.5" customHeight="1">
      <c r="A3" s="8"/>
      <c r="B3" s="9"/>
      <c r="C3" s="151"/>
      <c r="D3" s="151"/>
      <c r="E3" s="151"/>
      <c r="F3" s="128"/>
      <c r="G3" s="127"/>
      <c r="H3" s="18"/>
      <c r="I3" s="13"/>
      <c r="J3" s="13"/>
      <c r="K3" s="13"/>
      <c r="L3" s="13"/>
      <c r="M3" s="13"/>
      <c r="N3" s="13"/>
      <c r="O3" s="157" t="s">
        <v>14</v>
      </c>
      <c r="P3" s="140"/>
      <c r="Q3" s="140"/>
      <c r="R3" s="140"/>
      <c r="S3" s="140"/>
      <c r="T3" s="141"/>
      <c r="U3" s="136" t="s">
        <v>15</v>
      </c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8"/>
      <c r="AG3" s="15"/>
      <c r="AH3" s="15"/>
      <c r="AI3" s="15"/>
      <c r="AJ3" s="15"/>
      <c r="AK3" s="15"/>
      <c r="AL3" s="136" t="s">
        <v>16</v>
      </c>
      <c r="AM3" s="137"/>
      <c r="AN3" s="137"/>
      <c r="AO3" s="137"/>
      <c r="AP3" s="137"/>
      <c r="AQ3" s="137"/>
      <c r="AR3" s="138"/>
      <c r="AS3" s="139" t="s">
        <v>17</v>
      </c>
      <c r="AT3" s="140"/>
      <c r="AU3" s="140"/>
      <c r="AV3" s="140"/>
      <c r="AW3" s="140"/>
      <c r="AX3" s="141"/>
      <c r="AY3" s="142" t="s">
        <v>18</v>
      </c>
      <c r="AZ3" s="137"/>
      <c r="BA3" s="137"/>
      <c r="BB3" s="137"/>
      <c r="BC3" s="137"/>
      <c r="BD3" s="138"/>
      <c r="BE3" s="143" t="s">
        <v>19</v>
      </c>
      <c r="BF3" s="144"/>
      <c r="BG3" s="144"/>
      <c r="BH3" s="144"/>
      <c r="BI3" s="144"/>
      <c r="BJ3" s="145"/>
      <c r="BK3" s="139" t="s">
        <v>20</v>
      </c>
      <c r="BL3" s="140"/>
      <c r="BM3" s="140"/>
      <c r="BN3" s="140"/>
      <c r="BO3" s="140"/>
      <c r="BP3" s="141"/>
      <c r="BQ3" s="139" t="s">
        <v>21</v>
      </c>
      <c r="BR3" s="140"/>
      <c r="BS3" s="140"/>
      <c r="BT3" s="140"/>
      <c r="BU3" s="140"/>
      <c r="BV3" s="141"/>
      <c r="BW3" s="139" t="s">
        <v>22</v>
      </c>
      <c r="BX3" s="140"/>
      <c r="BY3" s="140"/>
      <c r="BZ3" s="140"/>
      <c r="CA3" s="140"/>
      <c r="CB3" s="141"/>
      <c r="CC3" s="158" t="s">
        <v>23</v>
      </c>
      <c r="CD3" s="137"/>
      <c r="CE3" s="137"/>
      <c r="CF3" s="137"/>
      <c r="CG3" s="137"/>
      <c r="CH3" s="138"/>
      <c r="CI3" s="16" t="s">
        <v>24</v>
      </c>
      <c r="CJ3" s="17" t="s">
        <v>25</v>
      </c>
      <c r="CK3" s="18" t="s">
        <v>26</v>
      </c>
      <c r="CL3" s="18" t="s">
        <v>27</v>
      </c>
      <c r="CM3" s="18" t="s">
        <v>28</v>
      </c>
      <c r="CN3" s="18" t="s">
        <v>29</v>
      </c>
      <c r="CO3" s="19" t="s">
        <v>30</v>
      </c>
      <c r="CP3" s="19" t="s">
        <v>31</v>
      </c>
    </row>
    <row r="4" spans="1:95" ht="46.5" customHeight="1">
      <c r="A4" s="8"/>
      <c r="B4" s="9"/>
      <c r="C4" s="151"/>
      <c r="D4" s="151"/>
      <c r="E4" s="151"/>
      <c r="F4" s="128"/>
      <c r="G4" s="127"/>
      <c r="H4" s="18"/>
      <c r="I4" s="13"/>
      <c r="J4" s="13"/>
      <c r="K4" s="13"/>
      <c r="L4" s="13"/>
      <c r="M4" s="13"/>
      <c r="N4" s="13"/>
      <c r="O4" s="157" t="s">
        <v>14</v>
      </c>
      <c r="P4" s="140"/>
      <c r="Q4" s="140"/>
      <c r="R4" s="140"/>
      <c r="S4" s="140"/>
      <c r="T4" s="141"/>
      <c r="U4" s="136" t="s">
        <v>32</v>
      </c>
      <c r="V4" s="137"/>
      <c r="W4" s="137"/>
      <c r="X4" s="137"/>
      <c r="Y4" s="137"/>
      <c r="Z4" s="138"/>
      <c r="AA4" s="136" t="s">
        <v>33</v>
      </c>
      <c r="AB4" s="137"/>
      <c r="AC4" s="137"/>
      <c r="AD4" s="137"/>
      <c r="AE4" s="137"/>
      <c r="AF4" s="138"/>
      <c r="AG4" s="136" t="s">
        <v>34</v>
      </c>
      <c r="AH4" s="137"/>
      <c r="AI4" s="137"/>
      <c r="AJ4" s="137"/>
      <c r="AK4" s="137"/>
      <c r="AL4" s="138"/>
      <c r="AM4" s="146" t="s">
        <v>35</v>
      </c>
      <c r="AN4" s="147"/>
      <c r="AO4" s="147"/>
      <c r="AP4" s="147"/>
      <c r="AQ4" s="147"/>
      <c r="AR4" s="147"/>
      <c r="AS4" s="139" t="s">
        <v>17</v>
      </c>
      <c r="AT4" s="140"/>
      <c r="AU4" s="140"/>
      <c r="AV4" s="140"/>
      <c r="AW4" s="140"/>
      <c r="AX4" s="141"/>
      <c r="AY4" s="148" t="s">
        <v>18</v>
      </c>
      <c r="AZ4" s="147"/>
      <c r="BA4" s="147"/>
      <c r="BB4" s="147"/>
      <c r="BC4" s="147"/>
      <c r="BD4" s="149"/>
      <c r="BE4" s="139" t="s">
        <v>19</v>
      </c>
      <c r="BF4" s="140"/>
      <c r="BG4" s="140"/>
      <c r="BH4" s="140"/>
      <c r="BI4" s="140"/>
      <c r="BJ4" s="141"/>
      <c r="BK4" s="139" t="s">
        <v>20</v>
      </c>
      <c r="BL4" s="140"/>
      <c r="BM4" s="140"/>
      <c r="BN4" s="140"/>
      <c r="BO4" s="140"/>
      <c r="BP4" s="141"/>
      <c r="BQ4" s="139" t="s">
        <v>21</v>
      </c>
      <c r="BR4" s="140"/>
      <c r="BS4" s="140"/>
      <c r="BT4" s="140"/>
      <c r="BU4" s="140"/>
      <c r="BV4" s="141"/>
      <c r="BW4" s="139" t="s">
        <v>22</v>
      </c>
      <c r="BX4" s="140"/>
      <c r="BY4" s="140"/>
      <c r="BZ4" s="140"/>
      <c r="CA4" s="140"/>
      <c r="CB4" s="141"/>
      <c r="CC4" s="20"/>
      <c r="CD4" s="20"/>
      <c r="CE4" s="20"/>
      <c r="CF4" s="20"/>
      <c r="CG4" s="20"/>
      <c r="CH4" s="20"/>
      <c r="CI4" s="20"/>
      <c r="CJ4" s="21"/>
      <c r="CK4" s="18"/>
      <c r="CL4" s="18"/>
      <c r="CM4" s="18"/>
      <c r="CN4" s="18"/>
      <c r="CO4" s="19"/>
      <c r="CP4" s="19"/>
    </row>
    <row r="5" spans="1:95" ht="46.5" customHeight="1">
      <c r="A5" s="8" t="s">
        <v>36</v>
      </c>
      <c r="B5" s="9"/>
      <c r="C5" s="152"/>
      <c r="D5" s="152"/>
      <c r="E5" s="152"/>
      <c r="F5" s="22" t="s">
        <v>37</v>
      </c>
      <c r="G5" s="19" t="s">
        <v>38</v>
      </c>
      <c r="H5" s="18"/>
      <c r="I5" s="13"/>
      <c r="J5" s="13"/>
      <c r="K5" s="13"/>
      <c r="L5" s="13"/>
      <c r="M5" s="13"/>
      <c r="N5" s="13"/>
      <c r="O5" s="156" t="s">
        <v>14</v>
      </c>
      <c r="P5" s="140"/>
      <c r="Q5" s="140"/>
      <c r="R5" s="140"/>
      <c r="S5" s="140"/>
      <c r="T5" s="141"/>
      <c r="U5" s="136" t="s">
        <v>32</v>
      </c>
      <c r="V5" s="137"/>
      <c r="W5" s="137"/>
      <c r="X5" s="137"/>
      <c r="Y5" s="137"/>
      <c r="Z5" s="138"/>
      <c r="AA5" s="136" t="s">
        <v>33</v>
      </c>
      <c r="AB5" s="137"/>
      <c r="AC5" s="137"/>
      <c r="AD5" s="137"/>
      <c r="AE5" s="137"/>
      <c r="AF5" s="138"/>
      <c r="AG5" s="136" t="s">
        <v>34</v>
      </c>
      <c r="AH5" s="137"/>
      <c r="AI5" s="137"/>
      <c r="AJ5" s="137"/>
      <c r="AK5" s="137"/>
      <c r="AL5" s="138"/>
      <c r="AM5" s="156" t="s">
        <v>35</v>
      </c>
      <c r="AN5" s="140"/>
      <c r="AO5" s="140"/>
      <c r="AP5" s="140"/>
      <c r="AQ5" s="140"/>
      <c r="AR5" s="141"/>
      <c r="AS5" s="139" t="s">
        <v>17</v>
      </c>
      <c r="AT5" s="140"/>
      <c r="AU5" s="140"/>
      <c r="AV5" s="140"/>
      <c r="AW5" s="140"/>
      <c r="AX5" s="141"/>
      <c r="AY5" s="139" t="s">
        <v>18</v>
      </c>
      <c r="AZ5" s="140"/>
      <c r="BA5" s="140"/>
      <c r="BB5" s="140"/>
      <c r="BC5" s="140"/>
      <c r="BD5" s="141"/>
      <c r="BE5" s="142" t="s">
        <v>19</v>
      </c>
      <c r="BF5" s="137"/>
      <c r="BG5" s="137"/>
      <c r="BH5" s="137"/>
      <c r="BI5" s="137"/>
      <c r="BJ5" s="138"/>
      <c r="BK5" s="139" t="s">
        <v>20</v>
      </c>
      <c r="BL5" s="140"/>
      <c r="BM5" s="140"/>
      <c r="BN5" s="140"/>
      <c r="BO5" s="140"/>
      <c r="BP5" s="141"/>
      <c r="BQ5" s="139" t="s">
        <v>21</v>
      </c>
      <c r="BR5" s="140"/>
      <c r="BS5" s="140"/>
      <c r="BT5" s="140"/>
      <c r="BU5" s="140"/>
      <c r="BV5" s="141"/>
      <c r="BW5" s="139" t="s">
        <v>22</v>
      </c>
      <c r="BX5" s="140"/>
      <c r="BY5" s="140"/>
      <c r="BZ5" s="140"/>
      <c r="CA5" s="140"/>
      <c r="CB5" s="141"/>
      <c r="CC5" s="17">
        <v>1</v>
      </c>
      <c r="CD5" s="17">
        <v>2</v>
      </c>
      <c r="CE5" s="17">
        <v>3</v>
      </c>
      <c r="CF5" s="17">
        <v>4</v>
      </c>
      <c r="CG5" s="17">
        <v>5</v>
      </c>
      <c r="CH5" s="17">
        <v>6</v>
      </c>
      <c r="CI5" s="21"/>
      <c r="CJ5" s="21"/>
      <c r="CK5" s="8"/>
      <c r="CL5" s="8"/>
      <c r="CM5" s="8"/>
      <c r="CN5" s="8"/>
      <c r="CO5" s="8"/>
      <c r="CP5" s="8"/>
    </row>
    <row r="6" spans="1:95">
      <c r="A6" s="24"/>
      <c r="B6" s="25"/>
      <c r="C6" s="13"/>
      <c r="D6" s="21"/>
      <c r="E6" s="21"/>
      <c r="F6" s="26"/>
      <c r="G6" s="13"/>
      <c r="H6" s="21"/>
      <c r="I6" s="21"/>
      <c r="J6" s="21"/>
      <c r="K6" s="21"/>
      <c r="L6" s="17"/>
      <c r="M6" s="21"/>
      <c r="N6" s="27"/>
      <c r="O6" s="17">
        <v>1</v>
      </c>
      <c r="P6" s="17">
        <v>2</v>
      </c>
      <c r="Q6" s="17">
        <v>3</v>
      </c>
      <c r="R6" s="17">
        <v>4</v>
      </c>
      <c r="S6" s="17">
        <v>5</v>
      </c>
      <c r="T6" s="17">
        <v>6</v>
      </c>
      <c r="U6" s="17">
        <v>1</v>
      </c>
      <c r="V6" s="17">
        <v>2</v>
      </c>
      <c r="W6" s="17">
        <v>3</v>
      </c>
      <c r="X6" s="17">
        <v>4</v>
      </c>
      <c r="Y6" s="17">
        <v>5</v>
      </c>
      <c r="Z6" s="17">
        <v>6</v>
      </c>
      <c r="AA6" s="17">
        <v>1</v>
      </c>
      <c r="AB6" s="17">
        <v>2</v>
      </c>
      <c r="AC6" s="17">
        <v>3</v>
      </c>
      <c r="AD6" s="17">
        <v>4</v>
      </c>
      <c r="AE6" s="17">
        <v>5</v>
      </c>
      <c r="AF6" s="17">
        <v>6</v>
      </c>
      <c r="AG6" s="17">
        <v>1</v>
      </c>
      <c r="AH6" s="17">
        <v>2</v>
      </c>
      <c r="AI6" s="17">
        <v>3</v>
      </c>
      <c r="AJ6" s="17">
        <v>4</v>
      </c>
      <c r="AK6" s="17">
        <v>5</v>
      </c>
      <c r="AL6" s="28">
        <v>6</v>
      </c>
      <c r="AM6" s="28">
        <v>1</v>
      </c>
      <c r="AN6" s="28">
        <v>2</v>
      </c>
      <c r="AO6" s="28">
        <v>3</v>
      </c>
      <c r="AP6" s="28">
        <v>4</v>
      </c>
      <c r="AQ6" s="28">
        <v>5</v>
      </c>
      <c r="AR6" s="28">
        <v>6</v>
      </c>
      <c r="AS6" s="29">
        <v>1</v>
      </c>
      <c r="AT6" s="24">
        <v>2</v>
      </c>
      <c r="AU6" s="24">
        <v>3</v>
      </c>
      <c r="AV6" s="24">
        <v>4</v>
      </c>
      <c r="AW6" s="24">
        <v>5</v>
      </c>
      <c r="AX6" s="24">
        <v>6</v>
      </c>
      <c r="AY6" s="24">
        <v>1</v>
      </c>
      <c r="AZ6" s="24">
        <v>2</v>
      </c>
      <c r="BA6" s="24">
        <v>3</v>
      </c>
      <c r="BB6" s="24">
        <v>4</v>
      </c>
      <c r="BC6" s="24">
        <v>5</v>
      </c>
      <c r="BD6" s="24">
        <v>6</v>
      </c>
      <c r="BE6" s="29">
        <v>1</v>
      </c>
      <c r="BF6" s="24">
        <v>2</v>
      </c>
      <c r="BG6" s="24">
        <v>3</v>
      </c>
      <c r="BH6" s="24">
        <v>4</v>
      </c>
      <c r="BI6" s="24">
        <v>5</v>
      </c>
      <c r="BJ6" s="24">
        <v>6</v>
      </c>
      <c r="BK6" s="29">
        <v>1</v>
      </c>
      <c r="BL6" s="24">
        <v>2</v>
      </c>
      <c r="BM6" s="24">
        <v>3</v>
      </c>
      <c r="BN6" s="24">
        <v>4</v>
      </c>
      <c r="BO6" s="24">
        <v>5</v>
      </c>
      <c r="BP6" s="24">
        <v>6</v>
      </c>
      <c r="BQ6" s="29">
        <v>1</v>
      </c>
      <c r="BR6" s="24">
        <v>2</v>
      </c>
      <c r="BS6" s="24">
        <v>3</v>
      </c>
      <c r="BT6" s="24">
        <v>4</v>
      </c>
      <c r="BU6" s="24">
        <v>5</v>
      </c>
      <c r="BV6" s="24">
        <v>6</v>
      </c>
      <c r="BW6" s="29">
        <v>1</v>
      </c>
      <c r="BX6" s="24">
        <v>2</v>
      </c>
      <c r="BY6" s="24">
        <v>3</v>
      </c>
      <c r="BZ6" s="24">
        <v>4</v>
      </c>
      <c r="CA6" s="24">
        <v>5</v>
      </c>
      <c r="CB6" s="24">
        <v>6</v>
      </c>
      <c r="CC6" s="17"/>
      <c r="CD6" s="17"/>
      <c r="CE6" s="17"/>
      <c r="CF6" s="17"/>
      <c r="CG6" s="17"/>
      <c r="CH6" s="17"/>
      <c r="CI6" s="21"/>
      <c r="CJ6" s="21"/>
      <c r="CK6" s="13"/>
      <c r="CL6" s="13"/>
      <c r="CM6" s="13"/>
      <c r="CN6" s="13"/>
      <c r="CO6" s="13"/>
      <c r="CP6" s="13"/>
    </row>
    <row r="7" spans="1:95">
      <c r="A7" s="24" t="s">
        <v>39</v>
      </c>
      <c r="B7" s="30">
        <v>1</v>
      </c>
      <c r="C7" s="31" t="s">
        <v>577</v>
      </c>
      <c r="D7" s="28" t="s">
        <v>578</v>
      </c>
      <c r="E7" s="28" t="s">
        <v>41</v>
      </c>
      <c r="F7" s="13" t="s">
        <v>42</v>
      </c>
      <c r="G7" s="13"/>
      <c r="H7" s="13" t="s">
        <v>43</v>
      </c>
      <c r="I7" s="13" t="s">
        <v>44</v>
      </c>
      <c r="J7" s="13" t="s">
        <v>45</v>
      </c>
      <c r="K7" s="13" t="s">
        <v>46</v>
      </c>
      <c r="L7" s="28" t="s">
        <v>47</v>
      </c>
      <c r="M7" s="13">
        <v>3</v>
      </c>
      <c r="N7" s="32">
        <v>0.121</v>
      </c>
      <c r="O7" s="33">
        <v>0.48899999999999999</v>
      </c>
      <c r="P7" s="33">
        <v>0.54200000000000004</v>
      </c>
      <c r="Q7" s="33">
        <v>0.70099999999999996</v>
      </c>
      <c r="R7" s="33"/>
      <c r="S7" s="33"/>
      <c r="T7" s="33"/>
      <c r="U7" s="33">
        <v>0.128</v>
      </c>
      <c r="V7" s="33">
        <v>0.108</v>
      </c>
      <c r="W7" s="33">
        <v>3.5000000000000003E-2</v>
      </c>
      <c r="X7" s="33"/>
      <c r="Y7" s="33"/>
      <c r="Z7" s="34"/>
      <c r="AA7" s="35">
        <v>0.35</v>
      </c>
      <c r="AB7" s="35">
        <v>0.33100000000000002</v>
      </c>
      <c r="AC7" s="28">
        <v>24.4</v>
      </c>
      <c r="AD7" s="35"/>
      <c r="AE7" s="35"/>
      <c r="AF7" s="8"/>
      <c r="AG7" s="33">
        <v>0.03</v>
      </c>
      <c r="AH7" s="33">
        <v>1.7999999999999999E-2</v>
      </c>
      <c r="AI7" s="33">
        <v>0.02</v>
      </c>
      <c r="AJ7" s="33"/>
      <c r="AK7" s="33"/>
      <c r="AL7" s="8"/>
      <c r="AM7" s="33">
        <v>3.0000000000000001E-3</v>
      </c>
      <c r="AN7" s="33">
        <v>1E-3</v>
      </c>
      <c r="AO7" s="33">
        <v>0</v>
      </c>
      <c r="AP7" s="33"/>
      <c r="AQ7" s="33"/>
      <c r="AR7" s="8"/>
      <c r="AS7" s="24">
        <v>56.6</v>
      </c>
      <c r="AT7" s="24">
        <v>48.4</v>
      </c>
      <c r="AU7" s="24">
        <v>29.9</v>
      </c>
      <c r="AV7" s="24"/>
      <c r="AW7" s="24"/>
      <c r="AX7" s="24"/>
      <c r="AY7" s="36">
        <v>0.23899999999999999</v>
      </c>
      <c r="AZ7" s="36">
        <v>0.86599999999999999</v>
      </c>
      <c r="BA7" s="24">
        <v>91.1</v>
      </c>
      <c r="BB7" s="8"/>
      <c r="BC7" s="8"/>
      <c r="BD7" s="8"/>
      <c r="BE7" s="33">
        <v>0.38900000000000001</v>
      </c>
      <c r="BF7" s="36">
        <v>0.36799999999999999</v>
      </c>
      <c r="BG7" s="24">
        <v>33.299999999999997</v>
      </c>
      <c r="BH7" s="8"/>
      <c r="BI7" s="8"/>
      <c r="BJ7" s="8"/>
      <c r="BK7" s="33">
        <v>7.4999999999999997E-2</v>
      </c>
      <c r="BL7" s="36">
        <v>7.4999999999999997E-2</v>
      </c>
      <c r="BM7" s="36">
        <v>7.0000000000000007E-2</v>
      </c>
      <c r="BN7" s="8"/>
      <c r="BO7" s="8"/>
      <c r="BP7" s="8"/>
      <c r="BQ7" s="28">
        <v>15</v>
      </c>
      <c r="BR7" s="24">
        <v>14</v>
      </c>
      <c r="BS7" s="24">
        <v>10</v>
      </c>
      <c r="BT7" s="8"/>
      <c r="BU7" s="8"/>
      <c r="BV7" s="8"/>
      <c r="BW7" s="28" t="s">
        <v>48</v>
      </c>
      <c r="BX7" s="24" t="s">
        <v>49</v>
      </c>
      <c r="BY7" s="24" t="s">
        <v>50</v>
      </c>
      <c r="BZ7" s="24"/>
      <c r="CA7" s="8"/>
      <c r="CB7" s="8"/>
      <c r="CC7" s="28" t="s">
        <v>51</v>
      </c>
      <c r="CD7" s="28" t="s">
        <v>52</v>
      </c>
      <c r="CE7" s="28" t="s">
        <v>52</v>
      </c>
      <c r="CF7" s="28" t="s">
        <v>579</v>
      </c>
      <c r="CG7" s="28"/>
      <c r="CH7" s="28"/>
      <c r="CI7" s="13"/>
      <c r="CJ7" s="13"/>
      <c r="CK7" s="13"/>
      <c r="CL7" s="13"/>
      <c r="CM7" s="13"/>
      <c r="CN7" s="13"/>
      <c r="CO7" s="13"/>
      <c r="CP7" s="13"/>
    </row>
    <row r="8" spans="1:95" ht="32.25" customHeight="1">
      <c r="A8" s="24" t="s">
        <v>53</v>
      </c>
      <c r="B8" s="30">
        <v>2</v>
      </c>
      <c r="C8" s="37" t="s">
        <v>54</v>
      </c>
      <c r="D8" s="60"/>
      <c r="E8" s="60" t="s">
        <v>55</v>
      </c>
      <c r="F8" s="13" t="s">
        <v>56</v>
      </c>
      <c r="G8" s="13"/>
      <c r="H8" s="13" t="s">
        <v>57</v>
      </c>
      <c r="I8" s="13" t="s">
        <v>58</v>
      </c>
      <c r="J8" s="13" t="s">
        <v>45</v>
      </c>
      <c r="K8" s="13" t="s">
        <v>46</v>
      </c>
      <c r="L8" s="13" t="s">
        <v>59</v>
      </c>
      <c r="M8" s="13">
        <v>3</v>
      </c>
      <c r="N8" s="32">
        <v>0.11600000000000001</v>
      </c>
      <c r="O8" s="33">
        <v>0.57399999999999995</v>
      </c>
      <c r="P8" s="33">
        <v>0.47</v>
      </c>
      <c r="Q8" s="33">
        <v>0.49399999999999999</v>
      </c>
      <c r="R8" s="33"/>
      <c r="S8" s="33"/>
      <c r="T8" s="8"/>
      <c r="U8" s="33">
        <v>5.3999999999999999E-2</v>
      </c>
      <c r="V8" s="33">
        <v>0.16500000000000001</v>
      </c>
      <c r="W8" s="33">
        <v>4.1000000000000002E-2</v>
      </c>
      <c r="X8" s="33"/>
      <c r="Y8" s="33"/>
      <c r="Z8" s="39"/>
      <c r="AA8" s="33">
        <v>0.20300000000000001</v>
      </c>
      <c r="AB8" s="33">
        <v>0.184</v>
      </c>
      <c r="AC8" s="33">
        <v>0.20799999999999999</v>
      </c>
      <c r="AD8" s="33"/>
      <c r="AE8" s="33"/>
      <c r="AF8" s="8"/>
      <c r="AG8" s="33">
        <v>0.128</v>
      </c>
      <c r="AH8" s="33">
        <v>8.3000000000000004E-2</v>
      </c>
      <c r="AI8" s="33">
        <v>0.13900000000000001</v>
      </c>
      <c r="AJ8" s="33"/>
      <c r="AK8" s="33"/>
      <c r="AL8" s="8"/>
      <c r="AM8" s="33">
        <v>4.1000000000000002E-2</v>
      </c>
      <c r="AN8" s="33">
        <v>9.8000000000000004E-2</v>
      </c>
      <c r="AO8" s="33">
        <v>0.11799999999999999</v>
      </c>
      <c r="AP8" s="33"/>
      <c r="AQ8" s="33"/>
      <c r="AR8" s="8"/>
      <c r="AS8" s="24">
        <v>67.900000000000006</v>
      </c>
      <c r="AT8" s="24">
        <v>90.4</v>
      </c>
      <c r="AU8" s="24">
        <v>92</v>
      </c>
      <c r="AV8" s="24"/>
      <c r="AW8" s="24"/>
      <c r="AX8" s="24"/>
      <c r="AY8" s="36">
        <v>0.61399999999999999</v>
      </c>
      <c r="AZ8" s="36">
        <v>0.19800000000000001</v>
      </c>
      <c r="BA8" s="36">
        <v>0.69599999999999995</v>
      </c>
      <c r="BB8" s="8"/>
      <c r="BC8" s="8"/>
      <c r="BD8" s="8"/>
      <c r="BE8" s="33">
        <v>0.48499999999999999</v>
      </c>
      <c r="BF8" s="36">
        <v>0.57099999999999995</v>
      </c>
      <c r="BG8" s="40">
        <v>0.54</v>
      </c>
      <c r="BH8" s="8"/>
      <c r="BI8" s="8"/>
      <c r="BJ8" s="8"/>
      <c r="BK8" s="33">
        <v>6.5000000000000002E-2</v>
      </c>
      <c r="BL8" s="40">
        <v>7.0000000000000007E-2</v>
      </c>
      <c r="BM8" s="36">
        <v>6.3E-2</v>
      </c>
      <c r="BN8" s="8"/>
      <c r="BO8" s="8"/>
      <c r="BP8" s="8"/>
      <c r="BQ8" s="28">
        <v>32</v>
      </c>
      <c r="BR8" s="24">
        <v>23</v>
      </c>
      <c r="BS8" s="24">
        <v>27</v>
      </c>
      <c r="BT8" s="8"/>
      <c r="BU8" s="8"/>
      <c r="BV8" s="8"/>
      <c r="BW8" s="28" t="s">
        <v>60</v>
      </c>
      <c r="BX8" s="24" t="s">
        <v>61</v>
      </c>
      <c r="BY8" s="24" t="s">
        <v>62</v>
      </c>
      <c r="BZ8" s="24"/>
      <c r="CA8" s="8"/>
      <c r="CB8" s="8"/>
      <c r="CC8" s="28" t="s">
        <v>63</v>
      </c>
      <c r="CD8" s="28" t="s">
        <v>64</v>
      </c>
      <c r="CE8" s="28" t="s">
        <v>65</v>
      </c>
      <c r="CF8" s="28"/>
      <c r="CG8" s="28"/>
      <c r="CH8" s="28"/>
      <c r="CI8" s="28" t="s">
        <v>66</v>
      </c>
      <c r="CJ8" s="13"/>
      <c r="CK8" s="13"/>
      <c r="CL8" s="13"/>
      <c r="CM8" s="13"/>
      <c r="CN8" s="13"/>
      <c r="CO8" s="13"/>
      <c r="CP8" s="13"/>
    </row>
    <row r="9" spans="1:95" ht="17.25" customHeight="1">
      <c r="A9" s="24" t="s">
        <v>67</v>
      </c>
      <c r="B9" s="30">
        <v>3</v>
      </c>
      <c r="C9" s="41" t="s">
        <v>619</v>
      </c>
      <c r="D9" s="60" t="s">
        <v>503</v>
      </c>
      <c r="E9" s="60" t="s">
        <v>69</v>
      </c>
      <c r="F9" s="13"/>
      <c r="G9" s="13" t="s">
        <v>70</v>
      </c>
      <c r="H9" s="13" t="s">
        <v>71</v>
      </c>
      <c r="I9" s="13" t="s">
        <v>72</v>
      </c>
      <c r="J9" s="13" t="s">
        <v>73</v>
      </c>
      <c r="K9" s="13" t="s">
        <v>46</v>
      </c>
      <c r="L9" s="13" t="s">
        <v>74</v>
      </c>
      <c r="M9" s="13">
        <v>3</v>
      </c>
      <c r="N9" s="32">
        <v>6.2600000000000003E-2</v>
      </c>
      <c r="O9" s="33">
        <v>0.45100000000000001</v>
      </c>
      <c r="P9" s="33">
        <v>0.498</v>
      </c>
      <c r="Q9" s="33">
        <v>0.495</v>
      </c>
      <c r="R9" s="33">
        <v>0.60799999999999998</v>
      </c>
      <c r="S9" s="33">
        <v>0.64200000000000002</v>
      </c>
      <c r="T9" s="8"/>
      <c r="U9" s="28">
        <v>23.9</v>
      </c>
      <c r="V9" s="33">
        <v>0.20699999999999999</v>
      </c>
      <c r="W9" s="33">
        <v>0.218</v>
      </c>
      <c r="X9" s="33">
        <v>0.13900000000000001</v>
      </c>
      <c r="Y9" s="33">
        <v>0.10100000000000001</v>
      </c>
      <c r="Z9" s="39"/>
      <c r="AA9" s="33">
        <v>0.309</v>
      </c>
      <c r="AB9" s="35">
        <v>0.28999999999999998</v>
      </c>
      <c r="AC9" s="33">
        <v>0.28399999999999997</v>
      </c>
      <c r="AD9" s="33">
        <v>0.216</v>
      </c>
      <c r="AE9" s="33">
        <v>0.248</v>
      </c>
      <c r="AF9" s="8"/>
      <c r="AG9" s="33">
        <v>0</v>
      </c>
      <c r="AH9" s="33">
        <v>5.0000000000000001E-3</v>
      </c>
      <c r="AI9" s="33">
        <v>3.0000000000000001E-3</v>
      </c>
      <c r="AJ9" s="33">
        <v>2.7E-2</v>
      </c>
      <c r="AK9" s="33">
        <v>8.9999999999999993E-3</v>
      </c>
      <c r="AL9" s="8"/>
      <c r="AM9" s="33">
        <v>1E-3</v>
      </c>
      <c r="AN9" s="35">
        <v>0</v>
      </c>
      <c r="AO9" s="35">
        <v>0</v>
      </c>
      <c r="AP9" s="35">
        <v>0</v>
      </c>
      <c r="AQ9" s="35">
        <v>0</v>
      </c>
      <c r="AR9" s="8"/>
      <c r="AS9" s="28">
        <v>63.2</v>
      </c>
      <c r="AT9" s="28">
        <v>57.5</v>
      </c>
      <c r="AU9" s="28">
        <v>58.3</v>
      </c>
      <c r="AV9" s="28">
        <v>49</v>
      </c>
      <c r="AW9" s="28">
        <v>38.200000000000003</v>
      </c>
      <c r="AX9" s="28"/>
      <c r="AY9" s="33">
        <v>0.95699999999999996</v>
      </c>
      <c r="AZ9" s="36">
        <v>0.96499999999999997</v>
      </c>
      <c r="BA9" s="24" t="s">
        <v>75</v>
      </c>
      <c r="BB9" s="36">
        <v>0.96499999999999997</v>
      </c>
      <c r="BC9" s="36">
        <v>0.96799999999999997</v>
      </c>
      <c r="BD9" s="8"/>
      <c r="BE9" s="33">
        <v>0.34699999999999998</v>
      </c>
      <c r="BF9" s="36">
        <v>0.377</v>
      </c>
      <c r="BG9" s="36">
        <v>0.35399999999999998</v>
      </c>
      <c r="BH9" s="36">
        <v>0.48499999999999999</v>
      </c>
      <c r="BI9" s="36">
        <v>0.36599999999999999</v>
      </c>
      <c r="BJ9" s="8"/>
      <c r="BK9" s="33">
        <v>8.1000000000000003E-2</v>
      </c>
      <c r="BL9" s="36">
        <v>7.9000000000000001E-2</v>
      </c>
      <c r="BM9" s="36">
        <v>7.9000000000000001E-2</v>
      </c>
      <c r="BN9" s="36">
        <v>7.1999999999999995E-2</v>
      </c>
      <c r="BO9" s="36">
        <v>7.1999999999999995E-2</v>
      </c>
      <c r="BP9" s="8"/>
      <c r="BQ9" s="28">
        <v>1</v>
      </c>
      <c r="BR9" s="24">
        <v>1</v>
      </c>
      <c r="BS9" s="24">
        <v>2</v>
      </c>
      <c r="BT9" s="24">
        <v>18</v>
      </c>
      <c r="BU9" s="24">
        <v>3</v>
      </c>
      <c r="BV9" s="8"/>
      <c r="BW9" s="28" t="s">
        <v>76</v>
      </c>
      <c r="BX9" s="28" t="s">
        <v>77</v>
      </c>
      <c r="BY9" s="28" t="s">
        <v>78</v>
      </c>
      <c r="BZ9" s="28" t="s">
        <v>504</v>
      </c>
      <c r="CA9" s="24" t="s">
        <v>103</v>
      </c>
      <c r="CB9" s="8"/>
      <c r="CC9" s="28" t="s">
        <v>79</v>
      </c>
      <c r="CD9" s="28" t="s">
        <v>80</v>
      </c>
      <c r="CE9" s="28" t="s">
        <v>81</v>
      </c>
      <c r="CF9" s="28" t="s">
        <v>505</v>
      </c>
      <c r="CG9" s="28" t="s">
        <v>620</v>
      </c>
      <c r="CH9" s="24"/>
      <c r="CI9" s="28" t="s">
        <v>82</v>
      </c>
      <c r="CJ9" s="13"/>
      <c r="CK9" s="13"/>
      <c r="CL9" s="13"/>
      <c r="CM9" s="13"/>
      <c r="CN9" s="28" t="s">
        <v>506</v>
      </c>
      <c r="CO9" s="13"/>
      <c r="CP9" s="13"/>
    </row>
    <row r="10" spans="1:95">
      <c r="A10" s="24" t="s">
        <v>83</v>
      </c>
      <c r="B10" s="30">
        <v>4</v>
      </c>
      <c r="C10" s="42" t="s">
        <v>580</v>
      </c>
      <c r="D10" s="28" t="s">
        <v>196</v>
      </c>
      <c r="E10" s="13" t="s">
        <v>85</v>
      </c>
      <c r="F10" s="13" t="s">
        <v>86</v>
      </c>
      <c r="G10" s="13"/>
      <c r="H10" s="13" t="s">
        <v>87</v>
      </c>
      <c r="I10" s="13" t="s">
        <v>88</v>
      </c>
      <c r="J10" s="13" t="s">
        <v>73</v>
      </c>
      <c r="K10" s="13" t="s">
        <v>46</v>
      </c>
      <c r="L10" s="13" t="s">
        <v>89</v>
      </c>
      <c r="M10" s="13">
        <v>3</v>
      </c>
      <c r="N10" s="13">
        <v>14.7</v>
      </c>
      <c r="O10" s="33">
        <v>0.34499999999999997</v>
      </c>
      <c r="P10" s="33">
        <v>0.49299999999999999</v>
      </c>
      <c r="Q10" s="33">
        <v>0.70499999999999996</v>
      </c>
      <c r="R10" s="33">
        <v>0.748</v>
      </c>
      <c r="S10" s="33"/>
      <c r="T10" s="8"/>
      <c r="U10" s="33">
        <v>0.499</v>
      </c>
      <c r="V10" s="33">
        <v>0.22600000000000001</v>
      </c>
      <c r="W10" s="33">
        <v>5.3999999999999999E-2</v>
      </c>
      <c r="X10" s="33">
        <v>6.6000000000000003E-2</v>
      </c>
      <c r="Y10" s="33"/>
      <c r="Z10" s="39"/>
      <c r="AA10" s="33">
        <v>0.152</v>
      </c>
      <c r="AB10" s="33">
        <v>0.17599999999999999</v>
      </c>
      <c r="AC10" s="33">
        <v>0.14399999999999999</v>
      </c>
      <c r="AD10" s="33">
        <v>9.8000000000000004E-2</v>
      </c>
      <c r="AE10" s="33"/>
      <c r="AF10" s="8"/>
      <c r="AG10" s="33">
        <v>4.0000000000000001E-3</v>
      </c>
      <c r="AH10" s="33">
        <v>9.1999999999999998E-2</v>
      </c>
      <c r="AI10" s="33">
        <v>9.5000000000000001E-2</v>
      </c>
      <c r="AJ10" s="33">
        <v>7.0999999999999994E-2</v>
      </c>
      <c r="AK10" s="33"/>
      <c r="AL10" s="8"/>
      <c r="AM10" s="35">
        <v>0</v>
      </c>
      <c r="AN10" s="28">
        <v>1.3</v>
      </c>
      <c r="AO10" s="28">
        <v>0.2</v>
      </c>
      <c r="AP10" s="28">
        <v>1.7</v>
      </c>
      <c r="AQ10" s="35"/>
      <c r="AR10" s="8"/>
      <c r="AS10" s="28">
        <v>93</v>
      </c>
      <c r="AT10" s="28">
        <v>76.2</v>
      </c>
      <c r="AU10" s="28">
        <v>43.6</v>
      </c>
      <c r="AV10" s="28">
        <v>40.5</v>
      </c>
      <c r="AW10" s="28"/>
      <c r="AX10" s="28"/>
      <c r="AY10" s="33">
        <v>0.71899999999999997</v>
      </c>
      <c r="AZ10" s="36">
        <v>0.77400000000000002</v>
      </c>
      <c r="BA10" s="36">
        <v>0.86399999999999999</v>
      </c>
      <c r="BB10" s="36">
        <v>0.84599999999999997</v>
      </c>
      <c r="BC10" s="8"/>
      <c r="BD10" s="8"/>
      <c r="BE10" s="33">
        <v>0.498</v>
      </c>
      <c r="BF10" s="36">
        <v>0.54300000000000004</v>
      </c>
      <c r="BG10" s="36">
        <v>0.48899999999999999</v>
      </c>
      <c r="BH10" s="40">
        <v>0.47</v>
      </c>
      <c r="BI10" s="8"/>
      <c r="BJ10" s="8"/>
      <c r="BK10" s="33">
        <v>9.5000000000000001E-2</v>
      </c>
      <c r="BL10" s="36">
        <v>7.4999999999999997E-2</v>
      </c>
      <c r="BM10" s="36">
        <v>6.5000000000000002E-2</v>
      </c>
      <c r="BN10" s="36">
        <v>6.5000000000000002E-2</v>
      </c>
      <c r="BO10" s="8"/>
      <c r="BP10" s="8"/>
      <c r="BQ10" s="28">
        <v>1</v>
      </c>
      <c r="BR10" s="24">
        <v>26</v>
      </c>
      <c r="BS10" s="24">
        <v>20</v>
      </c>
      <c r="BT10" s="24">
        <v>30</v>
      </c>
      <c r="BU10" s="8"/>
      <c r="BV10" s="8"/>
      <c r="BW10" s="28" t="s">
        <v>90</v>
      </c>
      <c r="BX10" s="28" t="s">
        <v>91</v>
      </c>
      <c r="BY10" s="28" t="s">
        <v>508</v>
      </c>
      <c r="BZ10" s="28" t="s">
        <v>581</v>
      </c>
      <c r="CA10" s="8"/>
      <c r="CB10" s="8"/>
      <c r="CC10" s="28" t="s">
        <v>92</v>
      </c>
      <c r="CD10" s="28" t="s">
        <v>93</v>
      </c>
      <c r="CE10" s="28" t="s">
        <v>509</v>
      </c>
      <c r="CF10" s="28" t="s">
        <v>582</v>
      </c>
      <c r="CG10" s="28"/>
      <c r="CH10" s="8"/>
      <c r="CI10" s="28" t="s">
        <v>94</v>
      </c>
      <c r="CJ10" s="13"/>
      <c r="CK10" s="13"/>
      <c r="CL10" s="13"/>
      <c r="CM10" s="13"/>
      <c r="CN10" s="13"/>
      <c r="CO10" s="13"/>
      <c r="CP10" s="13"/>
    </row>
    <row r="11" spans="1:95">
      <c r="A11" s="43">
        <v>46000</v>
      </c>
      <c r="B11" s="30">
        <v>5</v>
      </c>
      <c r="C11" s="42" t="s">
        <v>510</v>
      </c>
      <c r="D11" s="28" t="s">
        <v>511</v>
      </c>
      <c r="E11" s="13" t="s">
        <v>96</v>
      </c>
      <c r="F11" s="13"/>
      <c r="G11" s="13" t="s">
        <v>97</v>
      </c>
      <c r="H11" s="13" t="s">
        <v>98</v>
      </c>
      <c r="I11" s="13" t="s">
        <v>99</v>
      </c>
      <c r="J11" s="13" t="s">
        <v>45</v>
      </c>
      <c r="K11" s="13" t="s">
        <v>46</v>
      </c>
      <c r="L11" s="13" t="s">
        <v>100</v>
      </c>
      <c r="M11" s="44" t="s">
        <v>101</v>
      </c>
      <c r="N11" s="32">
        <v>7.3400000000000007E-2</v>
      </c>
      <c r="O11" s="33">
        <v>0.53500000000000003</v>
      </c>
      <c r="P11" s="33">
        <v>0.69499999999999995</v>
      </c>
      <c r="Q11" s="33">
        <v>0.54900000000000004</v>
      </c>
      <c r="R11" s="13"/>
      <c r="S11" s="13"/>
      <c r="T11" s="8"/>
      <c r="U11" s="33">
        <v>0.14099999999999999</v>
      </c>
      <c r="V11" s="33">
        <v>9.9000000000000005E-2</v>
      </c>
      <c r="W11" s="33">
        <v>0.16300000000000001</v>
      </c>
      <c r="X11" s="13"/>
      <c r="Y11" s="13"/>
      <c r="Z11" s="39"/>
      <c r="AA11" s="33">
        <v>0.222</v>
      </c>
      <c r="AB11" s="33">
        <v>0.14399999999999999</v>
      </c>
      <c r="AC11" s="33">
        <v>0.223</v>
      </c>
      <c r="AD11" s="13"/>
      <c r="AE11" s="13"/>
      <c r="AF11" s="8"/>
      <c r="AG11" s="35">
        <v>0.1</v>
      </c>
      <c r="AH11" s="33">
        <v>5.0999999999999997E-2</v>
      </c>
      <c r="AI11" s="33">
        <v>5.1999999999999998E-2</v>
      </c>
      <c r="AJ11" s="13"/>
      <c r="AK11" s="13"/>
      <c r="AL11" s="8"/>
      <c r="AM11" s="33">
        <v>2E-3</v>
      </c>
      <c r="AN11" s="33">
        <v>1.0999999999999999E-2</v>
      </c>
      <c r="AO11" s="33">
        <v>1.2999999999999999E-2</v>
      </c>
      <c r="AP11" s="13"/>
      <c r="AQ11" s="13"/>
      <c r="AR11" s="8"/>
      <c r="AS11" s="28">
        <v>64.900000000000006</v>
      </c>
      <c r="AT11" s="28">
        <v>42.9</v>
      </c>
      <c r="AU11" s="28">
        <v>60.3</v>
      </c>
      <c r="AV11" s="13"/>
      <c r="AW11" s="13"/>
      <c r="AX11" s="13"/>
      <c r="AY11" s="35">
        <v>0.43</v>
      </c>
      <c r="AZ11" s="36">
        <v>0.73299999999999998</v>
      </c>
      <c r="BA11" s="40">
        <v>0.7</v>
      </c>
      <c r="BB11" s="8"/>
      <c r="BC11" s="8"/>
      <c r="BD11" s="8"/>
      <c r="BE11" s="33">
        <v>0.50600000000000001</v>
      </c>
      <c r="BF11" s="36">
        <v>0.436</v>
      </c>
      <c r="BG11" s="36">
        <v>0.47599999999999998</v>
      </c>
      <c r="BH11" s="8"/>
      <c r="BI11" s="8"/>
      <c r="BJ11" s="8"/>
      <c r="BK11" s="33">
        <v>7.0999999999999994E-2</v>
      </c>
      <c r="BL11" s="36">
        <v>6.9000000000000006E-2</v>
      </c>
      <c r="BM11" s="36">
        <v>7.2999999999999995E-2</v>
      </c>
      <c r="BN11" s="8"/>
      <c r="BO11" s="8"/>
      <c r="BP11" s="8"/>
      <c r="BQ11" s="28">
        <v>22</v>
      </c>
      <c r="BR11" s="24">
        <v>20</v>
      </c>
      <c r="BS11" s="24">
        <v>16</v>
      </c>
      <c r="BT11" s="8"/>
      <c r="BU11" s="8"/>
      <c r="BV11" s="8"/>
      <c r="BW11" s="28" t="s">
        <v>102</v>
      </c>
      <c r="BX11" s="28" t="s">
        <v>103</v>
      </c>
      <c r="BY11" s="28" t="s">
        <v>512</v>
      </c>
      <c r="BZ11" s="13"/>
      <c r="CA11" s="8"/>
      <c r="CB11" s="8"/>
      <c r="CC11" s="28" t="s">
        <v>104</v>
      </c>
      <c r="CD11" s="28" t="s">
        <v>105</v>
      </c>
      <c r="CE11" s="28" t="s">
        <v>513</v>
      </c>
      <c r="CF11" s="28"/>
      <c r="CG11" s="28"/>
      <c r="CH11" s="8"/>
      <c r="CI11" s="28" t="s">
        <v>621</v>
      </c>
      <c r="CJ11" s="13"/>
      <c r="CK11" s="13"/>
      <c r="CL11" s="13"/>
      <c r="CM11" s="13"/>
      <c r="CN11" s="13"/>
      <c r="CO11" s="13"/>
      <c r="CP11" s="13"/>
    </row>
    <row r="12" spans="1:95">
      <c r="A12" s="43">
        <v>46000</v>
      </c>
      <c r="B12" s="30">
        <v>6</v>
      </c>
      <c r="C12" s="31" t="s">
        <v>622</v>
      </c>
      <c r="D12" s="28" t="s">
        <v>72</v>
      </c>
      <c r="E12" s="13" t="s">
        <v>107</v>
      </c>
      <c r="F12" s="13"/>
      <c r="G12" s="13" t="s">
        <v>108</v>
      </c>
      <c r="H12" s="13" t="s">
        <v>109</v>
      </c>
      <c r="I12" s="13" t="s">
        <v>72</v>
      </c>
      <c r="J12" s="13" t="s">
        <v>45</v>
      </c>
      <c r="K12" s="13" t="s">
        <v>46</v>
      </c>
      <c r="L12" s="13" t="s">
        <v>110</v>
      </c>
      <c r="M12" s="13" t="s">
        <v>101</v>
      </c>
      <c r="N12" s="32">
        <v>0.11600000000000001</v>
      </c>
      <c r="O12" s="33">
        <v>0.27500000000000002</v>
      </c>
      <c r="P12" s="33">
        <v>0.39300000000000002</v>
      </c>
      <c r="Q12" s="33">
        <v>0.51</v>
      </c>
      <c r="R12" s="33">
        <v>0.30399999999999999</v>
      </c>
      <c r="S12" s="33"/>
      <c r="T12" s="8"/>
      <c r="U12" s="33">
        <v>0.55900000000000005</v>
      </c>
      <c r="V12" s="33">
        <v>0.29399999999999998</v>
      </c>
      <c r="W12" s="33">
        <v>0.156</v>
      </c>
      <c r="X12" s="33">
        <v>0.47699999999999998</v>
      </c>
      <c r="Y12" s="33"/>
      <c r="Z12" s="39"/>
      <c r="AA12" s="33">
        <v>0.16600000000000001</v>
      </c>
      <c r="AB12" s="33">
        <v>0.312</v>
      </c>
      <c r="AC12" s="33">
        <v>0.33200000000000002</v>
      </c>
      <c r="AD12" s="33">
        <v>0.21099999999999999</v>
      </c>
      <c r="AE12" s="33"/>
      <c r="AF12" s="8"/>
      <c r="AG12" s="35">
        <v>0</v>
      </c>
      <c r="AH12" s="33">
        <v>1E-3</v>
      </c>
      <c r="AI12" s="33">
        <v>2E-3</v>
      </c>
      <c r="AJ12" s="28">
        <v>0.7</v>
      </c>
      <c r="AK12" s="35"/>
      <c r="AL12" s="8"/>
      <c r="AM12" s="35">
        <v>0</v>
      </c>
      <c r="AN12" s="35">
        <v>0</v>
      </c>
      <c r="AO12" s="35">
        <v>0</v>
      </c>
      <c r="AP12" s="28">
        <v>0.1</v>
      </c>
      <c r="AQ12" s="35"/>
      <c r="AR12" s="8"/>
      <c r="AS12" s="28">
        <v>102.7</v>
      </c>
      <c r="AT12" s="28">
        <v>72.2</v>
      </c>
      <c r="AU12" s="28">
        <v>52</v>
      </c>
      <c r="AV12" s="28">
        <v>95.2</v>
      </c>
      <c r="AW12" s="28"/>
      <c r="AX12" s="28"/>
      <c r="AY12" s="33">
        <v>0.58599999999999997</v>
      </c>
      <c r="AZ12" s="36">
        <v>0.41799999999999998</v>
      </c>
      <c r="BA12" s="36">
        <v>0.44500000000000001</v>
      </c>
      <c r="BB12" s="36">
        <v>0.52500000000000002</v>
      </c>
      <c r="BC12" s="8"/>
      <c r="BD12" s="8"/>
      <c r="BE12" s="33">
        <v>0.378</v>
      </c>
      <c r="BF12" s="36">
        <v>0.373</v>
      </c>
      <c r="BG12" s="36">
        <v>0.33300000000000002</v>
      </c>
      <c r="BH12" s="36">
        <v>0.44400000000000001</v>
      </c>
      <c r="BI12" s="8"/>
      <c r="BJ12" s="8"/>
      <c r="BK12" s="28" t="s">
        <v>111</v>
      </c>
      <c r="BL12" s="36">
        <v>8.4000000000000005E-2</v>
      </c>
      <c r="BM12" s="24" t="s">
        <v>236</v>
      </c>
      <c r="BN12" s="36">
        <v>9.5000000000000001E-2</v>
      </c>
      <c r="BO12" s="8"/>
      <c r="BP12" s="8"/>
      <c r="BQ12" s="28">
        <v>0</v>
      </c>
      <c r="BR12" s="24">
        <v>0</v>
      </c>
      <c r="BS12" s="24">
        <v>0</v>
      </c>
      <c r="BT12" s="24">
        <v>3</v>
      </c>
      <c r="BU12" s="8"/>
      <c r="BV12" s="8"/>
      <c r="BW12" s="28" t="s">
        <v>112</v>
      </c>
      <c r="BX12" s="28" t="s">
        <v>112</v>
      </c>
      <c r="BY12" s="28" t="s">
        <v>112</v>
      </c>
      <c r="BZ12" s="28" t="s">
        <v>122</v>
      </c>
      <c r="CA12" s="8"/>
      <c r="CB12" s="8"/>
      <c r="CC12" s="28" t="s">
        <v>113</v>
      </c>
      <c r="CD12" s="28" t="s">
        <v>114</v>
      </c>
      <c r="CE12" s="28" t="s">
        <v>516</v>
      </c>
      <c r="CF12" s="28" t="s">
        <v>623</v>
      </c>
      <c r="CG12" s="28"/>
      <c r="CH12" s="8"/>
      <c r="CJ12" s="13"/>
      <c r="CK12" s="13"/>
      <c r="CL12" s="13"/>
      <c r="CM12" s="13"/>
      <c r="CN12" s="13"/>
      <c r="CO12" s="13"/>
      <c r="CP12" s="13"/>
    </row>
    <row r="13" spans="1:95" ht="17.25" customHeight="1">
      <c r="A13" s="43">
        <v>46000</v>
      </c>
      <c r="B13" s="30">
        <v>7</v>
      </c>
      <c r="C13" s="45" t="s">
        <v>624</v>
      </c>
      <c r="D13" s="60" t="s">
        <v>88</v>
      </c>
      <c r="E13" s="60" t="s">
        <v>117</v>
      </c>
      <c r="F13" s="13"/>
      <c r="G13" s="13" t="s">
        <v>118</v>
      </c>
      <c r="H13" s="13" t="s">
        <v>119</v>
      </c>
      <c r="I13" s="13" t="s">
        <v>88</v>
      </c>
      <c r="J13" s="13" t="s">
        <v>73</v>
      </c>
      <c r="K13" s="13" t="s">
        <v>46</v>
      </c>
      <c r="L13" s="13" t="s">
        <v>120</v>
      </c>
      <c r="M13" s="13">
        <v>6</v>
      </c>
      <c r="N13" s="46">
        <v>0.15</v>
      </c>
      <c r="O13" s="33">
        <v>0.82699999999999996</v>
      </c>
      <c r="P13" s="33">
        <v>0.83899999999999997</v>
      </c>
      <c r="Q13" s="33">
        <v>0.92100000000000004</v>
      </c>
      <c r="R13" s="33">
        <v>0.9</v>
      </c>
      <c r="S13" s="33"/>
      <c r="T13" s="8"/>
      <c r="U13" s="33">
        <v>2.8000000000000001E-2</v>
      </c>
      <c r="V13" s="33">
        <v>2.3E-2</v>
      </c>
      <c r="W13" s="33">
        <v>0</v>
      </c>
      <c r="X13" s="33">
        <v>2.5000000000000001E-2</v>
      </c>
      <c r="Y13" s="33"/>
      <c r="Z13" s="39"/>
      <c r="AA13" s="33">
        <v>0.124</v>
      </c>
      <c r="AB13" s="33">
        <v>0.13600000000000001</v>
      </c>
      <c r="AC13" s="33">
        <v>7.0999999999999994E-2</v>
      </c>
      <c r="AD13" s="33">
        <v>6.2E-2</v>
      </c>
      <c r="AE13" s="33"/>
      <c r="AF13" s="8"/>
      <c r="AG13" s="33">
        <v>1.6E-2</v>
      </c>
      <c r="AH13" s="33">
        <v>2E-3</v>
      </c>
      <c r="AI13" s="33">
        <v>8.0000000000000002E-3</v>
      </c>
      <c r="AJ13" s="33">
        <v>1.0999999999999999E-2</v>
      </c>
      <c r="AK13" s="33"/>
      <c r="AL13" s="8"/>
      <c r="AM13" s="33">
        <v>5.0000000000000001E-3</v>
      </c>
      <c r="AN13" s="33">
        <v>0</v>
      </c>
      <c r="AO13" s="33">
        <v>0</v>
      </c>
      <c r="AP13" s="33">
        <v>2E-3</v>
      </c>
      <c r="AQ13" s="33"/>
      <c r="AR13" s="8"/>
      <c r="AS13" s="28">
        <v>19.7</v>
      </c>
      <c r="AT13" s="28">
        <v>15</v>
      </c>
      <c r="AU13" s="28">
        <v>7.6</v>
      </c>
      <c r="AV13" s="28">
        <v>12.2</v>
      </c>
      <c r="AW13" s="28"/>
      <c r="AX13" s="28"/>
      <c r="AY13" s="33">
        <v>0.25800000000000001</v>
      </c>
      <c r="AZ13" s="36">
        <v>0.874</v>
      </c>
      <c r="BA13" s="40">
        <v>0.95</v>
      </c>
      <c r="BB13" s="36">
        <v>0.75900000000000001</v>
      </c>
      <c r="BC13" s="8"/>
      <c r="BD13" s="8"/>
      <c r="BE13" s="33">
        <v>0.35099999999999998</v>
      </c>
      <c r="BF13" s="36">
        <v>0.30499999999999999</v>
      </c>
      <c r="BG13" s="36">
        <v>0.27300000000000002</v>
      </c>
      <c r="BH13" s="36">
        <v>0.32800000000000001</v>
      </c>
      <c r="BI13" s="8"/>
      <c r="BJ13" s="8"/>
      <c r="BK13" s="33">
        <v>6.5000000000000002E-2</v>
      </c>
      <c r="BL13" s="36">
        <v>6.7000000000000004E-2</v>
      </c>
      <c r="BM13" s="36">
        <v>6.2E-2</v>
      </c>
      <c r="BN13" s="36">
        <v>6.4000000000000001E-2</v>
      </c>
      <c r="BO13" s="8"/>
      <c r="BP13" s="8"/>
      <c r="BQ13" s="28">
        <v>8</v>
      </c>
      <c r="BR13" s="24">
        <v>1</v>
      </c>
      <c r="BS13" s="24">
        <v>3</v>
      </c>
      <c r="BT13" s="24">
        <v>7</v>
      </c>
      <c r="BU13" s="8"/>
      <c r="BV13" s="8"/>
      <c r="BW13" s="28" t="s">
        <v>121</v>
      </c>
      <c r="BX13" s="28" t="s">
        <v>122</v>
      </c>
      <c r="BY13" s="28" t="s">
        <v>208</v>
      </c>
      <c r="BZ13" s="28" t="s">
        <v>76</v>
      </c>
      <c r="CA13" s="8"/>
      <c r="CB13" s="8"/>
      <c r="CC13" s="28" t="s">
        <v>123</v>
      </c>
      <c r="CD13" s="28" t="s">
        <v>123</v>
      </c>
      <c r="CE13" s="28" t="s">
        <v>519</v>
      </c>
      <c r="CF13" s="28" t="s">
        <v>625</v>
      </c>
      <c r="CG13" s="28"/>
      <c r="CH13" s="8"/>
      <c r="CI13" s="13"/>
      <c r="CJ13" s="13"/>
      <c r="CK13" s="13"/>
      <c r="CL13" s="13"/>
      <c r="CM13" s="13"/>
      <c r="CN13" s="13"/>
      <c r="CO13" s="13"/>
      <c r="CP13" s="13"/>
    </row>
    <row r="14" spans="1:95">
      <c r="A14" s="43">
        <v>46000</v>
      </c>
      <c r="B14" s="30">
        <v>8</v>
      </c>
      <c r="C14" s="31" t="s">
        <v>626</v>
      </c>
      <c r="D14" s="28" t="s">
        <v>503</v>
      </c>
      <c r="E14" s="13" t="s">
        <v>125</v>
      </c>
      <c r="F14" s="13"/>
      <c r="G14" s="13" t="s">
        <v>126</v>
      </c>
      <c r="H14" s="13" t="s">
        <v>127</v>
      </c>
      <c r="I14" s="13" t="s">
        <v>128</v>
      </c>
      <c r="J14" s="13" t="s">
        <v>45</v>
      </c>
      <c r="K14" s="13" t="s">
        <v>46</v>
      </c>
      <c r="L14" s="13" t="s">
        <v>129</v>
      </c>
      <c r="M14" s="13">
        <v>3</v>
      </c>
      <c r="N14" s="32">
        <v>9.6699999999999994E-2</v>
      </c>
      <c r="O14" s="33">
        <v>0.29799999999999999</v>
      </c>
      <c r="P14" s="33">
        <v>0.16800000000000001</v>
      </c>
      <c r="Q14" s="33">
        <v>0.83199999999999996</v>
      </c>
      <c r="R14" s="33">
        <v>0.67800000000000005</v>
      </c>
      <c r="S14" s="33"/>
      <c r="T14" s="8"/>
      <c r="U14" s="33">
        <v>0.442</v>
      </c>
      <c r="V14" s="33">
        <v>0.72399999999999998</v>
      </c>
      <c r="W14" s="33">
        <v>3.1E-2</v>
      </c>
      <c r="X14" s="33">
        <v>3.9E-2</v>
      </c>
      <c r="Y14" s="33"/>
      <c r="Z14" s="39"/>
      <c r="AA14" s="33">
        <v>0.25600000000000001</v>
      </c>
      <c r="AB14" s="33">
        <v>0.107</v>
      </c>
      <c r="AC14" s="33">
        <v>0.129</v>
      </c>
      <c r="AD14" s="33">
        <v>0.14299999999999999</v>
      </c>
      <c r="AE14" s="33"/>
      <c r="AF14" s="8"/>
      <c r="AG14" s="33">
        <v>3.0000000000000001E-3</v>
      </c>
      <c r="AH14" s="33">
        <v>1E-3</v>
      </c>
      <c r="AI14" s="33">
        <v>8.0000000000000002E-3</v>
      </c>
      <c r="AJ14" s="33">
        <v>0.121</v>
      </c>
      <c r="AK14" s="33"/>
      <c r="AL14" s="8"/>
      <c r="AM14" s="33">
        <v>1E-3</v>
      </c>
      <c r="AN14" s="33">
        <v>0</v>
      </c>
      <c r="AO14" s="35">
        <v>0</v>
      </c>
      <c r="AP14" s="33">
        <v>1.9E-2</v>
      </c>
      <c r="AQ14" s="33"/>
      <c r="AR14" s="8"/>
      <c r="AS14" s="28">
        <v>92.2</v>
      </c>
      <c r="AT14" s="28">
        <v>124.6</v>
      </c>
      <c r="AU14" s="28">
        <v>17.2</v>
      </c>
      <c r="AV14" s="28"/>
      <c r="AW14" s="28"/>
      <c r="AX14" s="28"/>
      <c r="AY14" s="33">
        <v>0.34899999999999998</v>
      </c>
      <c r="AZ14" s="36">
        <v>0.35299999999999998</v>
      </c>
      <c r="BA14" s="36">
        <v>0.85599999999999998</v>
      </c>
      <c r="BB14" s="36">
        <v>0.54100000000000004</v>
      </c>
      <c r="BC14" s="8"/>
      <c r="BD14" s="8"/>
      <c r="BE14" s="33">
        <v>0.40899999999999997</v>
      </c>
      <c r="BF14" s="36">
        <v>0.34899999999999998</v>
      </c>
      <c r="BG14" s="36">
        <v>0.36399999999999999</v>
      </c>
      <c r="BH14" s="36">
        <v>0.46800000000000003</v>
      </c>
      <c r="BI14" s="8"/>
      <c r="BJ14" s="8"/>
      <c r="BK14" s="33">
        <v>9.0999999999999998E-2</v>
      </c>
      <c r="BL14" s="36">
        <v>0.108</v>
      </c>
      <c r="BM14" s="24" t="s">
        <v>131</v>
      </c>
      <c r="BN14" s="36">
        <v>6.3E-2</v>
      </c>
      <c r="BO14" s="8"/>
      <c r="BP14" s="8"/>
      <c r="BQ14" s="28">
        <v>1</v>
      </c>
      <c r="BR14" s="24">
        <v>1</v>
      </c>
      <c r="BS14" s="24">
        <v>2</v>
      </c>
      <c r="BT14" s="24">
        <v>41</v>
      </c>
      <c r="BU14" s="8"/>
      <c r="BV14" s="8"/>
      <c r="BW14" s="28" t="s">
        <v>132</v>
      </c>
      <c r="BX14" s="28" t="s">
        <v>133</v>
      </c>
      <c r="BY14" s="28" t="s">
        <v>48</v>
      </c>
      <c r="BZ14" s="28" t="s">
        <v>627</v>
      </c>
      <c r="CA14" s="8"/>
      <c r="CB14" s="8"/>
      <c r="CC14" s="28" t="s">
        <v>134</v>
      </c>
      <c r="CD14" s="28" t="s">
        <v>135</v>
      </c>
      <c r="CE14" s="28" t="s">
        <v>135</v>
      </c>
      <c r="CF14" s="28" t="s">
        <v>628</v>
      </c>
      <c r="CG14" s="13"/>
      <c r="CH14" s="13"/>
      <c r="CI14" s="28" t="s">
        <v>136</v>
      </c>
      <c r="CJ14" s="13"/>
      <c r="CK14" s="13"/>
      <c r="CL14" s="13"/>
      <c r="CM14" s="13"/>
      <c r="CN14" s="13"/>
      <c r="CO14" s="13"/>
      <c r="CP14" s="13"/>
    </row>
    <row r="15" spans="1:95" ht="17.25" customHeight="1">
      <c r="A15" s="47">
        <v>46001</v>
      </c>
      <c r="B15" s="30">
        <v>9</v>
      </c>
      <c r="C15" s="48" t="s">
        <v>629</v>
      </c>
      <c r="D15" s="60" t="s">
        <v>522</v>
      </c>
      <c r="E15" s="60" t="s">
        <v>138</v>
      </c>
      <c r="F15" s="13" t="s">
        <v>139</v>
      </c>
      <c r="G15" s="13"/>
      <c r="H15" s="28" t="s">
        <v>140</v>
      </c>
      <c r="I15" s="13" t="s">
        <v>72</v>
      </c>
      <c r="J15" s="13" t="s">
        <v>45</v>
      </c>
      <c r="K15" s="13" t="s">
        <v>46</v>
      </c>
      <c r="L15" s="13" t="s">
        <v>141</v>
      </c>
      <c r="M15" s="13">
        <v>3</v>
      </c>
      <c r="N15" s="32">
        <v>7.3099999999999998E-2</v>
      </c>
      <c r="O15" s="33">
        <v>0.80600000000000005</v>
      </c>
      <c r="P15" s="33">
        <v>0.82899999999999996</v>
      </c>
      <c r="Q15" s="33">
        <v>0.86799999999999999</v>
      </c>
      <c r="R15" s="33">
        <v>0.83899999999999997</v>
      </c>
      <c r="S15" s="33"/>
      <c r="T15" s="8"/>
      <c r="U15" s="33">
        <v>3.2000000000000001E-2</v>
      </c>
      <c r="V15" s="33">
        <v>2E-3</v>
      </c>
      <c r="W15" s="33">
        <v>2E-3</v>
      </c>
      <c r="X15" s="33">
        <v>6.0000000000000001E-3</v>
      </c>
      <c r="Y15" s="33"/>
      <c r="Z15" s="8"/>
      <c r="AA15" s="33">
        <v>0.113</v>
      </c>
      <c r="AB15" s="33">
        <v>7.6999999999999999E-2</v>
      </c>
      <c r="AC15" s="33">
        <v>9.7000000000000003E-2</v>
      </c>
      <c r="AD15" s="33">
        <v>0.13300000000000001</v>
      </c>
      <c r="AE15" s="33"/>
      <c r="AF15" s="8"/>
      <c r="AG15" s="33">
        <v>4.3999999999999997E-2</v>
      </c>
      <c r="AH15" s="33">
        <v>8.5999999999999993E-2</v>
      </c>
      <c r="AI15" s="33">
        <v>3.1E-2</v>
      </c>
      <c r="AJ15" s="33">
        <v>2.1000000000000001E-2</v>
      </c>
      <c r="AK15" s="33"/>
      <c r="AL15" s="8"/>
      <c r="AM15" s="33">
        <v>5.0000000000000001E-3</v>
      </c>
      <c r="AN15" s="33">
        <v>6.0000000000000001E-3</v>
      </c>
      <c r="AO15" s="33">
        <v>2E-3</v>
      </c>
      <c r="AP15" s="33">
        <v>1E-3</v>
      </c>
      <c r="AQ15" s="33"/>
      <c r="AS15" s="28">
        <v>26.2</v>
      </c>
      <c r="AT15" s="28">
        <v>28.9</v>
      </c>
      <c r="AU15" s="28">
        <v>16.100000000000001</v>
      </c>
      <c r="AV15" s="28">
        <v>16.899999999999999</v>
      </c>
      <c r="AW15" s="28"/>
      <c r="AX15" s="28"/>
      <c r="AY15" s="33">
        <v>0.92500000000000004</v>
      </c>
      <c r="AZ15" s="40">
        <v>0.93</v>
      </c>
      <c r="BA15" s="40">
        <v>0.94</v>
      </c>
      <c r="BB15" s="36">
        <v>0.95699999999999996</v>
      </c>
      <c r="BC15" s="8"/>
      <c r="BD15" s="8"/>
      <c r="BE15" s="33">
        <v>0.40500000000000003</v>
      </c>
      <c r="BF15" s="36">
        <v>0.34699999999999998</v>
      </c>
      <c r="BG15" s="36">
        <v>0.30599999999999999</v>
      </c>
      <c r="BH15" s="36">
        <v>0.30399999999999999</v>
      </c>
      <c r="BI15" s="8"/>
      <c r="BJ15" s="8"/>
      <c r="BK15" s="33">
        <v>6.4000000000000001E-2</v>
      </c>
      <c r="BL15" s="36">
        <v>6.0999999999999999E-2</v>
      </c>
      <c r="BM15" s="36">
        <v>6.3E-2</v>
      </c>
      <c r="BN15" s="36">
        <v>6.5000000000000002E-2</v>
      </c>
      <c r="BO15" s="8"/>
      <c r="BP15" s="8"/>
      <c r="BQ15" s="28">
        <v>18</v>
      </c>
      <c r="BR15" s="24">
        <v>42</v>
      </c>
      <c r="BS15" s="24">
        <v>13</v>
      </c>
      <c r="BT15" s="24">
        <v>8</v>
      </c>
      <c r="BU15" s="8"/>
      <c r="BV15" s="8"/>
      <c r="BW15" s="28" t="s">
        <v>142</v>
      </c>
      <c r="BX15" s="28" t="s">
        <v>143</v>
      </c>
      <c r="BY15" s="28" t="s">
        <v>523</v>
      </c>
      <c r="BZ15" s="28" t="s">
        <v>171</v>
      </c>
      <c r="CA15" s="8"/>
      <c r="CB15" s="8"/>
      <c r="CC15" s="28" t="s">
        <v>144</v>
      </c>
      <c r="CD15" s="28" t="s">
        <v>145</v>
      </c>
      <c r="CE15" s="28" t="s">
        <v>524</v>
      </c>
      <c r="CF15" s="28" t="s">
        <v>630</v>
      </c>
      <c r="CG15" s="28"/>
      <c r="CH15" s="8"/>
      <c r="CI15" s="13"/>
      <c r="CJ15" s="13"/>
      <c r="CK15" s="13"/>
      <c r="CL15" s="13"/>
      <c r="CM15" s="13"/>
      <c r="CN15" s="13"/>
      <c r="CO15" s="13"/>
      <c r="CP15" s="13"/>
    </row>
    <row r="16" spans="1:95">
      <c r="A16" s="49">
        <v>45972</v>
      </c>
      <c r="B16" s="30">
        <v>10</v>
      </c>
      <c r="C16" s="42" t="s">
        <v>525</v>
      </c>
      <c r="D16" s="28" t="s">
        <v>150</v>
      </c>
      <c r="E16" s="13" t="s">
        <v>147</v>
      </c>
      <c r="F16" s="13" t="s">
        <v>148</v>
      </c>
      <c r="G16" s="13"/>
      <c r="H16" s="13" t="s">
        <v>149</v>
      </c>
      <c r="I16" s="13" t="s">
        <v>150</v>
      </c>
      <c r="J16" s="13" t="s">
        <v>45</v>
      </c>
      <c r="K16" s="13" t="s">
        <v>46</v>
      </c>
      <c r="L16" s="13" t="s">
        <v>151</v>
      </c>
      <c r="M16" s="13">
        <v>6</v>
      </c>
      <c r="N16" s="32">
        <v>0.10299999999999999</v>
      </c>
      <c r="O16" s="33">
        <v>0.94799999999999995</v>
      </c>
      <c r="P16" s="35">
        <v>0.93</v>
      </c>
      <c r="Q16" s="33">
        <v>0.95199999999999996</v>
      </c>
      <c r="R16" s="13"/>
      <c r="S16" s="13"/>
      <c r="T16" s="13"/>
      <c r="U16" s="33">
        <v>2E-3</v>
      </c>
      <c r="V16" s="35">
        <v>0.01</v>
      </c>
      <c r="W16" s="35">
        <v>0</v>
      </c>
      <c r="X16" s="13"/>
      <c r="Y16" s="13"/>
      <c r="Z16" s="13"/>
      <c r="AA16" s="33">
        <v>2.5000000000000001E-2</v>
      </c>
      <c r="AB16" s="33">
        <v>5.0999999999999997E-2</v>
      </c>
      <c r="AC16" s="33">
        <v>3.1E-2</v>
      </c>
      <c r="AD16" s="13"/>
      <c r="AE16" s="13"/>
      <c r="AF16" s="13"/>
      <c r="AG16" s="33">
        <v>2.5000000000000001E-2</v>
      </c>
      <c r="AH16" s="28">
        <v>0</v>
      </c>
      <c r="AI16" s="33">
        <v>1.6E-2</v>
      </c>
      <c r="AJ16" s="13"/>
      <c r="AK16" s="13"/>
      <c r="AL16" s="13"/>
      <c r="AM16" s="35">
        <v>0</v>
      </c>
      <c r="AN16" s="33">
        <v>1E-3</v>
      </c>
      <c r="AO16" s="33">
        <v>1E-3</v>
      </c>
      <c r="AP16" s="13"/>
      <c r="AQ16" s="13"/>
      <c r="AR16" s="13"/>
      <c r="AS16" s="28">
        <v>8.3000000000000007</v>
      </c>
      <c r="AT16" s="28">
        <v>7.9</v>
      </c>
      <c r="AU16" s="28">
        <v>6.6</v>
      </c>
      <c r="AV16" s="13"/>
      <c r="AW16" s="13"/>
      <c r="AX16" s="13"/>
      <c r="AY16" s="33">
        <v>0.25900000000000001</v>
      </c>
      <c r="AZ16" s="33">
        <v>0.26300000000000001</v>
      </c>
      <c r="BA16" s="33">
        <v>0.40500000000000003</v>
      </c>
      <c r="BB16" s="13"/>
      <c r="BC16" s="13"/>
      <c r="BD16" s="13"/>
      <c r="BE16" s="33">
        <v>0.24299999999999999</v>
      </c>
      <c r="BF16" s="33">
        <v>0.28699999999999998</v>
      </c>
      <c r="BG16" s="33">
        <v>0.23899999999999999</v>
      </c>
      <c r="BH16" s="13"/>
      <c r="BI16" s="13"/>
      <c r="BJ16" s="13"/>
      <c r="BK16" s="33">
        <v>0.06</v>
      </c>
      <c r="BL16" s="33">
        <v>6.2E-2</v>
      </c>
      <c r="BM16" s="33">
        <v>0.06</v>
      </c>
      <c r="BN16" s="13"/>
      <c r="BO16" s="13"/>
      <c r="BP16" s="13"/>
      <c r="BQ16" s="28">
        <v>14</v>
      </c>
      <c r="BR16" s="28">
        <v>5</v>
      </c>
      <c r="BS16" s="28">
        <v>7</v>
      </c>
      <c r="BT16" s="13"/>
      <c r="BU16" s="13"/>
      <c r="BV16" s="13"/>
      <c r="BW16" s="28" t="s">
        <v>152</v>
      </c>
      <c r="BX16" s="28" t="s">
        <v>153</v>
      </c>
      <c r="BY16" s="28" t="s">
        <v>526</v>
      </c>
      <c r="BZ16" s="13"/>
      <c r="CA16" s="13"/>
      <c r="CB16" s="13"/>
      <c r="CC16" s="28" t="s">
        <v>154</v>
      </c>
      <c r="CD16" s="28" t="s">
        <v>155</v>
      </c>
      <c r="CE16" s="28" t="s">
        <v>527</v>
      </c>
      <c r="CF16" s="28"/>
      <c r="CG16" s="28"/>
      <c r="CH16" s="8"/>
      <c r="CI16" s="13"/>
      <c r="CJ16" s="13"/>
      <c r="CK16" s="13"/>
      <c r="CL16" s="13"/>
      <c r="CM16" s="13"/>
      <c r="CN16" s="13"/>
      <c r="CO16" s="13"/>
      <c r="CP16" s="13"/>
    </row>
    <row r="17" spans="1:94">
      <c r="A17" s="49">
        <v>45972</v>
      </c>
      <c r="B17" s="30">
        <v>11</v>
      </c>
      <c r="C17" s="42" t="s">
        <v>631</v>
      </c>
      <c r="D17" s="28" t="s">
        <v>88</v>
      </c>
      <c r="E17" s="13" t="s">
        <v>157</v>
      </c>
      <c r="F17" s="13" t="s">
        <v>158</v>
      </c>
      <c r="G17" s="13"/>
      <c r="H17" s="13" t="s">
        <v>159</v>
      </c>
      <c r="I17" s="13" t="s">
        <v>128</v>
      </c>
      <c r="J17" s="13" t="s">
        <v>45</v>
      </c>
      <c r="K17" s="13" t="s">
        <v>46</v>
      </c>
      <c r="L17" s="13" t="s">
        <v>160</v>
      </c>
      <c r="M17" s="13">
        <v>2</v>
      </c>
      <c r="N17" s="32">
        <v>5.5E-2</v>
      </c>
      <c r="O17" s="33">
        <v>0.94099999999999995</v>
      </c>
      <c r="P17" s="33">
        <v>0.97199999999999998</v>
      </c>
      <c r="Q17" s="33">
        <v>0.94499999999999995</v>
      </c>
      <c r="R17" s="33">
        <v>0.83099999999999996</v>
      </c>
      <c r="S17" s="13"/>
      <c r="T17" s="13"/>
      <c r="U17" s="35">
        <v>0</v>
      </c>
      <c r="V17" s="35">
        <v>0</v>
      </c>
      <c r="W17" s="35">
        <v>0</v>
      </c>
      <c r="X17" s="33">
        <v>2.1999999999999999E-2</v>
      </c>
      <c r="Y17" s="13"/>
      <c r="Z17" s="13"/>
      <c r="AA17" s="33">
        <v>1.2E-2</v>
      </c>
      <c r="AB17" s="33">
        <v>1.7999999999999999E-2</v>
      </c>
      <c r="AC17" s="33">
        <v>3.1E-2</v>
      </c>
      <c r="AD17" s="33">
        <v>0.13100000000000001</v>
      </c>
      <c r="AE17" s="13"/>
      <c r="AF17" s="13"/>
      <c r="AG17" s="33">
        <v>3.9E-2</v>
      </c>
      <c r="AH17" s="33">
        <v>8.0000000000000002E-3</v>
      </c>
      <c r="AI17" s="33">
        <v>2.3E-2</v>
      </c>
      <c r="AJ17" s="33">
        <v>1.2E-2</v>
      </c>
      <c r="AK17" s="13"/>
      <c r="AL17" s="13"/>
      <c r="AM17" s="35">
        <v>0</v>
      </c>
      <c r="AN17" s="33">
        <v>2E-3</v>
      </c>
      <c r="AO17" s="33">
        <v>1E-3</v>
      </c>
      <c r="AP17" s="33">
        <v>4.0000000000000001E-3</v>
      </c>
      <c r="AQ17" s="13"/>
      <c r="AR17" s="13"/>
      <c r="AS17" s="28">
        <v>12.7</v>
      </c>
      <c r="AT17" s="28">
        <v>4</v>
      </c>
      <c r="AU17" s="28">
        <v>8.3000000000000007</v>
      </c>
      <c r="AV17" s="28">
        <v>18.100000000000001</v>
      </c>
      <c r="AW17" s="13"/>
      <c r="AX17" s="13"/>
      <c r="AY17" s="33">
        <v>0.86499999999999999</v>
      </c>
      <c r="AZ17" s="33">
        <v>0.91800000000000004</v>
      </c>
      <c r="BA17" s="33">
        <v>0.95899999999999996</v>
      </c>
      <c r="BB17" s="35">
        <v>0.92</v>
      </c>
      <c r="BC17" s="13"/>
      <c r="BD17" s="13"/>
      <c r="BE17" s="33">
        <v>0.23100000000000001</v>
      </c>
      <c r="BF17" s="33">
        <v>0.21199999999999999</v>
      </c>
      <c r="BG17" s="33">
        <v>0.246</v>
      </c>
      <c r="BH17" s="33">
        <v>0.29599999999999999</v>
      </c>
      <c r="BI17" s="13"/>
      <c r="BJ17" s="13"/>
      <c r="BK17" s="33">
        <v>5.8999999999999997E-2</v>
      </c>
      <c r="BL17" s="33">
        <v>0.06</v>
      </c>
      <c r="BM17" s="33">
        <v>6.0999999999999999E-2</v>
      </c>
      <c r="BN17" s="33">
        <v>6.7000000000000004E-2</v>
      </c>
      <c r="BO17" s="13"/>
      <c r="BP17" s="13"/>
      <c r="BQ17" s="28">
        <v>14</v>
      </c>
      <c r="BR17" s="28">
        <v>6</v>
      </c>
      <c r="BS17" s="28">
        <v>11</v>
      </c>
      <c r="BT17" s="28">
        <v>5</v>
      </c>
      <c r="BU17" s="13"/>
      <c r="BV17" s="13"/>
      <c r="BW17" s="28" t="s">
        <v>161</v>
      </c>
      <c r="BX17" s="28" t="s">
        <v>162</v>
      </c>
      <c r="BY17" s="28" t="s">
        <v>271</v>
      </c>
      <c r="BZ17" s="28" t="s">
        <v>161</v>
      </c>
      <c r="CA17" s="13"/>
      <c r="CB17" s="13"/>
      <c r="CC17" s="28" t="s">
        <v>163</v>
      </c>
      <c r="CD17" s="28" t="s">
        <v>164</v>
      </c>
      <c r="CE17" s="28" t="s">
        <v>164</v>
      </c>
      <c r="CF17" s="28" t="s">
        <v>163</v>
      </c>
      <c r="CG17" s="13"/>
      <c r="CH17" s="13"/>
      <c r="CI17" s="13"/>
      <c r="CJ17" s="13"/>
      <c r="CK17" s="13"/>
      <c r="CL17" s="13"/>
      <c r="CM17" s="13"/>
      <c r="CN17" s="13"/>
      <c r="CO17" s="13"/>
      <c r="CP17" s="13"/>
    </row>
    <row r="18" spans="1:94">
      <c r="A18" s="49">
        <v>45972</v>
      </c>
      <c r="B18" s="30">
        <v>12</v>
      </c>
      <c r="C18" s="31" t="s">
        <v>529</v>
      </c>
      <c r="D18" s="28" t="s">
        <v>44</v>
      </c>
      <c r="E18" s="13" t="s">
        <v>166</v>
      </c>
      <c r="F18" s="13"/>
      <c r="G18" s="13" t="s">
        <v>167</v>
      </c>
      <c r="H18" s="13" t="s">
        <v>168</v>
      </c>
      <c r="I18" s="13" t="s">
        <v>128</v>
      </c>
      <c r="J18" s="13" t="s">
        <v>45</v>
      </c>
      <c r="K18" s="13" t="s">
        <v>46</v>
      </c>
      <c r="L18" s="13" t="s">
        <v>169</v>
      </c>
      <c r="M18" s="13">
        <v>4</v>
      </c>
      <c r="N18" s="32">
        <v>0.113</v>
      </c>
      <c r="O18" s="33">
        <v>0.80600000000000005</v>
      </c>
      <c r="P18" s="33">
        <v>0.77300000000000002</v>
      </c>
      <c r="Q18" s="28" t="s">
        <v>236</v>
      </c>
      <c r="R18" s="13"/>
      <c r="S18" s="13"/>
      <c r="T18" s="13"/>
      <c r="U18" s="35">
        <v>0.01</v>
      </c>
      <c r="V18" s="33">
        <v>2.7E-2</v>
      </c>
      <c r="W18" s="28" t="s">
        <v>530</v>
      </c>
      <c r="X18" s="13"/>
      <c r="Y18" s="13"/>
      <c r="Z18" s="13"/>
      <c r="AA18" s="33">
        <v>8.2000000000000003E-2</v>
      </c>
      <c r="AB18" s="35">
        <v>0.13</v>
      </c>
      <c r="AC18" s="28" t="s">
        <v>530</v>
      </c>
      <c r="AD18" s="13"/>
      <c r="AE18" s="13"/>
      <c r="AF18" s="13"/>
      <c r="AG18" s="33">
        <v>6.4000000000000001E-2</v>
      </c>
      <c r="AH18" s="33">
        <v>6.9000000000000006E-2</v>
      </c>
      <c r="AI18" s="28" t="s">
        <v>236</v>
      </c>
      <c r="AJ18" s="13"/>
      <c r="AK18" s="13"/>
      <c r="AL18" s="13"/>
      <c r="AM18" s="33">
        <v>3.7999999999999999E-2</v>
      </c>
      <c r="AN18" s="33">
        <v>1E-3</v>
      </c>
      <c r="AO18" s="28" t="s">
        <v>236</v>
      </c>
      <c r="AP18" s="13"/>
      <c r="AQ18" s="13"/>
      <c r="AR18" s="13"/>
      <c r="AS18" s="28">
        <v>34.9</v>
      </c>
      <c r="AT18" s="28">
        <v>31.6</v>
      </c>
      <c r="AU18" s="28" t="s">
        <v>530</v>
      </c>
      <c r="AV18" s="13"/>
      <c r="AW18" s="13"/>
      <c r="AX18" s="13"/>
      <c r="AY18" s="33">
        <v>0.94699999999999995</v>
      </c>
      <c r="AZ18" s="33">
        <v>0.89700000000000002</v>
      </c>
      <c r="BA18" s="28" t="s">
        <v>530</v>
      </c>
      <c r="BB18" s="13"/>
      <c r="BC18" s="13"/>
      <c r="BD18" s="13"/>
      <c r="BE18" s="33">
        <v>0.38600000000000001</v>
      </c>
      <c r="BF18" s="33">
        <v>0.377</v>
      </c>
      <c r="BG18" s="28" t="s">
        <v>530</v>
      </c>
      <c r="BH18" s="13"/>
      <c r="BI18" s="13"/>
      <c r="BJ18" s="13"/>
      <c r="BK18" s="33">
        <v>0.06</v>
      </c>
      <c r="BL18" s="33">
        <v>6.4000000000000001E-2</v>
      </c>
      <c r="BM18" s="28" t="s">
        <v>236</v>
      </c>
      <c r="BN18" s="13"/>
      <c r="BO18" s="13"/>
      <c r="BP18" s="13"/>
      <c r="BQ18" s="28">
        <v>28</v>
      </c>
      <c r="BR18" s="28">
        <v>25</v>
      </c>
      <c r="BS18" s="28" t="s">
        <v>530</v>
      </c>
      <c r="BT18" s="13"/>
      <c r="BU18" s="13"/>
      <c r="BV18" s="13"/>
      <c r="BW18" s="28" t="s">
        <v>170</v>
      </c>
      <c r="BX18" s="28" t="s">
        <v>171</v>
      </c>
      <c r="BY18" s="28" t="s">
        <v>530</v>
      </c>
      <c r="BZ18" s="13"/>
      <c r="CA18" s="13"/>
      <c r="CB18" s="13"/>
      <c r="CC18" s="28" t="s">
        <v>172</v>
      </c>
      <c r="CD18" s="28" t="s">
        <v>173</v>
      </c>
      <c r="CE18" s="28" t="s">
        <v>531</v>
      </c>
      <c r="CF18" s="28"/>
      <c r="CG18" s="28"/>
      <c r="CH18" s="8"/>
      <c r="CI18" s="28" t="s">
        <v>532</v>
      </c>
      <c r="CJ18" s="13"/>
      <c r="CK18" s="13"/>
      <c r="CL18" s="13"/>
      <c r="CM18" s="13"/>
      <c r="CN18" s="13"/>
      <c r="CO18" s="13"/>
      <c r="CP18" s="13"/>
    </row>
    <row r="19" spans="1:94" ht="14.25" customHeight="1">
      <c r="A19" s="49">
        <v>46003</v>
      </c>
      <c r="B19" s="30">
        <v>13</v>
      </c>
      <c r="C19" s="50" t="s">
        <v>632</v>
      </c>
      <c r="D19" s="60" t="s">
        <v>88</v>
      </c>
      <c r="E19" s="60" t="s">
        <v>175</v>
      </c>
      <c r="F19" s="13" t="s">
        <v>176</v>
      </c>
      <c r="G19" s="13"/>
      <c r="H19" s="13" t="s">
        <v>177</v>
      </c>
      <c r="I19" s="13" t="s">
        <v>88</v>
      </c>
      <c r="J19" s="13" t="s">
        <v>45</v>
      </c>
      <c r="K19" s="13" t="s">
        <v>178</v>
      </c>
      <c r="L19" s="13" t="s">
        <v>179</v>
      </c>
      <c r="M19" s="13">
        <v>2</v>
      </c>
      <c r="N19" s="32">
        <v>9.1499999999999998E-2</v>
      </c>
      <c r="O19" s="33">
        <v>0.246</v>
      </c>
      <c r="P19" s="33">
        <v>0.51400000000000001</v>
      </c>
      <c r="Q19" s="33">
        <v>0.90100000000000002</v>
      </c>
      <c r="R19" s="33">
        <v>0.78500000000000003</v>
      </c>
      <c r="S19" s="13"/>
      <c r="T19" s="13"/>
      <c r="U19" s="33">
        <v>0.38900000000000001</v>
      </c>
      <c r="V19" s="33">
        <v>0.10199999999999999</v>
      </c>
      <c r="W19" s="33">
        <v>1E-3</v>
      </c>
      <c r="X19" s="33">
        <v>4.0000000000000001E-3</v>
      </c>
      <c r="Y19" s="13"/>
      <c r="Z19" s="13"/>
      <c r="AA19" s="33">
        <v>0.36499999999999999</v>
      </c>
      <c r="AB19" s="33">
        <v>0.376</v>
      </c>
      <c r="AC19" s="33">
        <v>9.8000000000000004E-2</v>
      </c>
      <c r="AD19" s="33">
        <v>6.4000000000000001E-2</v>
      </c>
      <c r="AE19" s="13"/>
      <c r="AF19" s="13"/>
      <c r="AG19" s="35">
        <v>0</v>
      </c>
      <c r="AH19" s="35">
        <v>0</v>
      </c>
      <c r="AI19" s="35">
        <v>0</v>
      </c>
      <c r="AJ19" s="33">
        <v>8.6999999999999994E-2</v>
      </c>
      <c r="AK19" s="13"/>
      <c r="AL19" s="13"/>
      <c r="AM19" s="35">
        <v>0</v>
      </c>
      <c r="AN19" s="33">
        <v>8.0000000000000002E-3</v>
      </c>
      <c r="AO19" s="35">
        <v>0</v>
      </c>
      <c r="AP19" s="35">
        <v>0.06</v>
      </c>
      <c r="AQ19" s="13"/>
      <c r="AR19" s="13"/>
      <c r="AS19" s="28">
        <v>91.4</v>
      </c>
      <c r="AT19" s="28">
        <v>48.8</v>
      </c>
      <c r="AU19" s="28">
        <v>8</v>
      </c>
      <c r="AV19" s="28">
        <v>44.6</v>
      </c>
      <c r="AW19" s="13"/>
      <c r="AX19" s="13"/>
      <c r="AY19" s="35">
        <v>0.55000000000000004</v>
      </c>
      <c r="AZ19" s="33">
        <v>0.755</v>
      </c>
      <c r="BA19" s="33">
        <v>0.76600000000000001</v>
      </c>
      <c r="BB19" s="33">
        <v>0.73099999999999998</v>
      </c>
      <c r="BC19" s="13"/>
      <c r="BD19" s="13"/>
      <c r="BE19" s="33">
        <v>0.26100000000000001</v>
      </c>
      <c r="BF19" s="35">
        <v>0.28000000000000003</v>
      </c>
      <c r="BG19" s="33">
        <v>0.25800000000000001</v>
      </c>
      <c r="BH19" s="33">
        <v>0.38200000000000001</v>
      </c>
      <c r="BI19" s="13"/>
      <c r="BJ19" s="13"/>
      <c r="BK19" s="33">
        <v>8.7999999999999995E-2</v>
      </c>
      <c r="BL19" s="33">
        <v>7.6999999999999999E-2</v>
      </c>
      <c r="BM19" s="33">
        <v>6.5000000000000002E-2</v>
      </c>
      <c r="BN19" s="33">
        <v>5.8999999999999997E-2</v>
      </c>
      <c r="BO19" s="13"/>
      <c r="BP19" s="13"/>
      <c r="BQ19" s="28">
        <v>0</v>
      </c>
      <c r="BR19" s="28">
        <v>2</v>
      </c>
      <c r="BS19" s="28">
        <v>0</v>
      </c>
      <c r="BT19" s="28">
        <v>26</v>
      </c>
      <c r="BU19" s="13"/>
      <c r="BV19" s="13"/>
      <c r="BW19" s="28">
        <v>0</v>
      </c>
      <c r="BX19" s="28" t="s">
        <v>180</v>
      </c>
      <c r="BY19" s="28" t="s">
        <v>112</v>
      </c>
      <c r="BZ19" s="28" t="s">
        <v>633</v>
      </c>
      <c r="CA19" s="13"/>
      <c r="CB19" s="13"/>
      <c r="CC19" s="28" t="s">
        <v>181</v>
      </c>
      <c r="CD19" s="28" t="s">
        <v>181</v>
      </c>
      <c r="CE19" s="28" t="s">
        <v>181</v>
      </c>
      <c r="CF19" s="28" t="s">
        <v>634</v>
      </c>
      <c r="CG19" s="28"/>
      <c r="CH19" s="8"/>
      <c r="CI19" s="28" t="s">
        <v>635</v>
      </c>
      <c r="CJ19" s="13"/>
      <c r="CK19" s="13"/>
      <c r="CL19" s="13"/>
      <c r="CM19" s="13"/>
      <c r="CN19" s="13"/>
      <c r="CO19" s="13"/>
      <c r="CP19" s="13"/>
    </row>
    <row r="20" spans="1:94">
      <c r="A20" s="47">
        <v>46006</v>
      </c>
      <c r="B20" s="30">
        <v>14</v>
      </c>
      <c r="C20" s="31" t="s">
        <v>584</v>
      </c>
      <c r="D20" s="28" t="s">
        <v>44</v>
      </c>
      <c r="E20" s="28" t="s">
        <v>184</v>
      </c>
      <c r="F20" s="13"/>
      <c r="G20" s="28" t="s">
        <v>185</v>
      </c>
      <c r="H20" s="28" t="s">
        <v>186</v>
      </c>
      <c r="I20" s="28" t="s">
        <v>72</v>
      </c>
      <c r="J20" s="13" t="s">
        <v>73</v>
      </c>
      <c r="K20" s="28" t="s">
        <v>46</v>
      </c>
      <c r="L20" s="28" t="s">
        <v>187</v>
      </c>
      <c r="M20" s="51">
        <v>45718</v>
      </c>
      <c r="N20" s="33">
        <v>9.4E-2</v>
      </c>
      <c r="O20" s="33">
        <v>0.77300000000000002</v>
      </c>
      <c r="P20" s="33">
        <v>0.88600000000000001</v>
      </c>
      <c r="Q20" s="33">
        <v>0.90400000000000003</v>
      </c>
      <c r="R20" s="13"/>
      <c r="S20" s="13"/>
      <c r="T20" s="13"/>
      <c r="U20" s="33">
        <v>4.2000000000000003E-2</v>
      </c>
      <c r="V20" s="33">
        <v>1.6E-2</v>
      </c>
      <c r="W20" s="33">
        <v>1.7000000000000001E-2</v>
      </c>
      <c r="X20" s="13"/>
      <c r="Y20" s="13"/>
      <c r="Z20" s="13"/>
      <c r="AA20" s="33">
        <v>0.16400000000000001</v>
      </c>
      <c r="AB20" s="33">
        <v>9.4E-2</v>
      </c>
      <c r="AC20" s="33">
        <v>7.2999999999999995E-2</v>
      </c>
      <c r="AD20" s="13"/>
      <c r="AE20" s="13"/>
      <c r="AF20" s="13"/>
      <c r="AG20" s="35">
        <v>0.02</v>
      </c>
      <c r="AH20" s="33">
        <v>4.0000000000000001E-3</v>
      </c>
      <c r="AI20" s="33">
        <v>6.0000000000000001E-3</v>
      </c>
      <c r="AJ20" s="13"/>
      <c r="AK20" s="13"/>
      <c r="AL20" s="13"/>
      <c r="AM20" s="33">
        <v>1E-3</v>
      </c>
      <c r="AN20" s="35">
        <v>0</v>
      </c>
      <c r="AO20" s="35">
        <v>0</v>
      </c>
      <c r="AP20" s="13"/>
      <c r="AQ20" s="13"/>
      <c r="AR20" s="13"/>
      <c r="AS20" s="28">
        <v>24.9</v>
      </c>
      <c r="AT20" s="28">
        <v>11</v>
      </c>
      <c r="AU20" s="28">
        <v>10</v>
      </c>
      <c r="AV20" s="13"/>
      <c r="AW20" s="13"/>
      <c r="AX20" s="13"/>
      <c r="AY20" s="33">
        <v>0.96399999999999997</v>
      </c>
      <c r="AZ20" s="33">
        <v>0.98199999999999998</v>
      </c>
      <c r="BA20" s="33">
        <v>0.96799999999999997</v>
      </c>
      <c r="BB20" s="13"/>
      <c r="BC20" s="13"/>
      <c r="BD20" s="13"/>
      <c r="BE20" s="33">
        <v>0.33800000000000002</v>
      </c>
      <c r="BF20" s="33">
        <v>0.27600000000000002</v>
      </c>
      <c r="BG20" s="33">
        <v>0.27100000000000002</v>
      </c>
      <c r="BH20" s="13"/>
      <c r="BI20" s="13"/>
      <c r="BJ20" s="13"/>
      <c r="BK20" s="33">
        <v>6.8000000000000005E-2</v>
      </c>
      <c r="BL20" s="33">
        <v>6.5000000000000002E-2</v>
      </c>
      <c r="BM20" s="33">
        <v>6.5000000000000002E-2</v>
      </c>
      <c r="BN20" s="13"/>
      <c r="BO20" s="13"/>
      <c r="BP20" s="13"/>
      <c r="BQ20" s="28">
        <v>8</v>
      </c>
      <c r="BR20" s="28">
        <v>2</v>
      </c>
      <c r="BS20" s="28">
        <v>3</v>
      </c>
      <c r="BT20" s="13"/>
      <c r="BU20" s="13"/>
      <c r="BV20" s="13"/>
      <c r="BW20" s="28" t="s">
        <v>188</v>
      </c>
      <c r="BX20" s="28" t="s">
        <v>189</v>
      </c>
      <c r="BY20" s="28" t="s">
        <v>189</v>
      </c>
      <c r="BZ20" s="13"/>
      <c r="CA20" s="13"/>
      <c r="CB20" s="13"/>
      <c r="CC20" s="28" t="s">
        <v>190</v>
      </c>
      <c r="CD20" s="28" t="s">
        <v>191</v>
      </c>
      <c r="CE20" s="28" t="s">
        <v>190</v>
      </c>
      <c r="CF20" s="28"/>
      <c r="CG20" s="28"/>
      <c r="CH20" s="8"/>
      <c r="CI20" s="28" t="s">
        <v>585</v>
      </c>
      <c r="CJ20" s="13"/>
      <c r="CK20" s="13"/>
      <c r="CL20" s="13"/>
      <c r="CM20" s="13"/>
      <c r="CN20" s="13"/>
      <c r="CO20" s="13"/>
      <c r="CP20" s="13"/>
    </row>
    <row r="21" spans="1:94">
      <c r="A21" s="52">
        <v>46006</v>
      </c>
      <c r="B21" s="30">
        <v>15</v>
      </c>
      <c r="C21" s="31" t="s">
        <v>636</v>
      </c>
      <c r="D21" s="28" t="s">
        <v>215</v>
      </c>
      <c r="E21" s="28" t="s">
        <v>193</v>
      </c>
      <c r="F21" s="28" t="s">
        <v>194</v>
      </c>
      <c r="G21" s="13"/>
      <c r="H21" s="28" t="s">
        <v>195</v>
      </c>
      <c r="I21" s="28" t="s">
        <v>196</v>
      </c>
      <c r="J21" s="13" t="s">
        <v>45</v>
      </c>
      <c r="K21" s="28" t="s">
        <v>46</v>
      </c>
      <c r="L21" s="28" t="s">
        <v>197</v>
      </c>
      <c r="M21" s="28">
        <v>2</v>
      </c>
      <c r="N21" s="33">
        <v>8.6999999999999994E-2</v>
      </c>
      <c r="O21" s="33">
        <v>0.70599999999999996</v>
      </c>
      <c r="P21" s="35">
        <v>0.68</v>
      </c>
      <c r="Q21" s="33">
        <v>0.74399999999999999</v>
      </c>
      <c r="R21" s="13"/>
      <c r="S21" s="13"/>
      <c r="T21" s="13"/>
      <c r="U21" s="33">
        <v>8.3000000000000004E-2</v>
      </c>
      <c r="V21" s="33">
        <v>8.1000000000000003E-2</v>
      </c>
      <c r="W21" s="33">
        <v>1.0999999999999999E-2</v>
      </c>
      <c r="X21" s="13"/>
      <c r="Y21" s="13"/>
      <c r="Z21" s="13"/>
      <c r="AA21" s="33">
        <v>0.152</v>
      </c>
      <c r="AB21" s="33">
        <v>0.20599999999999999</v>
      </c>
      <c r="AC21" s="33">
        <v>0.192</v>
      </c>
      <c r="AD21" s="13"/>
      <c r="AE21" s="13"/>
      <c r="AF21" s="13"/>
      <c r="AG21" s="33">
        <v>5.8999999999999997E-2</v>
      </c>
      <c r="AH21" s="33">
        <v>3.1E-2</v>
      </c>
      <c r="AI21" s="33">
        <v>4.2000000000000003E-2</v>
      </c>
      <c r="AJ21" s="13"/>
      <c r="AK21" s="13"/>
      <c r="AL21" s="13"/>
      <c r="AM21" s="35">
        <v>0</v>
      </c>
      <c r="AN21" s="33">
        <v>2E-3</v>
      </c>
      <c r="AO21" s="33">
        <v>1.0999999999999999E-2</v>
      </c>
      <c r="AP21" s="13"/>
      <c r="AQ21" s="13"/>
      <c r="AR21" s="13"/>
      <c r="AS21" s="28">
        <v>39.6</v>
      </c>
      <c r="AT21" s="28">
        <v>37.5</v>
      </c>
      <c r="AU21" s="28">
        <v>30.5</v>
      </c>
      <c r="AV21" s="13"/>
      <c r="AW21" s="13"/>
      <c r="AX21" s="13"/>
      <c r="AY21" s="33">
        <v>0.753</v>
      </c>
      <c r="AZ21" s="33">
        <v>0.80300000000000005</v>
      </c>
      <c r="BA21" s="33">
        <v>0.70399999999999996</v>
      </c>
      <c r="BB21" s="13"/>
      <c r="BC21" s="13"/>
      <c r="BD21" s="13"/>
      <c r="BE21" s="33">
        <v>0.441</v>
      </c>
      <c r="BF21" s="33">
        <v>0.376</v>
      </c>
      <c r="BG21" s="35">
        <v>0.37</v>
      </c>
      <c r="BH21" s="13"/>
      <c r="BI21" s="13"/>
      <c r="BJ21" s="13"/>
      <c r="BK21" s="33">
        <v>6.8000000000000005E-2</v>
      </c>
      <c r="BL21" s="33">
        <v>7.0999999999999994E-2</v>
      </c>
      <c r="BM21" s="33">
        <v>6.5000000000000002E-2</v>
      </c>
      <c r="BN21" s="13"/>
      <c r="BO21" s="13"/>
      <c r="BP21" s="13"/>
      <c r="BQ21" s="28">
        <v>24</v>
      </c>
      <c r="BR21" s="28">
        <v>16</v>
      </c>
      <c r="BS21" s="28">
        <v>21</v>
      </c>
      <c r="BT21" s="13"/>
      <c r="BU21" s="13"/>
      <c r="BV21" s="13"/>
      <c r="BW21" s="28" t="s">
        <v>188</v>
      </c>
      <c r="BX21" s="28" t="s">
        <v>48</v>
      </c>
      <c r="BY21" s="28" t="s">
        <v>122</v>
      </c>
      <c r="BZ21" s="13"/>
      <c r="CA21" s="13"/>
      <c r="CB21" s="13"/>
      <c r="CC21" s="28" t="s">
        <v>198</v>
      </c>
      <c r="CD21" s="28" t="s">
        <v>199</v>
      </c>
      <c r="CE21" s="28" t="s">
        <v>199</v>
      </c>
      <c r="CF21" s="28"/>
      <c r="CG21" s="28"/>
      <c r="CH21" s="8"/>
      <c r="CI21" s="28" t="s">
        <v>200</v>
      </c>
      <c r="CJ21" s="13"/>
      <c r="CK21" s="13"/>
      <c r="CL21" s="13"/>
      <c r="CM21" s="13"/>
      <c r="CN21" s="13"/>
      <c r="CO21" s="13"/>
      <c r="CP21" s="13"/>
    </row>
    <row r="22" spans="1:94">
      <c r="A22" s="47">
        <v>46006</v>
      </c>
      <c r="B22" s="30">
        <v>16</v>
      </c>
      <c r="C22" s="31" t="s">
        <v>586</v>
      </c>
      <c r="D22" s="24" t="s">
        <v>587</v>
      </c>
      <c r="E22" s="24" t="s">
        <v>202</v>
      </c>
      <c r="F22" s="24" t="s">
        <v>203</v>
      </c>
      <c r="G22" s="8"/>
      <c r="H22" s="24" t="s">
        <v>204</v>
      </c>
      <c r="I22" s="24" t="s">
        <v>205</v>
      </c>
      <c r="J22" s="24" t="s">
        <v>45</v>
      </c>
      <c r="K22" s="24" t="s">
        <v>46</v>
      </c>
      <c r="L22" s="24" t="s">
        <v>206</v>
      </c>
      <c r="M22" s="24">
        <v>5</v>
      </c>
      <c r="N22" s="36">
        <v>0.107</v>
      </c>
      <c r="O22" s="33">
        <v>0.75700000000000001</v>
      </c>
      <c r="P22" s="33">
        <v>0.67100000000000004</v>
      </c>
      <c r="Q22" s="33">
        <v>0.71899999999999997</v>
      </c>
      <c r="R22" s="13"/>
      <c r="S22" s="13"/>
      <c r="T22" s="13"/>
      <c r="U22" s="33">
        <v>2.5999999999999999E-2</v>
      </c>
      <c r="V22" s="33">
        <v>5.5E-2</v>
      </c>
      <c r="W22" s="35">
        <v>0.04</v>
      </c>
      <c r="X22" s="13"/>
      <c r="Y22" s="13"/>
      <c r="Z22" s="13"/>
      <c r="AA22" s="33">
        <v>0.14899999999999999</v>
      </c>
      <c r="AB22" s="33">
        <v>0.20899999999999999</v>
      </c>
      <c r="AC22" s="33">
        <v>0.14599999999999999</v>
      </c>
      <c r="AD22" s="13"/>
      <c r="AE22" s="13"/>
      <c r="AF22" s="13"/>
      <c r="AG22" s="33">
        <v>6.3E-2</v>
      </c>
      <c r="AH22" s="33">
        <v>5.3999999999999999E-2</v>
      </c>
      <c r="AI22" s="35">
        <v>0.08</v>
      </c>
      <c r="AJ22" s="13"/>
      <c r="AK22" s="13"/>
      <c r="AL22" s="13"/>
      <c r="AM22" s="33">
        <v>5.0000000000000001E-3</v>
      </c>
      <c r="AN22" s="33">
        <v>1.0999999999999999E-2</v>
      </c>
      <c r="AO22" s="33">
        <v>1.4999999999999999E-2</v>
      </c>
      <c r="AP22" s="13"/>
      <c r="AQ22" s="13"/>
      <c r="AR22" s="13"/>
      <c r="AS22" s="28">
        <v>32.700000000000003</v>
      </c>
      <c r="AT22" s="28">
        <v>41.8</v>
      </c>
      <c r="AU22" s="28">
        <v>41.8</v>
      </c>
      <c r="AV22" s="13"/>
      <c r="AW22" s="13"/>
      <c r="AX22" s="13"/>
      <c r="AY22" s="33">
        <v>0.72599999999999998</v>
      </c>
      <c r="AZ22" s="33">
        <v>0.88400000000000001</v>
      </c>
      <c r="BA22" s="33">
        <v>0.83699999999999997</v>
      </c>
      <c r="BB22" s="13"/>
      <c r="BC22" s="13"/>
      <c r="BD22" s="13"/>
      <c r="BE22" s="33">
        <v>0.38900000000000001</v>
      </c>
      <c r="BF22" s="35">
        <v>0.4</v>
      </c>
      <c r="BG22" s="33">
        <v>0.432</v>
      </c>
      <c r="BH22" s="13"/>
      <c r="BI22" s="13"/>
      <c r="BJ22" s="13"/>
      <c r="BK22" s="33">
        <v>6.4000000000000001E-2</v>
      </c>
      <c r="BL22" s="33">
        <v>6.8000000000000005E-2</v>
      </c>
      <c r="BM22" s="33">
        <v>0.05</v>
      </c>
      <c r="BN22" s="13"/>
      <c r="BO22" s="13"/>
      <c r="BP22" s="13"/>
      <c r="BQ22" s="28">
        <v>37</v>
      </c>
      <c r="BR22" s="28">
        <v>25</v>
      </c>
      <c r="BS22" s="28">
        <v>34</v>
      </c>
      <c r="BT22" s="13"/>
      <c r="BU22" s="13"/>
      <c r="BV22" s="13"/>
      <c r="BW22" s="28" t="s">
        <v>207</v>
      </c>
      <c r="BX22" s="28" t="s">
        <v>208</v>
      </c>
      <c r="BY22" s="28" t="s">
        <v>316</v>
      </c>
      <c r="BZ22" s="13"/>
      <c r="CA22" s="13"/>
      <c r="CB22" s="13"/>
      <c r="CC22" s="28" t="s">
        <v>209</v>
      </c>
      <c r="CD22" s="28" t="s">
        <v>210</v>
      </c>
      <c r="CE22" s="28" t="s">
        <v>588</v>
      </c>
      <c r="CF22" s="28"/>
      <c r="CG22" s="28"/>
      <c r="CH22" s="8"/>
      <c r="CI22" s="13"/>
      <c r="CJ22" s="13"/>
      <c r="CK22" s="13"/>
      <c r="CL22" s="13"/>
      <c r="CM22" s="13"/>
      <c r="CN22" s="13"/>
      <c r="CO22" s="13"/>
      <c r="CP22" s="13"/>
    </row>
    <row r="23" spans="1:94" ht="15.75" customHeight="1">
      <c r="A23" s="47">
        <v>46008</v>
      </c>
      <c r="B23" s="30">
        <v>17</v>
      </c>
      <c r="C23" s="41" t="s">
        <v>589</v>
      </c>
      <c r="D23" s="24" t="s">
        <v>205</v>
      </c>
      <c r="E23" s="24" t="s">
        <v>232</v>
      </c>
      <c r="F23" s="8"/>
      <c r="G23" s="24" t="s">
        <v>233</v>
      </c>
      <c r="H23" s="24" t="s">
        <v>234</v>
      </c>
      <c r="I23" s="24" t="s">
        <v>58</v>
      </c>
      <c r="J23" s="24" t="s">
        <v>225</v>
      </c>
      <c r="K23" s="24" t="s">
        <v>46</v>
      </c>
      <c r="L23" s="24" t="s">
        <v>235</v>
      </c>
      <c r="M23" s="24">
        <v>3</v>
      </c>
      <c r="N23" s="36">
        <v>0.13100000000000001</v>
      </c>
      <c r="O23" s="36">
        <v>0.67200000000000004</v>
      </c>
      <c r="P23" s="36">
        <v>0.71599999999999997</v>
      </c>
      <c r="Q23" s="36">
        <v>0.747</v>
      </c>
      <c r="R23" s="8"/>
      <c r="S23" s="8"/>
      <c r="T23" s="8"/>
      <c r="U23" s="36">
        <v>5.3999999999999999E-2</v>
      </c>
      <c r="V23" s="36">
        <v>3.5000000000000003E-2</v>
      </c>
      <c r="W23" s="36">
        <v>4.4999999999999998E-2</v>
      </c>
      <c r="X23" s="8"/>
      <c r="Y23" s="8"/>
      <c r="Z23" s="8"/>
      <c r="AA23" s="36">
        <v>0.26100000000000001</v>
      </c>
      <c r="AB23" s="36">
        <v>0.19700000000000001</v>
      </c>
      <c r="AC23" s="36">
        <v>0.17699999999999999</v>
      </c>
      <c r="AD23" s="8"/>
      <c r="AE23" s="8"/>
      <c r="AF23" s="8"/>
      <c r="AG23" s="36">
        <v>1.2999999999999999E-2</v>
      </c>
      <c r="AH23" s="36">
        <v>2.9000000000000001E-2</v>
      </c>
      <c r="AI23" s="36">
        <v>2.9000000000000001E-2</v>
      </c>
      <c r="AJ23" s="8"/>
      <c r="AK23" s="8"/>
      <c r="AL23" s="8"/>
      <c r="AM23" s="40">
        <v>0</v>
      </c>
      <c r="AN23" s="36">
        <v>2.3E-2</v>
      </c>
      <c r="AO23" s="36">
        <v>2E-3</v>
      </c>
      <c r="AP23" s="8"/>
      <c r="AQ23" s="8"/>
      <c r="AR23" s="8"/>
      <c r="AS23" s="24">
        <v>32.6</v>
      </c>
      <c r="AT23" s="24">
        <v>35.200000000000003</v>
      </c>
      <c r="AU23" s="24">
        <v>28.9</v>
      </c>
      <c r="AV23" s="8"/>
      <c r="AW23" s="8"/>
      <c r="AX23" s="8"/>
      <c r="AY23" s="40">
        <v>0.94</v>
      </c>
      <c r="AZ23" s="36">
        <v>0.95399999999999996</v>
      </c>
      <c r="BA23" s="40">
        <v>0.94</v>
      </c>
      <c r="BB23" s="8"/>
      <c r="BC23" s="8"/>
      <c r="BD23" s="8"/>
      <c r="BE23" s="40">
        <v>0.34</v>
      </c>
      <c r="BF23" s="40">
        <v>0.38</v>
      </c>
      <c r="BG23" s="36">
        <v>0.35099999999999998</v>
      </c>
      <c r="BH23" s="8"/>
      <c r="BI23" s="8"/>
      <c r="BJ23" s="8"/>
      <c r="BK23" s="40">
        <v>7.0000000000000007E-2</v>
      </c>
      <c r="BL23" s="24" t="s">
        <v>236</v>
      </c>
      <c r="BM23" s="36">
        <v>6.9000000000000006E-2</v>
      </c>
      <c r="BN23" s="8"/>
      <c r="BO23" s="8"/>
      <c r="BP23" s="8"/>
      <c r="BQ23" s="24">
        <v>4</v>
      </c>
      <c r="BR23" s="24">
        <v>7</v>
      </c>
      <c r="BS23" s="24">
        <v>6</v>
      </c>
      <c r="BT23" s="8"/>
      <c r="BU23" s="8"/>
      <c r="BV23" s="8"/>
      <c r="BW23" s="24" t="s">
        <v>237</v>
      </c>
      <c r="BX23" s="24" t="s">
        <v>238</v>
      </c>
      <c r="BY23" s="24" t="s">
        <v>590</v>
      </c>
      <c r="BZ23" s="8"/>
      <c r="CA23" s="8"/>
      <c r="CB23" s="8"/>
      <c r="CC23" s="24" t="s">
        <v>239</v>
      </c>
      <c r="CD23" s="24" t="s">
        <v>239</v>
      </c>
      <c r="CE23" s="24" t="s">
        <v>591</v>
      </c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</row>
    <row r="24" spans="1:94" ht="15.75" customHeight="1">
      <c r="A24" s="47">
        <v>46008</v>
      </c>
      <c r="B24" s="30">
        <v>18</v>
      </c>
      <c r="C24" s="42" t="s">
        <v>592</v>
      </c>
      <c r="D24" s="24"/>
      <c r="E24" s="24" t="s">
        <v>241</v>
      </c>
      <c r="F24" s="8"/>
      <c r="G24" s="24" t="s">
        <v>242</v>
      </c>
      <c r="H24" s="24" t="s">
        <v>243</v>
      </c>
      <c r="I24" s="24" t="s">
        <v>58</v>
      </c>
      <c r="J24" s="24" t="s">
        <v>45</v>
      </c>
      <c r="K24" s="24" t="s">
        <v>46</v>
      </c>
      <c r="L24" s="24" t="s">
        <v>244</v>
      </c>
      <c r="M24" s="24">
        <v>3</v>
      </c>
      <c r="N24" s="36">
        <v>9.7000000000000003E-2</v>
      </c>
      <c r="O24" s="36">
        <v>0.78300000000000003</v>
      </c>
      <c r="P24" s="36">
        <v>0.77600000000000002</v>
      </c>
      <c r="Q24" s="36">
        <v>0.83399999999999996</v>
      </c>
      <c r="R24" s="8"/>
      <c r="S24" s="8"/>
      <c r="T24" s="8"/>
      <c r="U24" s="36">
        <v>4.5999999999999999E-2</v>
      </c>
      <c r="V24" s="36">
        <v>5.0999999999999997E-2</v>
      </c>
      <c r="W24" s="36">
        <v>1.2999999999999999E-2</v>
      </c>
      <c r="X24" s="8"/>
      <c r="Y24" s="8"/>
      <c r="Z24" s="8"/>
      <c r="AA24" s="36">
        <v>0.14699999999999999</v>
      </c>
      <c r="AB24" s="36">
        <v>9.9000000000000005E-2</v>
      </c>
      <c r="AC24" s="36">
        <v>0.10299999999999999</v>
      </c>
      <c r="AD24" s="8"/>
      <c r="AE24" s="8"/>
      <c r="AF24" s="8"/>
      <c r="AG24" s="36">
        <v>2.3E-2</v>
      </c>
      <c r="AH24" s="36">
        <v>4.2000000000000003E-2</v>
      </c>
      <c r="AI24" s="36">
        <v>4.9000000000000002E-2</v>
      </c>
      <c r="AJ24" s="8"/>
      <c r="AK24" s="8"/>
      <c r="AL24" s="8"/>
      <c r="AM24" s="36">
        <v>1E-3</v>
      </c>
      <c r="AN24" s="36">
        <v>3.2000000000000001E-2</v>
      </c>
      <c r="AO24" s="36">
        <v>1E-3</v>
      </c>
      <c r="AP24" s="8"/>
      <c r="AQ24" s="8"/>
      <c r="AR24" s="8"/>
      <c r="AS24" s="24">
        <v>24.9</v>
      </c>
      <c r="AT24" s="24">
        <v>35.799999999999997</v>
      </c>
      <c r="AU24" s="24">
        <v>22.4</v>
      </c>
      <c r="AV24" s="8"/>
      <c r="AW24" s="8"/>
      <c r="AX24" s="8"/>
      <c r="AY24" s="40">
        <v>0.98</v>
      </c>
      <c r="AZ24" s="36">
        <v>0.98799999999999999</v>
      </c>
      <c r="BA24" s="36">
        <v>0.95599999999999996</v>
      </c>
      <c r="BB24" s="8"/>
      <c r="BC24" s="8"/>
      <c r="BD24" s="8"/>
      <c r="BE24" s="36">
        <v>0.377</v>
      </c>
      <c r="BF24" s="36">
        <v>0.433</v>
      </c>
      <c r="BG24" s="36">
        <v>0.39500000000000002</v>
      </c>
      <c r="BH24" s="8"/>
      <c r="BI24" s="8"/>
      <c r="BJ24" s="8"/>
      <c r="BK24" s="36">
        <v>6.6000000000000003E-2</v>
      </c>
      <c r="BL24" s="24" t="s">
        <v>236</v>
      </c>
      <c r="BM24" s="36">
        <v>6.2E-2</v>
      </c>
      <c r="BN24" s="8"/>
      <c r="BO24" s="8"/>
      <c r="BP24" s="8"/>
      <c r="BQ24" s="24">
        <v>9</v>
      </c>
      <c r="BR24" s="24">
        <v>11</v>
      </c>
      <c r="BS24" s="24">
        <v>20</v>
      </c>
      <c r="BT24" s="8"/>
      <c r="BU24" s="8"/>
      <c r="BV24" s="8"/>
      <c r="BW24" s="24" t="s">
        <v>142</v>
      </c>
      <c r="BX24" s="24" t="s">
        <v>245</v>
      </c>
      <c r="BY24" s="24" t="s">
        <v>122</v>
      </c>
      <c r="BZ24" s="8"/>
      <c r="CA24" s="8"/>
      <c r="CB24" s="8"/>
      <c r="CC24" s="24" t="s">
        <v>246</v>
      </c>
      <c r="CD24" s="24" t="s">
        <v>247</v>
      </c>
      <c r="CE24" s="24" t="s">
        <v>593</v>
      </c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</row>
    <row r="25" spans="1:94" ht="18" customHeight="1">
      <c r="A25" s="47">
        <v>6693422</v>
      </c>
      <c r="B25" s="30">
        <v>19</v>
      </c>
      <c r="C25" s="42" t="s">
        <v>594</v>
      </c>
      <c r="D25" s="60" t="s">
        <v>522</v>
      </c>
      <c r="E25" s="60" t="s">
        <v>249</v>
      </c>
      <c r="F25" s="8"/>
      <c r="G25" s="24" t="s">
        <v>250</v>
      </c>
      <c r="H25" s="24" t="s">
        <v>251</v>
      </c>
      <c r="I25" s="24" t="s">
        <v>205</v>
      </c>
      <c r="J25" s="24" t="s">
        <v>225</v>
      </c>
      <c r="K25" s="24" t="s">
        <v>46</v>
      </c>
      <c r="L25" s="24" t="s">
        <v>252</v>
      </c>
      <c r="M25" s="24">
        <v>3</v>
      </c>
      <c r="N25" s="36">
        <v>0.114</v>
      </c>
      <c r="O25" s="40">
        <v>0.45</v>
      </c>
      <c r="P25" s="36">
        <v>0.621</v>
      </c>
      <c r="Q25" s="8"/>
      <c r="R25" s="8"/>
      <c r="S25" s="8"/>
      <c r="T25" s="8"/>
      <c r="U25" s="36">
        <v>0.223</v>
      </c>
      <c r="V25" s="36">
        <v>9.5000000000000001E-2</v>
      </c>
      <c r="W25" s="8"/>
      <c r="X25" s="8"/>
      <c r="Y25" s="8"/>
      <c r="Z25" s="8"/>
      <c r="AA25" s="36">
        <v>0.251</v>
      </c>
      <c r="AB25" s="36">
        <v>0.20399999999999999</v>
      </c>
      <c r="AC25" s="8"/>
      <c r="AD25" s="8"/>
      <c r="AE25" s="8"/>
      <c r="AF25" s="8"/>
      <c r="AG25" s="36">
        <v>6.0999999999999999E-2</v>
      </c>
      <c r="AH25" s="36">
        <v>5.6000000000000001E-2</v>
      </c>
      <c r="AI25" s="8"/>
      <c r="AJ25" s="8"/>
      <c r="AK25" s="8"/>
      <c r="AL25" s="8"/>
      <c r="AM25" s="36">
        <v>1.4999999999999999E-2</v>
      </c>
      <c r="AN25" s="36">
        <v>2.4E-2</v>
      </c>
      <c r="AO25" s="8"/>
      <c r="AP25" s="8"/>
      <c r="AQ25" s="8"/>
      <c r="AR25" s="8"/>
      <c r="AS25" s="24">
        <v>74.900000000000006</v>
      </c>
      <c r="AT25" s="24">
        <v>52.2</v>
      </c>
      <c r="AU25" s="8"/>
      <c r="AV25" s="8"/>
      <c r="AW25" s="8"/>
      <c r="AX25" s="8"/>
      <c r="AY25" s="36">
        <v>0.61299999999999999</v>
      </c>
      <c r="AZ25" s="36">
        <v>0.871</v>
      </c>
      <c r="BA25" s="8"/>
      <c r="BB25" s="8"/>
      <c r="BC25" s="8"/>
      <c r="BD25" s="8"/>
      <c r="BE25" s="36">
        <v>0.48599999999999999</v>
      </c>
      <c r="BF25" s="36">
        <v>0.46400000000000002</v>
      </c>
      <c r="BG25" s="8"/>
      <c r="BH25" s="8"/>
      <c r="BI25" s="8"/>
      <c r="BJ25" s="8"/>
      <c r="BK25" s="36">
        <v>7.6999999999999999E-2</v>
      </c>
      <c r="BL25" s="36">
        <v>7.0000000000000007E-2</v>
      </c>
      <c r="BM25" s="8"/>
      <c r="BN25" s="8"/>
      <c r="BO25" s="8"/>
      <c r="BP25" s="8"/>
      <c r="BQ25" s="24">
        <v>19</v>
      </c>
      <c r="BR25" s="24">
        <v>23</v>
      </c>
      <c r="BS25" s="8"/>
      <c r="BT25" s="8"/>
      <c r="BU25" s="8"/>
      <c r="BV25" s="8"/>
      <c r="BW25" s="24" t="s">
        <v>253</v>
      </c>
      <c r="BX25" s="24" t="s">
        <v>595</v>
      </c>
      <c r="BY25" s="8"/>
      <c r="BZ25" s="8"/>
      <c r="CA25" s="8"/>
      <c r="CB25" s="8"/>
      <c r="CC25" s="24" t="s">
        <v>254</v>
      </c>
      <c r="CD25" s="24" t="s">
        <v>596</v>
      </c>
      <c r="CE25" s="8"/>
      <c r="CF25" s="8"/>
      <c r="CG25" s="8"/>
      <c r="CH25" s="8"/>
      <c r="CI25" s="24" t="s">
        <v>255</v>
      </c>
      <c r="CJ25" s="8"/>
      <c r="CK25" s="8"/>
      <c r="CL25" s="8"/>
      <c r="CM25" s="8"/>
      <c r="CN25" s="8"/>
      <c r="CO25" s="8"/>
      <c r="CP25" s="8"/>
    </row>
    <row r="26" spans="1:94" ht="15.75" customHeight="1">
      <c r="A26" s="47">
        <v>46009</v>
      </c>
      <c r="B26" s="30">
        <v>20</v>
      </c>
      <c r="C26" s="42" t="s">
        <v>597</v>
      </c>
      <c r="D26" s="24" t="s">
        <v>99</v>
      </c>
      <c r="E26" s="24" t="s">
        <v>257</v>
      </c>
      <c r="F26" s="8"/>
      <c r="G26" s="24" t="s">
        <v>258</v>
      </c>
      <c r="H26" s="24" t="s">
        <v>259</v>
      </c>
      <c r="I26" s="24" t="s">
        <v>196</v>
      </c>
      <c r="J26" s="24" t="s">
        <v>225</v>
      </c>
      <c r="K26" s="24" t="s">
        <v>46</v>
      </c>
      <c r="L26" s="24" t="s">
        <v>260</v>
      </c>
      <c r="M26" s="24">
        <v>3</v>
      </c>
      <c r="N26" s="36">
        <v>9.3700000000000006E-2</v>
      </c>
      <c r="O26" s="36">
        <v>0.51100000000000001</v>
      </c>
      <c r="P26" s="36">
        <v>0.50800000000000001</v>
      </c>
      <c r="Q26" s="36">
        <v>0.59899999999999998</v>
      </c>
      <c r="R26" s="8"/>
      <c r="S26" s="8"/>
      <c r="T26" s="8"/>
      <c r="U26" s="36">
        <v>7.5999999999999998E-2</v>
      </c>
      <c r="V26" s="40">
        <v>0.22</v>
      </c>
      <c r="W26" s="36">
        <v>0.122</v>
      </c>
      <c r="X26" s="8"/>
      <c r="Y26" s="8"/>
      <c r="Z26" s="8"/>
      <c r="AA26" s="36">
        <v>0.20499999999999999</v>
      </c>
      <c r="AB26" s="36">
        <v>0.20100000000000001</v>
      </c>
      <c r="AC26" s="36">
        <v>0.20300000000000001</v>
      </c>
      <c r="AD26" s="8"/>
      <c r="AE26" s="8"/>
      <c r="AF26" s="8"/>
      <c r="AG26" s="36">
        <v>0.14899999999999999</v>
      </c>
      <c r="AH26" s="36">
        <v>4.4999999999999998E-2</v>
      </c>
      <c r="AI26" s="36">
        <v>6.8000000000000005E-2</v>
      </c>
      <c r="AJ26" s="8"/>
      <c r="AK26" s="8"/>
      <c r="AL26" s="8"/>
      <c r="AM26" s="36">
        <v>5.8999999999999997E-2</v>
      </c>
      <c r="AN26" s="36">
        <v>2.5999999999999999E-2</v>
      </c>
      <c r="AO26" s="36">
        <v>8.0000000000000002E-3</v>
      </c>
      <c r="AP26" s="8"/>
      <c r="AQ26" s="8"/>
      <c r="AR26" s="8"/>
      <c r="AS26" s="24">
        <v>82</v>
      </c>
      <c r="AT26" s="24">
        <v>69.900000000000006</v>
      </c>
      <c r="AU26" s="24">
        <v>54.5</v>
      </c>
      <c r="AV26" s="8"/>
      <c r="AW26" s="8"/>
      <c r="AX26" s="8"/>
      <c r="AY26" s="36">
        <v>0.996</v>
      </c>
      <c r="AZ26" s="36">
        <v>0.91700000000000004</v>
      </c>
      <c r="BA26" s="36">
        <v>0.94599999999999995</v>
      </c>
      <c r="BB26" s="8"/>
      <c r="BC26" s="8"/>
      <c r="BD26" s="8"/>
      <c r="BE26" s="24" t="s">
        <v>261</v>
      </c>
      <c r="BF26" s="36">
        <v>0.50600000000000001</v>
      </c>
      <c r="BG26" s="36">
        <v>0.48099999999999998</v>
      </c>
      <c r="BH26" s="8"/>
      <c r="BI26" s="8"/>
      <c r="BJ26" s="8"/>
      <c r="BK26" s="24" t="s">
        <v>236</v>
      </c>
      <c r="BL26" s="36">
        <v>7.3999999999999996E-2</v>
      </c>
      <c r="BM26" s="36">
        <v>7.0999999999999994E-2</v>
      </c>
      <c r="BN26" s="8"/>
      <c r="BO26" s="8"/>
      <c r="BP26" s="8"/>
      <c r="BQ26" s="24">
        <v>6</v>
      </c>
      <c r="BR26" s="24">
        <v>14</v>
      </c>
      <c r="BS26" s="24">
        <v>26</v>
      </c>
      <c r="BT26" s="8"/>
      <c r="BU26" s="8"/>
      <c r="BV26" s="8"/>
      <c r="BW26" s="24" t="s">
        <v>262</v>
      </c>
      <c r="BX26" s="24" t="s">
        <v>535</v>
      </c>
      <c r="BY26" s="24" t="s">
        <v>325</v>
      </c>
      <c r="BZ26" s="8"/>
      <c r="CA26" s="8"/>
      <c r="CB26" s="8"/>
      <c r="CC26" s="24" t="s">
        <v>263</v>
      </c>
      <c r="CD26" s="24" t="s">
        <v>536</v>
      </c>
      <c r="CE26" s="66" t="s">
        <v>598</v>
      </c>
      <c r="CF26" s="8"/>
      <c r="CG26" s="8"/>
      <c r="CH26" s="8"/>
      <c r="CI26" s="24" t="s">
        <v>264</v>
      </c>
      <c r="CJ26" s="8"/>
      <c r="CK26" s="8"/>
      <c r="CL26" s="8"/>
      <c r="CM26" s="8"/>
      <c r="CN26" s="8"/>
      <c r="CO26" s="8"/>
      <c r="CP26" s="8"/>
    </row>
    <row r="27" spans="1:94" ht="15.75" customHeight="1">
      <c r="A27" s="47">
        <v>46009</v>
      </c>
      <c r="B27" s="30">
        <v>21</v>
      </c>
      <c r="C27" s="42" t="s">
        <v>599</v>
      </c>
      <c r="D27" s="24"/>
      <c r="E27" s="24" t="s">
        <v>266</v>
      </c>
      <c r="F27" s="8"/>
      <c r="G27" s="24" t="s">
        <v>267</v>
      </c>
      <c r="H27" s="24" t="s">
        <v>268</v>
      </c>
      <c r="I27" s="24" t="s">
        <v>150</v>
      </c>
      <c r="J27" s="24" t="s">
        <v>225</v>
      </c>
      <c r="K27" s="24" t="s">
        <v>46</v>
      </c>
      <c r="L27" s="24" t="s">
        <v>269</v>
      </c>
      <c r="M27" s="24">
        <v>3</v>
      </c>
      <c r="N27" s="36">
        <v>0.107</v>
      </c>
      <c r="O27" s="36">
        <v>0.63500000000000001</v>
      </c>
      <c r="P27" s="36">
        <v>0.65800000000000003</v>
      </c>
      <c r="Q27" s="36">
        <v>0.78500000000000003</v>
      </c>
      <c r="R27" s="8"/>
      <c r="S27" s="8"/>
      <c r="T27" s="8"/>
      <c r="U27" s="40">
        <v>0.11</v>
      </c>
      <c r="V27" s="36">
        <v>3.2000000000000001E-2</v>
      </c>
      <c r="W27" s="36">
        <v>2.4E-2</v>
      </c>
      <c r="X27" s="8"/>
      <c r="Y27" s="8"/>
      <c r="Z27" s="8"/>
      <c r="AA27" s="36">
        <v>0.16400000000000001</v>
      </c>
      <c r="AB27" s="40">
        <v>0.28999999999999998</v>
      </c>
      <c r="AC27" s="36">
        <v>0.16200000000000001</v>
      </c>
      <c r="AD27" s="8"/>
      <c r="AE27" s="8"/>
      <c r="AF27" s="8"/>
      <c r="AG27" s="40">
        <v>0.09</v>
      </c>
      <c r="AH27" s="36">
        <v>1.9E-2</v>
      </c>
      <c r="AI27" s="36">
        <v>2.8000000000000001E-2</v>
      </c>
      <c r="AJ27" s="8"/>
      <c r="AK27" s="8"/>
      <c r="AL27" s="8"/>
      <c r="AM27" s="40">
        <v>0.01</v>
      </c>
      <c r="AN27" s="36">
        <v>1E-3</v>
      </c>
      <c r="AO27" s="36">
        <v>1E-3</v>
      </c>
      <c r="AP27" s="8"/>
      <c r="AQ27" s="8"/>
      <c r="AR27" s="8"/>
      <c r="AS27" s="24">
        <v>52.6</v>
      </c>
      <c r="AT27" s="24">
        <v>33.200000000000003</v>
      </c>
      <c r="AU27" s="24">
        <v>23.8</v>
      </c>
      <c r="AV27" s="8"/>
      <c r="AW27" s="8"/>
      <c r="AX27" s="8"/>
      <c r="AY27" s="36">
        <v>0.79900000000000004</v>
      </c>
      <c r="AZ27" s="36">
        <v>0.871</v>
      </c>
      <c r="BA27" s="36">
        <v>0.86399999999999999</v>
      </c>
      <c r="BB27" s="8"/>
      <c r="BC27" s="8"/>
      <c r="BD27" s="8"/>
      <c r="BE27" s="36">
        <v>0.503</v>
      </c>
      <c r="BF27" s="36">
        <v>0.32700000000000001</v>
      </c>
      <c r="BG27" s="36">
        <v>0.36799999999999999</v>
      </c>
      <c r="BH27" s="8"/>
      <c r="BI27" s="8"/>
      <c r="BJ27" s="8"/>
      <c r="BK27" s="36">
        <v>6.9000000000000006E-2</v>
      </c>
      <c r="BL27" s="36">
        <v>7.0000000000000007E-2</v>
      </c>
      <c r="BM27" s="36">
        <v>6.6000000000000003E-2</v>
      </c>
      <c r="BN27" s="8"/>
      <c r="BO27" s="8"/>
      <c r="BP27" s="8"/>
      <c r="BQ27" s="24">
        <v>28</v>
      </c>
      <c r="BR27" s="24">
        <v>9</v>
      </c>
      <c r="BS27" s="24">
        <v>11</v>
      </c>
      <c r="BT27" s="8"/>
      <c r="BU27" s="8"/>
      <c r="BV27" s="8"/>
      <c r="BW27" s="24" t="s">
        <v>270</v>
      </c>
      <c r="BX27" s="24" t="s">
        <v>271</v>
      </c>
      <c r="BY27" s="24" t="s">
        <v>208</v>
      </c>
      <c r="BZ27" s="8"/>
      <c r="CA27" s="8"/>
      <c r="CB27" s="8"/>
      <c r="CC27" s="24" t="s">
        <v>272</v>
      </c>
      <c r="CD27" s="24" t="s">
        <v>272</v>
      </c>
      <c r="CE27" s="24" t="s">
        <v>600</v>
      </c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</row>
    <row r="28" spans="1:94" ht="16.5" customHeight="1">
      <c r="A28" s="47">
        <v>46009</v>
      </c>
      <c r="B28" s="30">
        <v>22</v>
      </c>
      <c r="C28" s="42" t="s">
        <v>601</v>
      </c>
      <c r="D28" s="24" t="s">
        <v>196</v>
      </c>
      <c r="E28" s="24" t="s">
        <v>274</v>
      </c>
      <c r="F28" s="8"/>
      <c r="G28" s="24" t="s">
        <v>275</v>
      </c>
      <c r="H28" s="24" t="s">
        <v>276</v>
      </c>
      <c r="I28" s="24" t="s">
        <v>150</v>
      </c>
      <c r="J28" s="24" t="s">
        <v>45</v>
      </c>
      <c r="K28" s="24" t="s">
        <v>46</v>
      </c>
      <c r="L28" s="24" t="s">
        <v>277</v>
      </c>
      <c r="M28" s="61">
        <v>45718</v>
      </c>
      <c r="N28" s="36">
        <v>8.8999999999999996E-2</v>
      </c>
      <c r="O28" s="40">
        <v>0.64</v>
      </c>
      <c r="P28" s="36">
        <v>0.78700000000000003</v>
      </c>
      <c r="Q28" s="36">
        <v>0.84199999999999997</v>
      </c>
      <c r="R28" s="8"/>
      <c r="S28" s="8"/>
      <c r="T28" s="8"/>
      <c r="U28" s="40">
        <v>0.1</v>
      </c>
      <c r="V28" s="40">
        <v>0.03</v>
      </c>
      <c r="W28" s="36">
        <v>2.1999999999999999E-2</v>
      </c>
      <c r="X28" s="8"/>
      <c r="Y28" s="8"/>
      <c r="Z28" s="8"/>
      <c r="AA28" s="40">
        <v>0.26</v>
      </c>
      <c r="AB28" s="36">
        <v>0.17599999999999999</v>
      </c>
      <c r="AC28" s="36">
        <v>0.13600000000000001</v>
      </c>
      <c r="AD28" s="8"/>
      <c r="AE28" s="8"/>
      <c r="AF28" s="8"/>
      <c r="AG28" s="40">
        <v>0</v>
      </c>
      <c r="AH28" s="36">
        <v>7.0000000000000001E-3</v>
      </c>
      <c r="AI28" s="40">
        <v>0</v>
      </c>
      <c r="AJ28" s="8"/>
      <c r="AK28" s="8"/>
      <c r="AL28" s="8"/>
      <c r="AM28" s="40">
        <v>0</v>
      </c>
      <c r="AN28" s="40">
        <v>0</v>
      </c>
      <c r="AO28" s="40">
        <v>0</v>
      </c>
      <c r="AP28" s="8"/>
      <c r="AQ28" s="8"/>
      <c r="AR28" s="8"/>
      <c r="AS28" s="24">
        <v>36.799999999999997</v>
      </c>
      <c r="AT28" s="24">
        <v>20.6</v>
      </c>
      <c r="AU28" s="24">
        <v>14.4</v>
      </c>
      <c r="AV28" s="8"/>
      <c r="AW28" s="8"/>
      <c r="AX28" s="8"/>
      <c r="AY28" s="36">
        <v>0.75900000000000001</v>
      </c>
      <c r="AZ28" s="36">
        <v>0.875</v>
      </c>
      <c r="BA28" s="36">
        <v>0.76900000000000002</v>
      </c>
      <c r="BB28" s="8"/>
      <c r="BC28" s="8"/>
      <c r="BD28" s="8"/>
      <c r="BE28" s="36">
        <v>0.38400000000000001</v>
      </c>
      <c r="BF28" s="36">
        <v>0.35699999999999998</v>
      </c>
      <c r="BG28" s="36">
        <v>0.309</v>
      </c>
      <c r="BH28" s="8"/>
      <c r="BI28" s="8"/>
      <c r="BJ28" s="8"/>
      <c r="BK28" s="36">
        <v>7.1999999999999995E-2</v>
      </c>
      <c r="BL28" s="36">
        <v>6.7000000000000004E-2</v>
      </c>
      <c r="BM28" s="36">
        <v>6.6000000000000003E-2</v>
      </c>
      <c r="BN28" s="8"/>
      <c r="BO28" s="8"/>
      <c r="BP28" s="8"/>
      <c r="BQ28" s="24">
        <v>0</v>
      </c>
      <c r="BR28" s="24">
        <v>2</v>
      </c>
      <c r="BS28" s="24">
        <v>0</v>
      </c>
      <c r="BT28" s="8"/>
      <c r="BU28" s="8"/>
      <c r="BV28" s="8"/>
      <c r="BW28" s="24" t="s">
        <v>112</v>
      </c>
      <c r="BX28" s="24" t="s">
        <v>161</v>
      </c>
      <c r="BY28" s="24" t="s">
        <v>112</v>
      </c>
      <c r="BZ28" s="8"/>
      <c r="CA28" s="8"/>
      <c r="CB28" s="8"/>
      <c r="CC28" s="24" t="s">
        <v>278</v>
      </c>
      <c r="CD28" s="24" t="s">
        <v>278</v>
      </c>
      <c r="CE28" s="24" t="s">
        <v>278</v>
      </c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</row>
    <row r="29" spans="1:94" ht="15.75" customHeight="1">
      <c r="A29" s="47">
        <v>46015</v>
      </c>
      <c r="B29" s="30">
        <v>23</v>
      </c>
      <c r="C29" s="42" t="s">
        <v>537</v>
      </c>
      <c r="D29" s="24" t="s">
        <v>72</v>
      </c>
      <c r="E29" s="24" t="s">
        <v>280</v>
      </c>
      <c r="F29" s="24" t="s">
        <v>281</v>
      </c>
      <c r="G29" s="8"/>
      <c r="H29" s="24" t="s">
        <v>282</v>
      </c>
      <c r="I29" s="24" t="s">
        <v>72</v>
      </c>
      <c r="J29" s="24" t="s">
        <v>45</v>
      </c>
      <c r="K29" s="24" t="s">
        <v>46</v>
      </c>
      <c r="L29" s="24" t="s">
        <v>283</v>
      </c>
      <c r="M29" s="24">
        <v>6</v>
      </c>
      <c r="N29" s="36">
        <v>6.8400000000000002E-2</v>
      </c>
      <c r="O29" s="36">
        <v>0.85799999999999998</v>
      </c>
      <c r="P29" s="36">
        <v>0.745</v>
      </c>
      <c r="Q29" s="8"/>
      <c r="R29" s="8"/>
      <c r="S29" s="8"/>
      <c r="T29" s="8"/>
      <c r="U29" s="36">
        <v>1.7000000000000001E-2</v>
      </c>
      <c r="V29" s="36">
        <v>3.5999999999999997E-2</v>
      </c>
      <c r="W29" s="8"/>
      <c r="X29" s="8"/>
      <c r="Y29" s="8"/>
      <c r="Z29" s="8"/>
      <c r="AA29" s="36">
        <v>9.7000000000000003E-2</v>
      </c>
      <c r="AB29" s="36">
        <v>0.20899999999999999</v>
      </c>
      <c r="AC29" s="8"/>
      <c r="AD29" s="8"/>
      <c r="AE29" s="8"/>
      <c r="AF29" s="8"/>
      <c r="AG29" s="36">
        <v>2.8000000000000001E-2</v>
      </c>
      <c r="AH29" s="40">
        <v>0.01</v>
      </c>
      <c r="AI29" s="8"/>
      <c r="AJ29" s="8"/>
      <c r="AK29" s="8"/>
      <c r="AL29" s="8"/>
      <c r="AM29" s="40">
        <v>0</v>
      </c>
      <c r="AN29" s="40">
        <v>0</v>
      </c>
      <c r="AO29" s="8"/>
      <c r="AP29" s="8"/>
      <c r="AQ29" s="8"/>
      <c r="AR29" s="8"/>
      <c r="AS29" s="24">
        <v>17.2</v>
      </c>
      <c r="AT29" s="24">
        <v>24.9</v>
      </c>
      <c r="AU29" s="8"/>
      <c r="AV29" s="8"/>
      <c r="AW29" s="8"/>
      <c r="AX29" s="8"/>
      <c r="AY29" s="36">
        <v>0.69499999999999995</v>
      </c>
      <c r="AZ29" s="40">
        <v>0.91</v>
      </c>
      <c r="BA29" s="8"/>
      <c r="BB29" s="8"/>
      <c r="BC29" s="8"/>
      <c r="BD29" s="8"/>
      <c r="BE29" s="36">
        <v>0.34100000000000003</v>
      </c>
      <c r="BF29" s="36">
        <v>0.32500000000000001</v>
      </c>
      <c r="BG29" s="8"/>
      <c r="BH29" s="8"/>
      <c r="BI29" s="8"/>
      <c r="BJ29" s="8"/>
      <c r="BK29" s="36">
        <v>6.3E-2</v>
      </c>
      <c r="BL29" s="36">
        <v>6.9000000000000006E-2</v>
      </c>
      <c r="BM29" s="8"/>
      <c r="BN29" s="8"/>
      <c r="BO29" s="8"/>
      <c r="BP29" s="8"/>
      <c r="BQ29" s="24">
        <v>18</v>
      </c>
      <c r="BR29" s="24">
        <v>6</v>
      </c>
      <c r="BS29" s="8"/>
      <c r="BT29" s="8"/>
      <c r="BU29" s="8"/>
      <c r="BV29" s="8"/>
      <c r="BW29" s="24" t="s">
        <v>284</v>
      </c>
      <c r="BX29" s="24" t="s">
        <v>538</v>
      </c>
      <c r="BY29" s="8"/>
      <c r="BZ29" s="8"/>
      <c r="CA29" s="8"/>
      <c r="CB29" s="8"/>
      <c r="CC29" s="24" t="s">
        <v>285</v>
      </c>
      <c r="CD29" s="24" t="s">
        <v>539</v>
      </c>
      <c r="CE29" s="8"/>
      <c r="CF29" s="8"/>
      <c r="CG29" s="8"/>
      <c r="CH29" s="8"/>
      <c r="CI29" s="24" t="s">
        <v>286</v>
      </c>
      <c r="CJ29" s="8"/>
      <c r="CK29" s="8"/>
      <c r="CL29" s="8"/>
      <c r="CM29" s="8"/>
      <c r="CN29" s="8"/>
      <c r="CO29" s="8"/>
      <c r="CP29" s="8"/>
    </row>
    <row r="30" spans="1:94" ht="15.75" customHeight="1">
      <c r="A30" s="52">
        <v>46013</v>
      </c>
      <c r="B30" s="30">
        <v>24</v>
      </c>
      <c r="C30" s="42" t="s">
        <v>540</v>
      </c>
      <c r="D30" s="24" t="s">
        <v>72</v>
      </c>
      <c r="E30" s="24" t="s">
        <v>288</v>
      </c>
      <c r="F30" s="24" t="s">
        <v>289</v>
      </c>
      <c r="G30" s="8"/>
      <c r="H30" s="24" t="s">
        <v>290</v>
      </c>
      <c r="I30" s="24" t="s">
        <v>128</v>
      </c>
      <c r="J30" s="24" t="s">
        <v>45</v>
      </c>
      <c r="K30" s="24" t="s">
        <v>46</v>
      </c>
      <c r="L30" s="24" t="s">
        <v>291</v>
      </c>
      <c r="M30" s="61">
        <v>45718</v>
      </c>
      <c r="N30" s="36">
        <v>9.6699999999999994E-2</v>
      </c>
      <c r="O30" s="40">
        <v>0.56999999999999995</v>
      </c>
      <c r="P30" s="36">
        <v>0.76700000000000002</v>
      </c>
      <c r="Q30" s="8"/>
      <c r="R30" s="8"/>
      <c r="S30" s="8"/>
      <c r="T30" s="8"/>
      <c r="U30" s="36">
        <v>8.5999999999999993E-2</v>
      </c>
      <c r="V30" s="36">
        <v>6.0000000000000001E-3</v>
      </c>
      <c r="W30" s="8"/>
      <c r="X30" s="8"/>
      <c r="Y30" s="8"/>
      <c r="Z30" s="8"/>
      <c r="AA30" s="36">
        <v>0.14899999999999999</v>
      </c>
      <c r="AB30" s="36">
        <v>0.187</v>
      </c>
      <c r="AC30" s="8"/>
      <c r="AD30" s="8"/>
      <c r="AE30" s="8"/>
      <c r="AF30" s="8"/>
      <c r="AG30" s="36">
        <v>4.0000000000000001E-3</v>
      </c>
      <c r="AH30" s="40">
        <v>0.04</v>
      </c>
      <c r="AI30" s="8"/>
      <c r="AJ30" s="8"/>
      <c r="AK30" s="8"/>
      <c r="AL30" s="8"/>
      <c r="AM30" s="36">
        <v>0.191</v>
      </c>
      <c r="AN30" s="40">
        <v>0</v>
      </c>
      <c r="AO30" s="8"/>
      <c r="AP30" s="8"/>
      <c r="AQ30" s="8"/>
      <c r="AR30" s="8"/>
      <c r="AS30" s="24">
        <v>83.9</v>
      </c>
      <c r="AT30" s="24">
        <v>25.5</v>
      </c>
      <c r="AU30" s="8"/>
      <c r="AV30" s="8"/>
      <c r="AW30" s="8"/>
      <c r="AX30" s="8"/>
      <c r="AY30" s="36">
        <v>0.79900000000000004</v>
      </c>
      <c r="AZ30" s="40">
        <v>0.94</v>
      </c>
      <c r="BA30" s="8"/>
      <c r="BB30" s="8"/>
      <c r="BC30" s="8"/>
      <c r="BD30" s="8"/>
      <c r="BE30" s="36">
        <v>0.55600000000000005</v>
      </c>
      <c r="BF30" s="36">
        <v>0.36099999999999999</v>
      </c>
      <c r="BG30" s="8"/>
      <c r="BH30" s="8"/>
      <c r="BI30" s="8"/>
      <c r="BJ30" s="8"/>
      <c r="BK30" s="36">
        <v>6.5000000000000002E-2</v>
      </c>
      <c r="BL30" s="36">
        <v>6.5000000000000002E-2</v>
      </c>
      <c r="BM30" s="8"/>
      <c r="BN30" s="8"/>
      <c r="BO30" s="8"/>
      <c r="BP30" s="8"/>
      <c r="BQ30" s="24">
        <v>2</v>
      </c>
      <c r="BR30" s="24">
        <v>17</v>
      </c>
      <c r="BS30" s="8"/>
      <c r="BT30" s="8"/>
      <c r="BU30" s="8"/>
      <c r="BV30" s="8"/>
      <c r="BW30" s="24" t="s">
        <v>292</v>
      </c>
      <c r="BX30" s="24" t="s">
        <v>541</v>
      </c>
      <c r="BY30" s="8"/>
      <c r="BZ30" s="8"/>
      <c r="CA30" s="8"/>
      <c r="CB30" s="8"/>
      <c r="CC30" s="24" t="s">
        <v>293</v>
      </c>
      <c r="CD30" s="24" t="s">
        <v>542</v>
      </c>
      <c r="CE30" s="8"/>
      <c r="CF30" s="8"/>
      <c r="CG30" s="8"/>
      <c r="CH30" s="8"/>
      <c r="CI30" s="24" t="s">
        <v>294</v>
      </c>
      <c r="CJ30" s="8"/>
      <c r="CK30" s="8"/>
      <c r="CL30" s="8"/>
      <c r="CM30" s="8"/>
      <c r="CN30" s="8"/>
      <c r="CO30" s="8"/>
      <c r="CP30" s="8"/>
    </row>
    <row r="31" spans="1:94" ht="15.75" customHeight="1">
      <c r="A31" s="52">
        <v>46013</v>
      </c>
      <c r="B31" s="30">
        <v>25</v>
      </c>
      <c r="C31" s="42" t="s">
        <v>602</v>
      </c>
      <c r="D31" s="24" t="s">
        <v>88</v>
      </c>
      <c r="E31" s="24" t="s">
        <v>296</v>
      </c>
      <c r="F31" s="8"/>
      <c r="G31" s="24" t="s">
        <v>297</v>
      </c>
      <c r="H31" s="24" t="s">
        <v>298</v>
      </c>
      <c r="I31" s="24" t="s">
        <v>88</v>
      </c>
      <c r="J31" s="24" t="s">
        <v>225</v>
      </c>
      <c r="K31" s="24" t="s">
        <v>46</v>
      </c>
      <c r="L31" s="24" t="s">
        <v>299</v>
      </c>
      <c r="M31" s="24">
        <v>6</v>
      </c>
      <c r="N31" s="36">
        <v>0.127</v>
      </c>
      <c r="O31" s="36">
        <v>0.51300000000000001</v>
      </c>
      <c r="P31" s="36">
        <v>0.94499999999999995</v>
      </c>
      <c r="Q31" s="36">
        <v>0.98599999999999999</v>
      </c>
      <c r="R31" s="8"/>
      <c r="S31" s="8"/>
      <c r="T31" s="8"/>
      <c r="U31" s="36">
        <v>0.122</v>
      </c>
      <c r="V31" s="40">
        <v>0</v>
      </c>
      <c r="W31" s="40">
        <v>0</v>
      </c>
      <c r="X31" s="8"/>
      <c r="Y31" s="8"/>
      <c r="Z31" s="8"/>
      <c r="AA31" s="36">
        <v>0.36499999999999999</v>
      </c>
      <c r="AB31" s="36">
        <v>5.2999999999999999E-2</v>
      </c>
      <c r="AC31" s="40">
        <v>0.01</v>
      </c>
      <c r="AD31" s="8"/>
      <c r="AE31" s="8"/>
      <c r="AF31" s="8"/>
      <c r="AG31" s="24">
        <v>0</v>
      </c>
      <c r="AH31" s="36">
        <v>2E-3</v>
      </c>
      <c r="AI31" s="36">
        <v>4.0000000000000001E-3</v>
      </c>
      <c r="AJ31" s="8"/>
      <c r="AK31" s="8"/>
      <c r="AL31" s="8"/>
      <c r="AM31" s="24">
        <v>0</v>
      </c>
      <c r="AN31" s="40">
        <v>0</v>
      </c>
      <c r="AO31" s="40">
        <v>0</v>
      </c>
      <c r="AP31" s="8"/>
      <c r="AQ31" s="8"/>
      <c r="AR31" s="8"/>
      <c r="AS31" s="24">
        <v>48.7</v>
      </c>
      <c r="AT31" s="24">
        <v>4.7</v>
      </c>
      <c r="AU31" s="24">
        <v>1.8</v>
      </c>
      <c r="AV31" s="8"/>
      <c r="AW31" s="8"/>
      <c r="AX31" s="8"/>
      <c r="AY31" s="36">
        <v>0.81899999999999995</v>
      </c>
      <c r="AZ31" s="36">
        <v>0.53900000000000003</v>
      </c>
      <c r="BA31" s="36">
        <v>0.65100000000000002</v>
      </c>
      <c r="BB31" s="8"/>
      <c r="BC31" s="8"/>
      <c r="BD31" s="8"/>
      <c r="BE31" s="36">
        <v>0.311</v>
      </c>
      <c r="BF31" s="36">
        <v>0.24199999999999999</v>
      </c>
      <c r="BG31" s="36">
        <v>0.214</v>
      </c>
      <c r="BH31" s="8"/>
      <c r="BI31" s="8"/>
      <c r="BJ31" s="8"/>
      <c r="BK31" s="36">
        <v>7.6999999999999999E-2</v>
      </c>
      <c r="BL31" s="36">
        <v>6.2E-2</v>
      </c>
      <c r="BM31" s="40">
        <v>0.06</v>
      </c>
      <c r="BN31" s="8"/>
      <c r="BO31" s="8"/>
      <c r="BP31" s="8"/>
      <c r="BQ31" s="24">
        <v>0</v>
      </c>
      <c r="BR31" s="24">
        <v>2</v>
      </c>
      <c r="BS31" s="24">
        <v>1</v>
      </c>
      <c r="BT31" s="8"/>
      <c r="BU31" s="8"/>
      <c r="BV31" s="8"/>
      <c r="BW31" s="24" t="s">
        <v>112</v>
      </c>
      <c r="BX31" s="24" t="s">
        <v>544</v>
      </c>
      <c r="BY31" s="24" t="s">
        <v>603</v>
      </c>
      <c r="BZ31" s="8"/>
      <c r="CA31" s="8"/>
      <c r="CB31" s="8"/>
      <c r="CC31" s="24" t="s">
        <v>300</v>
      </c>
      <c r="CD31" s="24" t="s">
        <v>604</v>
      </c>
      <c r="CE31" s="24" t="s">
        <v>605</v>
      </c>
      <c r="CF31" s="8"/>
      <c r="CG31" s="8"/>
      <c r="CH31" s="8"/>
      <c r="CI31" s="24" t="s">
        <v>301</v>
      </c>
      <c r="CJ31" s="8"/>
      <c r="CK31" s="8"/>
      <c r="CL31" s="8"/>
      <c r="CM31" s="8"/>
      <c r="CN31" s="8"/>
      <c r="CO31" s="8"/>
      <c r="CP31" s="8"/>
    </row>
    <row r="32" spans="1:94" ht="15.75" customHeight="1">
      <c r="A32" s="52">
        <v>46013</v>
      </c>
      <c r="B32" s="30">
        <v>26</v>
      </c>
      <c r="C32" s="42" t="s">
        <v>606</v>
      </c>
      <c r="D32" s="24" t="s">
        <v>205</v>
      </c>
      <c r="E32" s="24" t="s">
        <v>303</v>
      </c>
      <c r="F32" s="8"/>
      <c r="G32" s="24" t="s">
        <v>304</v>
      </c>
      <c r="H32" s="24" t="s">
        <v>305</v>
      </c>
      <c r="I32" s="24" t="s">
        <v>128</v>
      </c>
      <c r="J32" s="24" t="s">
        <v>45</v>
      </c>
      <c r="K32" s="24" t="s">
        <v>46</v>
      </c>
      <c r="L32" s="24" t="s">
        <v>306</v>
      </c>
      <c r="M32" s="24">
        <v>2</v>
      </c>
      <c r="N32" s="36">
        <v>0.112</v>
      </c>
      <c r="O32" s="36">
        <v>0.68600000000000005</v>
      </c>
      <c r="P32" s="36">
        <v>0.86399999999999999</v>
      </c>
      <c r="Q32" s="36">
        <v>0.92800000000000005</v>
      </c>
      <c r="R32" s="8"/>
      <c r="S32" s="8"/>
      <c r="T32" s="8"/>
      <c r="U32" s="36">
        <v>8.1000000000000003E-2</v>
      </c>
      <c r="V32" s="40">
        <v>0.03</v>
      </c>
      <c r="W32" s="36">
        <v>3.0000000000000001E-3</v>
      </c>
      <c r="X32" s="8"/>
      <c r="Y32" s="8"/>
      <c r="Z32" s="8"/>
      <c r="AA32" s="36">
        <v>0.217</v>
      </c>
      <c r="AB32" s="40">
        <v>0.1</v>
      </c>
      <c r="AC32" s="36">
        <v>3.2000000000000001E-2</v>
      </c>
      <c r="AD32" s="8"/>
      <c r="AE32" s="8"/>
      <c r="AF32" s="8"/>
      <c r="AG32" s="36">
        <v>1.2999999999999999E-2</v>
      </c>
      <c r="AH32" s="36">
        <v>6.0000000000000001E-3</v>
      </c>
      <c r="AI32" s="36">
        <v>3.5999999999999997E-2</v>
      </c>
      <c r="AJ32" s="8"/>
      <c r="AK32" s="8"/>
      <c r="AL32" s="8"/>
      <c r="AM32" s="36">
        <v>3.0000000000000001E-3</v>
      </c>
      <c r="AN32" s="40">
        <v>0</v>
      </c>
      <c r="AO32" s="36">
        <v>1E-3</v>
      </c>
      <c r="AP32" s="8"/>
      <c r="AQ32" s="8"/>
      <c r="AR32" s="8"/>
      <c r="AS32" s="24">
        <v>34.299999999999997</v>
      </c>
      <c r="AT32" s="24">
        <v>14.2</v>
      </c>
      <c r="AU32" s="24">
        <v>12</v>
      </c>
      <c r="AV32" s="8"/>
      <c r="AW32" s="8"/>
      <c r="AX32" s="8"/>
      <c r="AY32" s="36">
        <v>0.185</v>
      </c>
      <c r="AZ32" s="40">
        <v>0.2</v>
      </c>
      <c r="BA32" s="36">
        <v>0.20300000000000001</v>
      </c>
      <c r="BB32" s="8"/>
      <c r="BC32" s="8"/>
      <c r="BD32" s="8"/>
      <c r="BE32" s="36">
        <v>0.38800000000000001</v>
      </c>
      <c r="BF32" s="36">
        <v>0.307</v>
      </c>
      <c r="BG32" s="36">
        <v>0.26500000000000001</v>
      </c>
      <c r="BH32" s="8"/>
      <c r="BI32" s="8"/>
      <c r="BJ32" s="8"/>
      <c r="BK32" s="36">
        <v>6.9000000000000006E-2</v>
      </c>
      <c r="BL32" s="36">
        <v>6.7000000000000004E-2</v>
      </c>
      <c r="BM32" s="36">
        <v>0.06</v>
      </c>
      <c r="BN32" s="8"/>
      <c r="BO32" s="8"/>
      <c r="BP32" s="8"/>
      <c r="BQ32" s="24">
        <v>5</v>
      </c>
      <c r="BR32" s="24">
        <v>3</v>
      </c>
      <c r="BS32" s="24">
        <v>12</v>
      </c>
      <c r="BT32" s="8"/>
      <c r="BU32" s="8"/>
      <c r="BV32" s="8"/>
      <c r="BW32" s="24" t="s">
        <v>307</v>
      </c>
      <c r="BX32" s="24" t="s">
        <v>547</v>
      </c>
      <c r="BY32" s="24" t="s">
        <v>270</v>
      </c>
      <c r="BZ32" s="8"/>
      <c r="CA32" s="8"/>
      <c r="CB32" s="8"/>
      <c r="CC32" s="24" t="s">
        <v>308</v>
      </c>
      <c r="CD32" s="24" t="s">
        <v>308</v>
      </c>
      <c r="CE32" s="24" t="s">
        <v>308</v>
      </c>
      <c r="CF32" s="8"/>
      <c r="CG32" s="8"/>
      <c r="CH32" s="8"/>
      <c r="CI32" s="24" t="s">
        <v>548</v>
      </c>
      <c r="CJ32" s="8"/>
      <c r="CK32" s="8"/>
      <c r="CL32" s="8"/>
      <c r="CM32" s="8"/>
      <c r="CN32" s="24" t="s">
        <v>549</v>
      </c>
      <c r="CO32" s="8"/>
      <c r="CP32" s="8"/>
    </row>
    <row r="33" spans="1:94" ht="15.75" customHeight="1">
      <c r="A33" s="47">
        <v>46014</v>
      </c>
      <c r="B33" s="30">
        <v>27</v>
      </c>
      <c r="C33" s="42" t="s">
        <v>637</v>
      </c>
      <c r="D33" s="24" t="s">
        <v>99</v>
      </c>
      <c r="E33" s="24" t="s">
        <v>311</v>
      </c>
      <c r="F33" s="8"/>
      <c r="G33" s="24" t="s">
        <v>312</v>
      </c>
      <c r="H33" s="24" t="s">
        <v>313</v>
      </c>
      <c r="I33" s="24" t="s">
        <v>314</v>
      </c>
      <c r="J33" s="24" t="s">
        <v>45</v>
      </c>
      <c r="K33" s="24" t="s">
        <v>46</v>
      </c>
      <c r="L33" s="24" t="s">
        <v>315</v>
      </c>
      <c r="M33" s="61">
        <v>45718</v>
      </c>
      <c r="N33" s="36">
        <v>9.3299999999999994E-2</v>
      </c>
      <c r="O33" s="36">
        <v>0.68700000000000006</v>
      </c>
      <c r="P33" s="36">
        <v>0.78200000000000003</v>
      </c>
      <c r="Q33" s="36">
        <v>0.76100000000000001</v>
      </c>
      <c r="R33" s="8"/>
      <c r="S33" s="8"/>
      <c r="T33" s="8"/>
      <c r="U33" s="36">
        <v>6.9000000000000006E-2</v>
      </c>
      <c r="V33" s="36">
        <v>2.1000000000000001E-2</v>
      </c>
      <c r="W33" s="36">
        <v>3.1E-2</v>
      </c>
      <c r="X33" s="8"/>
      <c r="Y33" s="8"/>
      <c r="Z33" s="8"/>
      <c r="AA33" s="36">
        <v>0.221</v>
      </c>
      <c r="AB33" s="36">
        <v>0.18099999999999999</v>
      </c>
      <c r="AC33" s="36">
        <v>0.191</v>
      </c>
      <c r="AD33" s="8"/>
      <c r="AE33" s="8"/>
      <c r="AF33" s="8"/>
      <c r="AG33" s="36">
        <v>1.2999999999999999E-2</v>
      </c>
      <c r="AH33" s="36">
        <v>1.4999999999999999E-2</v>
      </c>
      <c r="AI33" s="36">
        <v>1.7000000000000001E-2</v>
      </c>
      <c r="AJ33" s="8"/>
      <c r="AK33" s="8"/>
      <c r="AL33" s="8"/>
      <c r="AM33" s="40">
        <v>0.01</v>
      </c>
      <c r="AN33" s="36">
        <v>1E-3</v>
      </c>
      <c r="AO33" s="36">
        <v>0</v>
      </c>
      <c r="AP33" s="8"/>
      <c r="AQ33" s="8"/>
      <c r="AR33" s="8"/>
      <c r="AS33" s="24">
        <v>34.799999999999997</v>
      </c>
      <c r="AT33" s="24">
        <v>21.7</v>
      </c>
      <c r="AU33" s="24">
        <v>24.3</v>
      </c>
      <c r="AV33" s="8"/>
      <c r="AW33" s="8"/>
      <c r="AX33" s="8"/>
      <c r="AY33" s="36">
        <v>0.97099999999999997</v>
      </c>
      <c r="AZ33" s="36">
        <v>0.97299999999999998</v>
      </c>
      <c r="BA33" s="36">
        <v>0.98699999999999999</v>
      </c>
      <c r="BB33" s="8"/>
      <c r="BC33" s="8"/>
      <c r="BD33" s="8"/>
      <c r="BE33" s="40">
        <v>0.39</v>
      </c>
      <c r="BF33" s="36">
        <v>0.317</v>
      </c>
      <c r="BG33" s="36">
        <v>0.34499999999999997</v>
      </c>
      <c r="BH33" s="8"/>
      <c r="BI33" s="8"/>
      <c r="BJ33" s="8"/>
      <c r="BK33" s="40">
        <v>7.0000000000000007E-2</v>
      </c>
      <c r="BL33" s="36">
        <v>6.8000000000000005E-2</v>
      </c>
      <c r="BM33" s="36">
        <v>6.8000000000000005E-2</v>
      </c>
      <c r="BN33" s="8"/>
      <c r="BO33" s="8"/>
      <c r="BP33" s="8"/>
      <c r="BQ33" s="24">
        <v>8</v>
      </c>
      <c r="BR33" s="24">
        <v>6</v>
      </c>
      <c r="BS33" s="24">
        <v>10</v>
      </c>
      <c r="BT33" s="8"/>
      <c r="BU33" s="8"/>
      <c r="BV33" s="8"/>
      <c r="BW33" s="24" t="s">
        <v>316</v>
      </c>
      <c r="BX33" s="24" t="s">
        <v>316</v>
      </c>
      <c r="BY33" s="24" t="s">
        <v>152</v>
      </c>
      <c r="BZ33" s="8"/>
      <c r="CA33" s="8"/>
      <c r="CB33" s="8"/>
      <c r="CC33" s="24" t="s">
        <v>317</v>
      </c>
      <c r="CD33" s="24" t="s">
        <v>551</v>
      </c>
      <c r="CE33" s="24" t="s">
        <v>638</v>
      </c>
      <c r="CF33" s="8"/>
      <c r="CG33" s="8"/>
      <c r="CH33" s="8"/>
      <c r="CI33" s="24" t="s">
        <v>318</v>
      </c>
      <c r="CJ33" s="8"/>
      <c r="CK33" s="8"/>
      <c r="CL33" s="8"/>
      <c r="CM33" s="8"/>
      <c r="CN33" s="8"/>
      <c r="CO33" s="8"/>
      <c r="CP33" s="8"/>
    </row>
    <row r="34" spans="1:94" ht="15.75" customHeight="1">
      <c r="A34" s="47">
        <v>46015</v>
      </c>
      <c r="B34" s="30">
        <v>28</v>
      </c>
      <c r="C34" s="42" t="s">
        <v>552</v>
      </c>
      <c r="D34" s="24" t="s">
        <v>553</v>
      </c>
      <c r="E34" s="24" t="s">
        <v>320</v>
      </c>
      <c r="F34" s="8"/>
      <c r="G34" s="24" t="s">
        <v>321</v>
      </c>
      <c r="H34" s="24" t="s">
        <v>322</v>
      </c>
      <c r="I34" s="24" t="s">
        <v>323</v>
      </c>
      <c r="J34" s="24" t="s">
        <v>45</v>
      </c>
      <c r="K34" s="24" t="s">
        <v>46</v>
      </c>
      <c r="L34" s="24" t="s">
        <v>324</v>
      </c>
      <c r="M34" s="61">
        <v>45718</v>
      </c>
      <c r="N34" s="36">
        <v>0.109</v>
      </c>
      <c r="O34" s="36">
        <v>0.54300000000000004</v>
      </c>
      <c r="P34" s="36">
        <v>0.745</v>
      </c>
      <c r="Q34" s="8"/>
      <c r="R34" s="8"/>
      <c r="S34" s="8"/>
      <c r="T34" s="8"/>
      <c r="U34" s="40">
        <v>0.11</v>
      </c>
      <c r="V34" s="36">
        <v>1.4E-2</v>
      </c>
      <c r="W34" s="8"/>
      <c r="X34" s="8"/>
      <c r="Y34" s="8"/>
      <c r="Z34" s="8"/>
      <c r="AA34" s="36">
        <v>0.34399999999999997</v>
      </c>
      <c r="AB34" s="36">
        <v>0.24099999999999999</v>
      </c>
      <c r="AC34" s="8"/>
      <c r="AD34" s="8"/>
      <c r="AE34" s="8"/>
      <c r="AF34" s="8"/>
      <c r="AG34" s="36">
        <v>3.0000000000000001E-3</v>
      </c>
      <c r="AH34" s="40">
        <v>0</v>
      </c>
      <c r="AI34" s="8"/>
      <c r="AJ34" s="8"/>
      <c r="AK34" s="8"/>
      <c r="AL34" s="8"/>
      <c r="AM34" s="40">
        <v>0</v>
      </c>
      <c r="AN34" s="40">
        <v>0</v>
      </c>
      <c r="AO34" s="8"/>
      <c r="AP34" s="8"/>
      <c r="AQ34" s="8"/>
      <c r="AR34" s="8"/>
      <c r="AS34" s="24">
        <v>45.8</v>
      </c>
      <c r="AT34" s="24">
        <v>21.5</v>
      </c>
      <c r="AU34" s="8"/>
      <c r="AV34" s="8"/>
      <c r="AW34" s="8"/>
      <c r="AX34" s="8"/>
      <c r="AY34" s="36">
        <v>0.98199999999999998</v>
      </c>
      <c r="AZ34" s="36">
        <v>0.99399999999999999</v>
      </c>
      <c r="BA34" s="8"/>
      <c r="BB34" s="8"/>
      <c r="BC34" s="8"/>
      <c r="BD34" s="8"/>
      <c r="BE34" s="36">
        <v>0.28599999999999998</v>
      </c>
      <c r="BF34" s="36">
        <v>0.25</v>
      </c>
      <c r="BG34" s="8"/>
      <c r="BH34" s="8"/>
      <c r="BI34" s="8"/>
      <c r="BJ34" s="8"/>
      <c r="BK34" s="36">
        <v>7.6999999999999999E-2</v>
      </c>
      <c r="BL34" s="36">
        <v>7.0000000000000007E-2</v>
      </c>
      <c r="BM34" s="8"/>
      <c r="BN34" s="8"/>
      <c r="BO34" s="8"/>
      <c r="BP34" s="8"/>
      <c r="BQ34" s="24">
        <v>1</v>
      </c>
      <c r="BR34" s="24">
        <v>0</v>
      </c>
      <c r="BS34" s="8"/>
      <c r="BT34" s="8"/>
      <c r="BU34" s="8"/>
      <c r="BV34" s="8"/>
      <c r="BW34" s="24" t="s">
        <v>325</v>
      </c>
      <c r="BX34" s="24" t="s">
        <v>554</v>
      </c>
      <c r="BY34" s="8"/>
      <c r="BZ34" s="8"/>
      <c r="CA34" s="8"/>
      <c r="CB34" s="8"/>
      <c r="CC34" s="24" t="s">
        <v>326</v>
      </c>
      <c r="CD34" s="24" t="s">
        <v>326</v>
      </c>
      <c r="CE34" s="8"/>
      <c r="CF34" s="8"/>
      <c r="CG34" s="8"/>
      <c r="CH34" s="8"/>
      <c r="CI34" s="24" t="s">
        <v>327</v>
      </c>
      <c r="CJ34" s="8"/>
      <c r="CK34" s="8"/>
      <c r="CL34" s="8"/>
      <c r="CM34" s="8"/>
      <c r="CN34" s="8"/>
      <c r="CO34" s="8"/>
      <c r="CP34" s="8"/>
    </row>
    <row r="35" spans="1:94" ht="15.75" customHeight="1">
      <c r="A35" s="47">
        <v>46017</v>
      </c>
      <c r="B35" s="30">
        <v>29</v>
      </c>
      <c r="C35" s="42" t="s">
        <v>607</v>
      </c>
      <c r="D35" s="24" t="s">
        <v>88</v>
      </c>
      <c r="E35" s="24" t="s">
        <v>329</v>
      </c>
      <c r="F35" s="24" t="s">
        <v>330</v>
      </c>
      <c r="G35" s="8"/>
      <c r="H35" s="24" t="s">
        <v>331</v>
      </c>
      <c r="I35" s="24" t="s">
        <v>88</v>
      </c>
      <c r="J35" s="24" t="s">
        <v>332</v>
      </c>
      <c r="K35" s="24" t="s">
        <v>46</v>
      </c>
      <c r="L35" s="24" t="s">
        <v>333</v>
      </c>
      <c r="M35" s="61">
        <v>46083</v>
      </c>
      <c r="N35" s="36">
        <v>0.89400000000000002</v>
      </c>
      <c r="O35" s="36">
        <v>0.85799999999999998</v>
      </c>
      <c r="P35" s="8"/>
      <c r="Q35" s="8"/>
      <c r="R35" s="8"/>
      <c r="S35" s="8"/>
      <c r="T35" s="8"/>
      <c r="U35" s="36">
        <v>3.0000000000000001E-3</v>
      </c>
      <c r="V35" s="36">
        <v>7.0000000000000001E-3</v>
      </c>
      <c r="W35" s="8"/>
      <c r="X35" s="8"/>
      <c r="Y35" s="8"/>
      <c r="Z35" s="8"/>
      <c r="AA35" s="40">
        <v>7.0000000000000007E-2</v>
      </c>
      <c r="AB35" s="40">
        <v>6.4000000000000001E-2</v>
      </c>
      <c r="AC35" s="8"/>
      <c r="AD35" s="8"/>
      <c r="AE35" s="8"/>
      <c r="AF35" s="8"/>
      <c r="AG35" s="36">
        <v>2.8000000000000001E-2</v>
      </c>
      <c r="AH35" s="36">
        <v>6.2E-2</v>
      </c>
      <c r="AI35" s="8"/>
      <c r="AJ35" s="8"/>
      <c r="AK35" s="8"/>
      <c r="AL35" s="8"/>
      <c r="AM35" s="36">
        <v>5.0000000000000001E-3</v>
      </c>
      <c r="AN35" s="36">
        <v>8.9999999999999993E-3</v>
      </c>
      <c r="AO35" s="8"/>
      <c r="AP35" s="8"/>
      <c r="AQ35" s="8"/>
      <c r="AR35" s="8"/>
      <c r="AS35" s="24">
        <v>14.3</v>
      </c>
      <c r="AT35" s="24">
        <v>23.8</v>
      </c>
      <c r="AU35" s="8"/>
      <c r="AV35" s="8"/>
      <c r="AW35" s="8"/>
      <c r="AX35" s="8"/>
      <c r="AY35" s="40">
        <v>0.26</v>
      </c>
      <c r="AZ35" s="36">
        <v>0.39600000000000002</v>
      </c>
      <c r="BA35" s="8"/>
      <c r="BB35" s="8"/>
      <c r="BC35" s="8"/>
      <c r="BD35" s="8"/>
      <c r="BE35" s="36">
        <v>0.28699999999999998</v>
      </c>
      <c r="BF35" s="36">
        <v>0.32200000000000001</v>
      </c>
      <c r="BG35" s="8"/>
      <c r="BH35" s="8"/>
      <c r="BI35" s="8"/>
      <c r="BJ35" s="8"/>
      <c r="BK35" s="36">
        <v>6.2E-2</v>
      </c>
      <c r="BL35" s="24" t="s">
        <v>530</v>
      </c>
      <c r="BM35" s="8"/>
      <c r="BN35" s="8"/>
      <c r="BO35" s="8"/>
      <c r="BP35" s="8"/>
      <c r="BQ35" s="24">
        <v>11</v>
      </c>
      <c r="BR35" s="24">
        <v>12</v>
      </c>
      <c r="BS35" s="8"/>
      <c r="BT35" s="8"/>
      <c r="BU35" s="8"/>
      <c r="BV35" s="8"/>
      <c r="BW35" s="24" t="s">
        <v>325</v>
      </c>
      <c r="BX35" s="24" t="s">
        <v>608</v>
      </c>
      <c r="BY35" s="8"/>
      <c r="BZ35" s="8"/>
      <c r="CA35" s="8"/>
      <c r="CB35" s="8"/>
      <c r="CC35" s="24" t="s">
        <v>334</v>
      </c>
      <c r="CD35" s="24" t="s">
        <v>609</v>
      </c>
      <c r="CE35" s="8"/>
      <c r="CF35" s="8"/>
      <c r="CG35" s="8"/>
      <c r="CH35" s="8"/>
      <c r="CI35" s="24" t="s">
        <v>610</v>
      </c>
    </row>
    <row r="36" spans="1:94" ht="15.75" customHeight="1">
      <c r="A36" s="24" t="s">
        <v>335</v>
      </c>
      <c r="B36" s="30">
        <v>30</v>
      </c>
      <c r="C36" s="42" t="s">
        <v>611</v>
      </c>
      <c r="D36" s="24"/>
      <c r="E36" s="24" t="s">
        <v>337</v>
      </c>
      <c r="F36" s="24" t="s">
        <v>338</v>
      </c>
      <c r="G36" s="8"/>
      <c r="H36" s="24" t="s">
        <v>339</v>
      </c>
      <c r="I36" s="24" t="s">
        <v>58</v>
      </c>
      <c r="J36" s="24" t="s">
        <v>73</v>
      </c>
      <c r="K36" s="24" t="s">
        <v>340</v>
      </c>
      <c r="L36" s="24" t="s">
        <v>341</v>
      </c>
      <c r="M36" s="61">
        <v>46083</v>
      </c>
      <c r="N36" s="36">
        <v>0.109</v>
      </c>
      <c r="O36" s="36">
        <v>0.41399999999999998</v>
      </c>
      <c r="P36" s="36">
        <v>0.66500000000000004</v>
      </c>
      <c r="Q36" s="8"/>
      <c r="R36" s="8"/>
      <c r="S36" s="8"/>
      <c r="T36" s="8"/>
      <c r="U36" s="36">
        <v>0.27700000000000002</v>
      </c>
      <c r="V36" s="36">
        <v>0.14799999999999999</v>
      </c>
      <c r="W36" s="8"/>
      <c r="X36" s="8"/>
      <c r="Y36" s="8"/>
      <c r="Z36" s="8"/>
      <c r="AA36" s="36">
        <v>0.28899999999999998</v>
      </c>
      <c r="AB36" s="36">
        <v>0.17199999999999999</v>
      </c>
      <c r="AC36" s="8"/>
      <c r="AD36" s="8"/>
      <c r="AE36" s="8"/>
      <c r="AF36" s="8"/>
      <c r="AG36" s="40">
        <v>0.02</v>
      </c>
      <c r="AH36" s="36">
        <v>1.4999999999999999E-2</v>
      </c>
      <c r="AI36" s="8"/>
      <c r="AJ36" s="8"/>
      <c r="AK36" s="8"/>
      <c r="AL36" s="8"/>
      <c r="AM36" s="40">
        <v>0</v>
      </c>
      <c r="AN36" s="40">
        <v>0</v>
      </c>
      <c r="AO36" s="8"/>
      <c r="AP36" s="8"/>
      <c r="AQ36" s="8"/>
      <c r="AR36" s="8"/>
      <c r="AS36" s="24">
        <v>72.2</v>
      </c>
      <c r="AT36" s="24">
        <v>41</v>
      </c>
      <c r="AU36" s="8"/>
      <c r="AV36" s="8"/>
      <c r="AW36" s="8"/>
      <c r="AX36" s="8"/>
      <c r="AY36" s="36">
        <v>0.72699999999999998</v>
      </c>
      <c r="AZ36" s="36">
        <v>0.73699999999999999</v>
      </c>
      <c r="BA36" s="8"/>
      <c r="BB36" s="8"/>
      <c r="BC36" s="8"/>
      <c r="BD36" s="8"/>
      <c r="BE36" s="36">
        <v>0.41599999999999998</v>
      </c>
      <c r="BF36" s="36">
        <v>0.48799999999999999</v>
      </c>
      <c r="BG36" s="8"/>
      <c r="BH36" s="8"/>
      <c r="BI36" s="8"/>
      <c r="BJ36" s="8"/>
      <c r="BK36" s="36">
        <v>0.08</v>
      </c>
      <c r="BL36" s="36">
        <v>7.2999999999999995E-2</v>
      </c>
      <c r="BM36" s="8"/>
      <c r="BN36" s="8"/>
      <c r="BO36" s="8"/>
      <c r="BP36" s="8"/>
      <c r="BQ36" s="24">
        <v>7</v>
      </c>
      <c r="BR36" s="24">
        <v>7</v>
      </c>
      <c r="BS36" s="8"/>
      <c r="BT36" s="8"/>
      <c r="BU36" s="8"/>
      <c r="BV36" s="8"/>
      <c r="BW36" s="24" t="s">
        <v>316</v>
      </c>
      <c r="BX36" s="24" t="s">
        <v>143</v>
      </c>
      <c r="BY36" s="8"/>
      <c r="BZ36" s="8"/>
      <c r="CA36" s="8"/>
      <c r="CB36" s="8"/>
      <c r="CC36" s="24" t="s">
        <v>342</v>
      </c>
      <c r="CD36" s="24" t="s">
        <v>343</v>
      </c>
      <c r="CE36" s="24" t="s">
        <v>612</v>
      </c>
      <c r="CF36" s="8"/>
      <c r="CG36" s="8"/>
      <c r="CH36" s="8"/>
      <c r="CI36" s="8"/>
    </row>
    <row r="37" spans="1:94" ht="15.75" customHeight="1">
      <c r="A37" s="63">
        <v>46036</v>
      </c>
      <c r="B37" s="30">
        <v>31</v>
      </c>
      <c r="C37" s="65" t="s">
        <v>639</v>
      </c>
      <c r="D37" s="24" t="s">
        <v>553</v>
      </c>
      <c r="E37" s="24" t="s">
        <v>349</v>
      </c>
      <c r="F37" s="8"/>
      <c r="G37" s="24" t="s">
        <v>350</v>
      </c>
      <c r="H37" s="24" t="s">
        <v>351</v>
      </c>
      <c r="I37" s="24" t="s">
        <v>323</v>
      </c>
      <c r="J37" s="24" t="s">
        <v>73</v>
      </c>
      <c r="K37" s="24" t="s">
        <v>340</v>
      </c>
      <c r="L37" s="24" t="s">
        <v>352</v>
      </c>
      <c r="M37" s="61">
        <v>46083</v>
      </c>
      <c r="N37" s="36">
        <v>0.13100000000000001</v>
      </c>
      <c r="O37" s="36">
        <v>0.51900000000000002</v>
      </c>
      <c r="P37" s="40">
        <v>0.65</v>
      </c>
      <c r="Q37" s="8"/>
      <c r="R37" s="8"/>
      <c r="S37" s="8"/>
      <c r="T37" s="8"/>
      <c r="U37" s="36">
        <v>0.20899999999999999</v>
      </c>
      <c r="V37" s="36">
        <v>0.19600000000000001</v>
      </c>
      <c r="W37" s="8"/>
      <c r="X37" s="8"/>
      <c r="Y37" s="8"/>
      <c r="Z37" s="8"/>
      <c r="AA37" s="36">
        <v>0.27200000000000002</v>
      </c>
      <c r="AB37" s="36">
        <v>0.153</v>
      </c>
      <c r="AC37" s="8"/>
      <c r="AD37" s="8"/>
      <c r="AE37" s="8"/>
      <c r="AF37" s="8"/>
      <c r="AG37" s="40">
        <v>0</v>
      </c>
      <c r="AH37" s="36">
        <v>1E-3</v>
      </c>
      <c r="AI37" s="8"/>
      <c r="AJ37" s="8"/>
      <c r="AK37" s="8"/>
      <c r="AL37" s="8"/>
      <c r="AM37" s="40">
        <v>0</v>
      </c>
      <c r="AN37" s="40">
        <v>0</v>
      </c>
      <c r="AO37" s="8"/>
      <c r="AP37" s="8"/>
      <c r="AQ37" s="8"/>
      <c r="AR37" s="8"/>
      <c r="AS37" s="24">
        <v>55.2</v>
      </c>
      <c r="AT37" s="24">
        <v>43.8</v>
      </c>
      <c r="AU37" s="8"/>
      <c r="AV37" s="8"/>
      <c r="AW37" s="8"/>
      <c r="AX37" s="8"/>
      <c r="AY37" s="40">
        <v>0.6</v>
      </c>
      <c r="AZ37" s="40">
        <v>0.52</v>
      </c>
      <c r="BA37" s="8"/>
      <c r="BB37" s="8"/>
      <c r="BC37" s="8"/>
      <c r="BD37" s="8"/>
      <c r="BE37" s="36">
        <v>0.38400000000000001</v>
      </c>
      <c r="BF37" s="36">
        <v>0.40799999999999997</v>
      </c>
      <c r="BG37" s="8"/>
      <c r="BH37" s="8"/>
      <c r="BI37" s="8"/>
      <c r="BJ37" s="8"/>
      <c r="BK37" s="36">
        <v>7.9000000000000001E-2</v>
      </c>
      <c r="BL37" s="36">
        <v>7.4999999999999997E-2</v>
      </c>
      <c r="BM37" s="8"/>
      <c r="BN37" s="8"/>
      <c r="BO37" s="8"/>
      <c r="BP37" s="8"/>
      <c r="BQ37" s="24">
        <v>0</v>
      </c>
      <c r="BR37" s="24">
        <v>0</v>
      </c>
      <c r="BS37" s="8"/>
      <c r="BT37" s="8"/>
      <c r="BU37" s="8"/>
      <c r="BV37" s="8"/>
      <c r="BW37" s="24" t="s">
        <v>112</v>
      </c>
      <c r="BX37" s="24" t="s">
        <v>112</v>
      </c>
      <c r="BY37" s="8"/>
      <c r="BZ37" s="8"/>
      <c r="CA37" s="8"/>
      <c r="CB37" s="8"/>
      <c r="CC37" s="24" t="s">
        <v>556</v>
      </c>
      <c r="CD37" s="24" t="s">
        <v>640</v>
      </c>
      <c r="CE37" s="8"/>
      <c r="CF37" s="8"/>
      <c r="CG37" s="8"/>
      <c r="CH37" s="8"/>
      <c r="CI37" s="24" t="s">
        <v>641</v>
      </c>
    </row>
    <row r="38" spans="1:94" ht="15.75" customHeight="1">
      <c r="A38" s="63">
        <v>46037</v>
      </c>
      <c r="B38" s="30">
        <v>32</v>
      </c>
      <c r="C38" s="31" t="s">
        <v>557</v>
      </c>
      <c r="D38" s="24" t="s">
        <v>128</v>
      </c>
      <c r="E38" s="24" t="s">
        <v>354</v>
      </c>
      <c r="F38" s="8"/>
      <c r="G38" s="24" t="s">
        <v>355</v>
      </c>
      <c r="H38" s="24" t="s">
        <v>356</v>
      </c>
      <c r="I38" s="24" t="s">
        <v>58</v>
      </c>
      <c r="J38" s="24" t="s">
        <v>73</v>
      </c>
      <c r="K38" s="24" t="s">
        <v>46</v>
      </c>
      <c r="L38" s="24" t="s">
        <v>357</v>
      </c>
      <c r="M38" s="24">
        <v>6</v>
      </c>
      <c r="N38" s="36">
        <v>0.11600000000000001</v>
      </c>
      <c r="O38" s="36">
        <v>0.72299999999999998</v>
      </c>
      <c r="P38" s="8"/>
      <c r="Q38" s="8"/>
      <c r="R38" s="8"/>
      <c r="S38" s="8"/>
      <c r="T38" s="8"/>
      <c r="U38" s="36">
        <v>5.6000000000000001E-2</v>
      </c>
      <c r="V38" s="8"/>
      <c r="W38" s="8"/>
      <c r="X38" s="8"/>
      <c r="Y38" s="8"/>
      <c r="Z38" s="8"/>
      <c r="AA38" s="36">
        <v>0.20799999999999999</v>
      </c>
      <c r="AB38" s="8"/>
      <c r="AC38" s="8"/>
      <c r="AD38" s="8"/>
      <c r="AE38" s="8"/>
      <c r="AF38" s="8"/>
      <c r="AG38" s="36">
        <v>8.9999999999999993E-3</v>
      </c>
      <c r="AH38" s="8"/>
      <c r="AI38" s="8"/>
      <c r="AJ38" s="8"/>
      <c r="AK38" s="8"/>
      <c r="AL38" s="8"/>
      <c r="AM38" s="36">
        <v>4.0000000000000001E-3</v>
      </c>
      <c r="AN38" s="8"/>
      <c r="AO38" s="8"/>
      <c r="AP38" s="8"/>
      <c r="AQ38" s="8"/>
      <c r="AR38" s="8"/>
      <c r="AS38" s="24">
        <v>29</v>
      </c>
      <c r="AT38" s="8"/>
      <c r="AU38" s="8"/>
      <c r="AV38" s="8"/>
      <c r="AW38" s="8"/>
      <c r="AX38" s="8"/>
      <c r="AY38" s="36">
        <v>0.56200000000000006</v>
      </c>
      <c r="AZ38" s="8"/>
      <c r="BA38" s="8"/>
      <c r="BB38" s="8"/>
      <c r="BC38" s="8"/>
      <c r="BD38" s="8"/>
      <c r="BE38" s="36">
        <v>0.35499999999999998</v>
      </c>
      <c r="BF38" s="8"/>
      <c r="BG38" s="8"/>
      <c r="BH38" s="8"/>
      <c r="BI38" s="8"/>
      <c r="BJ38" s="8"/>
      <c r="BK38" s="36">
        <v>6.9000000000000006E-2</v>
      </c>
      <c r="BL38" s="8"/>
      <c r="BM38" s="8"/>
      <c r="BN38" s="8"/>
      <c r="BO38" s="8"/>
      <c r="BP38" s="8"/>
      <c r="BQ38" s="24">
        <v>5</v>
      </c>
      <c r="BR38" s="8"/>
      <c r="BS38" s="8"/>
      <c r="BT38" s="8"/>
      <c r="BU38" s="8"/>
      <c r="BV38" s="8"/>
      <c r="BW38" s="24" t="s">
        <v>558</v>
      </c>
      <c r="BX38" s="8"/>
      <c r="BY38" s="8"/>
      <c r="BZ38" s="8"/>
      <c r="CA38" s="8"/>
      <c r="CB38" s="8"/>
      <c r="CC38" s="24" t="s">
        <v>559</v>
      </c>
      <c r="CD38" s="8"/>
      <c r="CE38" s="8"/>
      <c r="CF38" s="8"/>
      <c r="CG38" s="8"/>
      <c r="CH38" s="8"/>
      <c r="CI38" s="8"/>
    </row>
    <row r="39" spans="1:94" ht="18.75" customHeight="1">
      <c r="A39" s="63">
        <v>46050</v>
      </c>
      <c r="B39" s="30">
        <v>33</v>
      </c>
      <c r="C39" s="28" t="s">
        <v>642</v>
      </c>
      <c r="D39" s="24" t="s">
        <v>215</v>
      </c>
      <c r="E39" s="24" t="s">
        <v>560</v>
      </c>
      <c r="F39" s="24" t="s">
        <v>561</v>
      </c>
      <c r="G39" s="8"/>
      <c r="H39" s="24" t="s">
        <v>562</v>
      </c>
      <c r="I39" s="24" t="s">
        <v>499</v>
      </c>
      <c r="J39" s="24" t="s">
        <v>73</v>
      </c>
      <c r="K39" s="24" t="s">
        <v>563</v>
      </c>
      <c r="L39" s="24" t="s">
        <v>564</v>
      </c>
      <c r="M39" s="24">
        <v>3</v>
      </c>
      <c r="N39" s="36">
        <v>6.9900000000000004E-2</v>
      </c>
      <c r="O39" s="36">
        <v>0.89600000000000002</v>
      </c>
      <c r="P39" s="8"/>
      <c r="Q39" s="8"/>
      <c r="R39" s="8"/>
      <c r="S39" s="8"/>
      <c r="T39" s="8"/>
      <c r="U39" s="40">
        <v>0</v>
      </c>
      <c r="V39" s="8"/>
      <c r="W39" s="8"/>
      <c r="X39" s="8"/>
      <c r="Y39" s="8"/>
      <c r="Z39" s="8"/>
      <c r="AA39" s="36">
        <v>9.0999999999999998E-2</v>
      </c>
      <c r="AB39" s="8"/>
      <c r="AC39" s="8"/>
      <c r="AD39" s="8"/>
      <c r="AE39" s="8"/>
      <c r="AF39" s="8"/>
      <c r="AG39" s="36">
        <v>1.2999999999999999E-2</v>
      </c>
      <c r="AH39" s="8"/>
      <c r="AI39" s="8"/>
      <c r="AJ39" s="8"/>
      <c r="AK39" s="8"/>
      <c r="AL39" s="8"/>
      <c r="AM39" s="36">
        <v>0</v>
      </c>
      <c r="AN39" s="8"/>
      <c r="AO39" s="8"/>
      <c r="AP39" s="8"/>
      <c r="AQ39" s="8"/>
      <c r="AR39" s="8"/>
      <c r="AS39" s="24">
        <v>10.4</v>
      </c>
      <c r="AT39" s="8"/>
      <c r="AU39" s="8"/>
      <c r="AV39" s="8"/>
      <c r="AW39" s="8"/>
      <c r="AX39" s="8"/>
      <c r="AY39" s="36">
        <v>0.90300000000000002</v>
      </c>
      <c r="AZ39" s="8"/>
      <c r="BA39" s="8"/>
      <c r="BB39" s="8"/>
      <c r="BC39" s="8"/>
      <c r="BD39" s="8"/>
      <c r="BE39" s="36">
        <v>0.28999999999999998</v>
      </c>
      <c r="BF39" s="8"/>
      <c r="BG39" s="8"/>
      <c r="BH39" s="8"/>
      <c r="BI39" s="8"/>
      <c r="BJ39" s="8"/>
      <c r="BK39" s="36">
        <v>6.3E-2</v>
      </c>
      <c r="BL39" s="8"/>
      <c r="BM39" s="8"/>
      <c r="BN39" s="8"/>
      <c r="BO39" s="8"/>
      <c r="BP39" s="8"/>
      <c r="BQ39" s="24">
        <v>6</v>
      </c>
      <c r="BR39" s="8"/>
      <c r="BS39" s="8"/>
      <c r="BT39" s="8"/>
      <c r="BU39" s="8"/>
      <c r="BV39" s="8"/>
      <c r="BW39" s="24" t="s">
        <v>48</v>
      </c>
      <c r="BX39" s="8"/>
      <c r="BY39" s="8"/>
      <c r="BZ39" s="8"/>
      <c r="CA39" s="8"/>
      <c r="CB39" s="8"/>
      <c r="CC39" s="24" t="s">
        <v>643</v>
      </c>
      <c r="CD39" s="8"/>
    </row>
    <row r="40" spans="1:94" ht="15.75" customHeight="1">
      <c r="A40" s="74">
        <v>46052</v>
      </c>
      <c r="B40" s="30">
        <v>34</v>
      </c>
      <c r="C40" s="28" t="s">
        <v>644</v>
      </c>
      <c r="D40" s="24" t="s">
        <v>88</v>
      </c>
      <c r="E40" s="24" t="s">
        <v>565</v>
      </c>
      <c r="F40" s="8"/>
      <c r="G40" s="24" t="s">
        <v>566</v>
      </c>
      <c r="H40" s="24" t="s">
        <v>567</v>
      </c>
      <c r="I40" s="24" t="s">
        <v>88</v>
      </c>
      <c r="J40" s="24" t="s">
        <v>45</v>
      </c>
      <c r="K40" s="24" t="s">
        <v>563</v>
      </c>
      <c r="L40" s="24" t="s">
        <v>568</v>
      </c>
      <c r="M40" s="24">
        <v>6</v>
      </c>
      <c r="N40" s="36">
        <v>0.13800000000000001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</row>
    <row r="41" spans="1:94" ht="15.75" customHeight="1">
      <c r="B41" s="1"/>
      <c r="C41" s="1"/>
    </row>
    <row r="42" spans="1:94" ht="15.75" customHeight="1">
      <c r="B42" s="1"/>
      <c r="C42" s="1"/>
    </row>
    <row r="43" spans="1:94" ht="15.75" customHeight="1">
      <c r="B43" s="1"/>
      <c r="C43" s="1"/>
    </row>
    <row r="44" spans="1:94" ht="15.75" customHeight="1">
      <c r="B44" s="1"/>
      <c r="C44" s="1"/>
    </row>
    <row r="45" spans="1:94" ht="15.75" customHeight="1">
      <c r="B45" s="1"/>
      <c r="C45" s="1"/>
    </row>
    <row r="46" spans="1:94" ht="15.75" customHeight="1">
      <c r="B46" s="1"/>
      <c r="C46" s="1"/>
    </row>
    <row r="47" spans="1:94" ht="15.75" customHeight="1">
      <c r="B47" s="1"/>
      <c r="C47" s="1"/>
    </row>
    <row r="48" spans="1:94" ht="15.75" customHeight="1">
      <c r="B48" s="1"/>
      <c r="C48" s="1"/>
    </row>
    <row r="49" spans="2:3" ht="15.75" customHeight="1">
      <c r="B49" s="1"/>
      <c r="C49" s="1"/>
    </row>
    <row r="50" spans="2:3" ht="15.75" customHeight="1">
      <c r="B50" s="1"/>
      <c r="C50" s="1"/>
    </row>
    <row r="51" spans="2:3" ht="15.75" customHeight="1">
      <c r="B51" s="1"/>
      <c r="C51" s="1"/>
    </row>
    <row r="52" spans="2:3" ht="15.75" customHeight="1">
      <c r="B52" s="1"/>
      <c r="C52" s="1"/>
    </row>
    <row r="53" spans="2:3" ht="15.75" customHeight="1">
      <c r="B53" s="1"/>
      <c r="C53" s="1"/>
    </row>
    <row r="54" spans="2:3" ht="15.75" customHeight="1">
      <c r="B54" s="1"/>
      <c r="C54" s="1"/>
    </row>
    <row r="55" spans="2:3" ht="15.75" customHeight="1">
      <c r="B55" s="1"/>
      <c r="C55" s="1"/>
    </row>
    <row r="56" spans="2:3" ht="15.75" customHeight="1">
      <c r="B56" s="1"/>
      <c r="C56" s="1"/>
    </row>
    <row r="57" spans="2:3" ht="15.75" customHeight="1">
      <c r="B57" s="1"/>
      <c r="C57" s="1"/>
    </row>
    <row r="58" spans="2:3" ht="15.75" customHeight="1">
      <c r="B58" s="1"/>
      <c r="C58" s="1"/>
    </row>
    <row r="59" spans="2:3" ht="15.75" customHeight="1">
      <c r="B59" s="1"/>
      <c r="C59" s="1"/>
    </row>
    <row r="60" spans="2:3" ht="15.75" customHeight="1">
      <c r="B60" s="1"/>
      <c r="C60" s="1"/>
    </row>
    <row r="61" spans="2:3" ht="15.75" customHeight="1">
      <c r="B61" s="1"/>
      <c r="C61" s="1"/>
    </row>
    <row r="62" spans="2:3" ht="15.75" customHeight="1">
      <c r="B62" s="1"/>
      <c r="C62" s="1"/>
    </row>
    <row r="63" spans="2:3" ht="15.75" customHeight="1">
      <c r="B63" s="1"/>
      <c r="C63" s="1"/>
    </row>
    <row r="64" spans="2:3" ht="15.75" customHeight="1">
      <c r="B64" s="1"/>
      <c r="C64" s="1"/>
    </row>
    <row r="65" spans="2:3" ht="15.75" customHeight="1">
      <c r="B65" s="1"/>
      <c r="C65" s="1"/>
    </row>
    <row r="66" spans="2:3" ht="15.75" customHeight="1">
      <c r="B66" s="1"/>
      <c r="C66" s="1"/>
    </row>
    <row r="67" spans="2:3" ht="15.75" customHeight="1">
      <c r="B67" s="1"/>
      <c r="C67" s="1"/>
    </row>
    <row r="68" spans="2:3" ht="15.75" customHeight="1">
      <c r="B68" s="1"/>
      <c r="C68" s="1"/>
    </row>
    <row r="69" spans="2:3" ht="15.75" customHeight="1">
      <c r="B69" s="1"/>
      <c r="C69" s="1"/>
    </row>
    <row r="70" spans="2:3" ht="15.75" customHeight="1">
      <c r="B70" s="1"/>
      <c r="C70" s="1"/>
    </row>
    <row r="71" spans="2:3" ht="15.75" customHeight="1">
      <c r="B71" s="1"/>
      <c r="C71" s="1"/>
    </row>
    <row r="72" spans="2:3" ht="15.75" customHeight="1">
      <c r="B72" s="1"/>
      <c r="C72" s="1"/>
    </row>
    <row r="73" spans="2:3" ht="15.75" customHeight="1">
      <c r="B73" s="1"/>
      <c r="C73" s="1"/>
    </row>
    <row r="74" spans="2:3" ht="15.75" customHeight="1">
      <c r="B74" s="1"/>
      <c r="C74" s="1"/>
    </row>
    <row r="75" spans="2:3" ht="15.75" customHeight="1">
      <c r="B75" s="1"/>
      <c r="C75" s="1"/>
    </row>
    <row r="76" spans="2:3" ht="15.75" customHeight="1">
      <c r="B76" s="1"/>
      <c r="C76" s="1"/>
    </row>
    <row r="77" spans="2:3" ht="15.75" customHeight="1">
      <c r="B77" s="1"/>
      <c r="C77" s="1"/>
    </row>
    <row r="78" spans="2:3" ht="15.75" customHeight="1">
      <c r="B78" s="1"/>
      <c r="C78" s="1"/>
    </row>
    <row r="79" spans="2:3" ht="15.75" customHeight="1">
      <c r="B79" s="1"/>
      <c r="C79" s="1"/>
    </row>
    <row r="80" spans="2:3" ht="15.75" customHeight="1">
      <c r="B80" s="1"/>
      <c r="C80" s="1"/>
    </row>
    <row r="81" spans="2:3" ht="15.75" customHeight="1">
      <c r="B81" s="1"/>
      <c r="C81" s="1"/>
    </row>
    <row r="82" spans="2:3" ht="15.75" customHeight="1">
      <c r="B82" s="1"/>
      <c r="C82" s="1"/>
    </row>
    <row r="83" spans="2:3" ht="15.75" customHeight="1">
      <c r="B83" s="1"/>
      <c r="C83" s="1"/>
    </row>
    <row r="84" spans="2:3" ht="15.75" customHeight="1">
      <c r="B84" s="1"/>
      <c r="C84" s="1"/>
    </row>
    <row r="85" spans="2:3" ht="15.75" customHeight="1">
      <c r="B85" s="1"/>
      <c r="C85" s="1"/>
    </row>
    <row r="86" spans="2:3" ht="15.75" customHeight="1">
      <c r="B86" s="1"/>
      <c r="C86" s="1"/>
    </row>
    <row r="87" spans="2:3" ht="15.75" customHeight="1">
      <c r="B87" s="1"/>
      <c r="C87" s="1"/>
    </row>
    <row r="88" spans="2:3" ht="15.75" customHeight="1">
      <c r="B88" s="1"/>
      <c r="C88" s="1"/>
    </row>
    <row r="89" spans="2:3" ht="15.75" customHeight="1">
      <c r="B89" s="1"/>
      <c r="C89" s="1"/>
    </row>
    <row r="90" spans="2:3" ht="15.75" customHeight="1">
      <c r="B90" s="1"/>
      <c r="C90" s="1"/>
    </row>
    <row r="91" spans="2:3" ht="15.75" customHeight="1">
      <c r="B91" s="1"/>
      <c r="C91" s="1"/>
    </row>
    <row r="92" spans="2:3" ht="15.75" customHeight="1">
      <c r="B92" s="1"/>
      <c r="C92" s="1"/>
    </row>
    <row r="93" spans="2:3" ht="15.75" customHeight="1">
      <c r="B93" s="1"/>
      <c r="C93" s="1"/>
    </row>
    <row r="94" spans="2:3" ht="15.75" customHeight="1">
      <c r="B94" s="1"/>
      <c r="C94" s="1"/>
    </row>
    <row r="95" spans="2:3" ht="15.75" customHeight="1">
      <c r="B95" s="1"/>
      <c r="C95" s="1"/>
    </row>
    <row r="96" spans="2:3" ht="15.75" customHeight="1">
      <c r="B96" s="1"/>
      <c r="C96" s="1"/>
    </row>
    <row r="97" spans="2:3" ht="15.75" customHeight="1">
      <c r="B97" s="1"/>
      <c r="C97" s="1"/>
    </row>
    <row r="98" spans="2:3" ht="15.75" customHeight="1">
      <c r="B98" s="1"/>
      <c r="C98" s="1"/>
    </row>
    <row r="99" spans="2:3" ht="15.75" customHeight="1">
      <c r="B99" s="1"/>
      <c r="C99" s="1"/>
    </row>
    <row r="100" spans="2:3" ht="15.75" customHeight="1">
      <c r="B100" s="1"/>
      <c r="C100" s="1"/>
    </row>
    <row r="101" spans="2:3" ht="15.75" customHeight="1">
      <c r="B101" s="1"/>
      <c r="C101" s="1"/>
    </row>
    <row r="102" spans="2:3" ht="15.75" customHeight="1">
      <c r="B102" s="1"/>
      <c r="C102" s="1"/>
    </row>
    <row r="103" spans="2:3" ht="15.75" customHeight="1">
      <c r="B103" s="1"/>
      <c r="C103" s="1"/>
    </row>
    <row r="104" spans="2:3" ht="15.75" customHeight="1">
      <c r="B104" s="1"/>
      <c r="C104" s="1"/>
    </row>
    <row r="105" spans="2:3" ht="15.75" customHeight="1">
      <c r="B105" s="1"/>
      <c r="C105" s="1"/>
    </row>
    <row r="106" spans="2:3" ht="15.75" customHeight="1">
      <c r="B106" s="1"/>
      <c r="C106" s="1"/>
    </row>
    <row r="107" spans="2:3" ht="15.75" customHeight="1">
      <c r="B107" s="1"/>
      <c r="C107" s="1"/>
    </row>
    <row r="108" spans="2:3" ht="15.75" customHeight="1">
      <c r="B108" s="1"/>
      <c r="C108" s="1"/>
    </row>
    <row r="109" spans="2:3" ht="15.75" customHeight="1">
      <c r="B109" s="1"/>
      <c r="C109" s="1"/>
    </row>
    <row r="110" spans="2:3" ht="15.75" customHeight="1">
      <c r="B110" s="1"/>
      <c r="C110" s="1"/>
    </row>
    <row r="111" spans="2:3" ht="15.75" customHeight="1">
      <c r="B111" s="1"/>
      <c r="C111" s="1"/>
    </row>
    <row r="112" spans="2:3" ht="15.75" customHeight="1">
      <c r="B112" s="1"/>
      <c r="C112" s="1"/>
    </row>
    <row r="113" spans="2:3" ht="15.75" customHeight="1">
      <c r="B113" s="1"/>
      <c r="C113" s="1"/>
    </row>
    <row r="114" spans="2:3" ht="15.75" customHeight="1">
      <c r="B114" s="1"/>
      <c r="C114" s="1"/>
    </row>
    <row r="115" spans="2:3" ht="15.75" customHeight="1">
      <c r="B115" s="1"/>
      <c r="C115" s="1"/>
    </row>
    <row r="116" spans="2:3" ht="15.75" customHeight="1">
      <c r="B116" s="1"/>
      <c r="C116" s="1"/>
    </row>
    <row r="117" spans="2:3" ht="15.75" customHeight="1">
      <c r="B117" s="1"/>
      <c r="C117" s="1"/>
    </row>
    <row r="118" spans="2:3" ht="15.75" customHeight="1">
      <c r="B118" s="1"/>
      <c r="C118" s="1"/>
    </row>
    <row r="119" spans="2:3" ht="15.75" customHeight="1">
      <c r="B119" s="1"/>
      <c r="C119" s="1"/>
    </row>
    <row r="120" spans="2:3" ht="15.75" customHeight="1">
      <c r="B120" s="1"/>
      <c r="C120" s="1"/>
    </row>
    <row r="121" spans="2:3" ht="15.75" customHeight="1">
      <c r="B121" s="1"/>
      <c r="C121" s="1"/>
    </row>
    <row r="122" spans="2:3" ht="15.75" customHeight="1">
      <c r="B122" s="1"/>
      <c r="C122" s="1"/>
    </row>
    <row r="123" spans="2:3" ht="15.75" customHeight="1">
      <c r="B123" s="1"/>
      <c r="C123" s="1"/>
    </row>
    <row r="124" spans="2:3" ht="15.75" customHeight="1">
      <c r="B124" s="1"/>
      <c r="C124" s="1"/>
    </row>
    <row r="125" spans="2:3" ht="15.75" customHeight="1">
      <c r="B125" s="1"/>
      <c r="C125" s="1"/>
    </row>
    <row r="126" spans="2:3" ht="15.75" customHeight="1">
      <c r="B126" s="1"/>
      <c r="C126" s="1"/>
    </row>
    <row r="127" spans="2:3" ht="15.75" customHeight="1">
      <c r="B127" s="1"/>
      <c r="C127" s="1"/>
    </row>
    <row r="128" spans="2:3" ht="15.75" customHeight="1">
      <c r="B128" s="1"/>
      <c r="C128" s="1"/>
    </row>
    <row r="129" spans="2:3" ht="15.75" customHeight="1">
      <c r="B129" s="1"/>
      <c r="C129" s="1"/>
    </row>
    <row r="130" spans="2:3" ht="15.75" customHeight="1">
      <c r="B130" s="1"/>
      <c r="C130" s="1"/>
    </row>
    <row r="131" spans="2:3" ht="15.75" customHeight="1">
      <c r="B131" s="1"/>
      <c r="C131" s="1"/>
    </row>
    <row r="132" spans="2:3" ht="15.75" customHeight="1">
      <c r="B132" s="1"/>
      <c r="C132" s="1"/>
    </row>
    <row r="133" spans="2:3" ht="15.75" customHeight="1">
      <c r="B133" s="1"/>
      <c r="C133" s="1"/>
    </row>
    <row r="134" spans="2:3" ht="15.75" customHeight="1">
      <c r="B134" s="1"/>
      <c r="C134" s="1"/>
    </row>
    <row r="135" spans="2:3" ht="15.75" customHeight="1">
      <c r="B135" s="1"/>
      <c r="C135" s="1"/>
    </row>
    <row r="136" spans="2:3" ht="15.75" customHeight="1">
      <c r="B136" s="1"/>
      <c r="C136" s="1"/>
    </row>
    <row r="137" spans="2:3" ht="15.75" customHeight="1">
      <c r="B137" s="1"/>
      <c r="C137" s="1"/>
    </row>
    <row r="138" spans="2:3" ht="15.75" customHeight="1">
      <c r="B138" s="1"/>
      <c r="C138" s="1"/>
    </row>
    <row r="139" spans="2:3" ht="15.75" customHeight="1">
      <c r="B139" s="1"/>
      <c r="C139" s="1"/>
    </row>
    <row r="140" spans="2:3" ht="15.75" customHeight="1">
      <c r="B140" s="1"/>
      <c r="C140" s="1"/>
    </row>
    <row r="141" spans="2:3" ht="15.75" customHeight="1">
      <c r="B141" s="1"/>
      <c r="C141" s="1"/>
    </row>
    <row r="142" spans="2:3" ht="15.75" customHeight="1">
      <c r="B142" s="1"/>
      <c r="C142" s="1"/>
    </row>
    <row r="143" spans="2:3" ht="15.75" customHeight="1">
      <c r="B143" s="1"/>
      <c r="C143" s="1"/>
    </row>
    <row r="144" spans="2:3" ht="15.75" customHeight="1">
      <c r="B144" s="1"/>
      <c r="C144" s="1"/>
    </row>
    <row r="145" spans="2:3" ht="15.75" customHeight="1">
      <c r="B145" s="1"/>
      <c r="C145" s="1"/>
    </row>
    <row r="146" spans="2:3" ht="15.75" customHeight="1">
      <c r="B146" s="1"/>
      <c r="C146" s="1"/>
    </row>
    <row r="147" spans="2:3" ht="15.75" customHeight="1">
      <c r="B147" s="1"/>
      <c r="C147" s="1"/>
    </row>
    <row r="148" spans="2:3" ht="15.75" customHeight="1">
      <c r="B148" s="1"/>
      <c r="C148" s="1"/>
    </row>
    <row r="149" spans="2:3" ht="15.75" customHeight="1">
      <c r="B149" s="1"/>
      <c r="C149" s="1"/>
    </row>
    <row r="150" spans="2:3" ht="15.75" customHeight="1">
      <c r="B150" s="1"/>
      <c r="C150" s="1"/>
    </row>
    <row r="151" spans="2:3" ht="15.75" customHeight="1">
      <c r="B151" s="1"/>
      <c r="C151" s="1"/>
    </row>
    <row r="152" spans="2:3" ht="15.75" customHeight="1">
      <c r="B152" s="1"/>
      <c r="C152" s="1"/>
    </row>
    <row r="153" spans="2:3" ht="15.75" customHeight="1">
      <c r="B153" s="1"/>
      <c r="C153" s="1"/>
    </row>
    <row r="154" spans="2:3" ht="15.75" customHeight="1">
      <c r="B154" s="1"/>
      <c r="C154" s="1"/>
    </row>
    <row r="155" spans="2:3" ht="15.75" customHeight="1">
      <c r="B155" s="1"/>
      <c r="C155" s="1"/>
    </row>
    <row r="156" spans="2:3" ht="15.75" customHeight="1">
      <c r="B156" s="1"/>
      <c r="C156" s="1"/>
    </row>
    <row r="157" spans="2:3" ht="15.75" customHeight="1">
      <c r="B157" s="1"/>
      <c r="C157" s="1"/>
    </row>
    <row r="158" spans="2:3" ht="15.75" customHeight="1">
      <c r="B158" s="1"/>
      <c r="C158" s="1"/>
    </row>
    <row r="159" spans="2:3" ht="15.75" customHeight="1">
      <c r="B159" s="1"/>
      <c r="C159" s="1"/>
    </row>
    <row r="160" spans="2:3" ht="15.75" customHeight="1">
      <c r="B160" s="1"/>
      <c r="C160" s="1"/>
    </row>
    <row r="161" spans="2:3" ht="15.75" customHeight="1">
      <c r="B161" s="1"/>
      <c r="C161" s="1"/>
    </row>
    <row r="162" spans="2:3" ht="15.75" customHeight="1">
      <c r="B162" s="1"/>
      <c r="C162" s="1"/>
    </row>
    <row r="163" spans="2:3" ht="15.75" customHeight="1">
      <c r="B163" s="1"/>
      <c r="C163" s="1"/>
    </row>
    <row r="164" spans="2:3" ht="15.75" customHeight="1">
      <c r="B164" s="1"/>
      <c r="C164" s="1"/>
    </row>
    <row r="165" spans="2:3" ht="15.75" customHeight="1">
      <c r="B165" s="1"/>
      <c r="C165" s="1"/>
    </row>
    <row r="166" spans="2:3" ht="15.75" customHeight="1">
      <c r="B166" s="1"/>
      <c r="C166" s="1"/>
    </row>
    <row r="167" spans="2:3" ht="15.75" customHeight="1">
      <c r="B167" s="1"/>
      <c r="C167" s="1"/>
    </row>
    <row r="168" spans="2:3" ht="15.75" customHeight="1">
      <c r="B168" s="1"/>
      <c r="C168" s="1"/>
    </row>
    <row r="169" spans="2:3" ht="15.75" customHeight="1">
      <c r="B169" s="1"/>
      <c r="C169" s="1"/>
    </row>
    <row r="170" spans="2:3" ht="15.75" customHeight="1">
      <c r="B170" s="1"/>
      <c r="C170" s="1"/>
    </row>
    <row r="171" spans="2:3" ht="15.75" customHeight="1">
      <c r="B171" s="1"/>
      <c r="C171" s="1"/>
    </row>
    <row r="172" spans="2:3" ht="15.75" customHeight="1">
      <c r="B172" s="1"/>
      <c r="C172" s="1"/>
    </row>
    <row r="173" spans="2:3" ht="15.75" customHeight="1">
      <c r="B173" s="1"/>
      <c r="C173" s="1"/>
    </row>
    <row r="174" spans="2:3" ht="15.75" customHeight="1">
      <c r="B174" s="1"/>
      <c r="C174" s="1"/>
    </row>
    <row r="175" spans="2:3" ht="15.75" customHeight="1">
      <c r="B175" s="1"/>
      <c r="C175" s="1"/>
    </row>
    <row r="176" spans="2:3" ht="15.75" customHeight="1">
      <c r="B176" s="1"/>
      <c r="C176" s="1"/>
    </row>
    <row r="177" spans="2:3" ht="15.75" customHeight="1">
      <c r="B177" s="1"/>
      <c r="C177" s="1"/>
    </row>
    <row r="178" spans="2:3" ht="15.75" customHeight="1">
      <c r="B178" s="1"/>
      <c r="C178" s="1"/>
    </row>
    <row r="179" spans="2:3" ht="15.75" customHeight="1">
      <c r="B179" s="1"/>
      <c r="C179" s="1"/>
    </row>
    <row r="180" spans="2:3" ht="15.75" customHeight="1">
      <c r="B180" s="1"/>
      <c r="C180" s="1"/>
    </row>
    <row r="181" spans="2:3" ht="15.75" customHeight="1">
      <c r="B181" s="1"/>
      <c r="C181" s="1"/>
    </row>
    <row r="182" spans="2:3" ht="15.75" customHeight="1">
      <c r="B182" s="1"/>
      <c r="C182" s="1"/>
    </row>
    <row r="183" spans="2:3" ht="15.75" customHeight="1">
      <c r="B183" s="1"/>
      <c r="C183" s="1"/>
    </row>
    <row r="184" spans="2:3" ht="15.75" customHeight="1">
      <c r="B184" s="1"/>
      <c r="C184" s="1"/>
    </row>
    <row r="185" spans="2:3" ht="15.75" customHeight="1">
      <c r="B185" s="1"/>
      <c r="C185" s="1"/>
    </row>
    <row r="186" spans="2:3" ht="15.75" customHeight="1">
      <c r="B186" s="1"/>
      <c r="C186" s="1"/>
    </row>
    <row r="187" spans="2:3" ht="15.75" customHeight="1">
      <c r="B187" s="1"/>
      <c r="C187" s="1"/>
    </row>
    <row r="188" spans="2:3" ht="15.75" customHeight="1">
      <c r="B188" s="1"/>
      <c r="C188" s="1"/>
    </row>
    <row r="189" spans="2:3" ht="15.75" customHeight="1">
      <c r="B189" s="1"/>
      <c r="C189" s="1"/>
    </row>
    <row r="190" spans="2:3" ht="15.75" customHeight="1">
      <c r="B190" s="1"/>
      <c r="C190" s="1"/>
    </row>
    <row r="191" spans="2:3" ht="15.75" customHeight="1">
      <c r="B191" s="1"/>
      <c r="C191" s="1"/>
    </row>
    <row r="192" spans="2:3" ht="15.75" customHeight="1">
      <c r="B192" s="1"/>
      <c r="C192" s="1"/>
    </row>
    <row r="193" spans="2:3" ht="15.75" customHeight="1">
      <c r="B193" s="1"/>
      <c r="C193" s="1"/>
    </row>
    <row r="194" spans="2:3" ht="15.75" customHeight="1">
      <c r="B194" s="1"/>
      <c r="C194" s="1"/>
    </row>
    <row r="195" spans="2:3" ht="15.75" customHeight="1">
      <c r="B195" s="1"/>
      <c r="C195" s="1"/>
    </row>
    <row r="196" spans="2:3" ht="15.75" customHeight="1">
      <c r="B196" s="1"/>
      <c r="C196" s="1"/>
    </row>
    <row r="197" spans="2:3" ht="15.75" customHeight="1">
      <c r="B197" s="1"/>
      <c r="C197" s="1"/>
    </row>
    <row r="198" spans="2:3" ht="15.75" customHeight="1">
      <c r="B198" s="1"/>
      <c r="C198" s="1"/>
    </row>
    <row r="199" spans="2:3" ht="15.75" customHeight="1">
      <c r="B199" s="1"/>
      <c r="C199" s="1"/>
    </row>
    <row r="200" spans="2:3" ht="15.75" customHeight="1">
      <c r="B200" s="1"/>
      <c r="C200" s="1"/>
    </row>
    <row r="201" spans="2:3" ht="15.75" customHeight="1">
      <c r="B201" s="1"/>
      <c r="C201" s="1"/>
    </row>
    <row r="202" spans="2:3" ht="15.75" customHeight="1">
      <c r="B202" s="1"/>
      <c r="C202" s="1"/>
    </row>
    <row r="203" spans="2:3" ht="15.75" customHeight="1">
      <c r="B203" s="1"/>
      <c r="C203" s="1"/>
    </row>
    <row r="204" spans="2:3" ht="15.75" customHeight="1">
      <c r="B204" s="1"/>
      <c r="C204" s="1"/>
    </row>
    <row r="205" spans="2:3" ht="15.75" customHeight="1">
      <c r="B205" s="1"/>
      <c r="C205" s="1"/>
    </row>
    <row r="206" spans="2:3" ht="15.75" customHeight="1">
      <c r="B206" s="1"/>
      <c r="C206" s="1"/>
    </row>
    <row r="207" spans="2:3" ht="15.75" customHeight="1">
      <c r="B207" s="1"/>
      <c r="C207" s="1"/>
    </row>
    <row r="208" spans="2:3" ht="15.75" customHeight="1">
      <c r="B208" s="1"/>
      <c r="C208" s="1"/>
    </row>
    <row r="209" spans="2:3" ht="15.75" customHeight="1">
      <c r="B209" s="1"/>
      <c r="C209" s="1"/>
    </row>
    <row r="210" spans="2:3" ht="15.75" customHeight="1">
      <c r="B210" s="1"/>
      <c r="C210" s="1"/>
    </row>
    <row r="211" spans="2:3" ht="15.75" customHeight="1">
      <c r="B211" s="1"/>
      <c r="C211" s="1"/>
    </row>
    <row r="212" spans="2:3" ht="15.75" customHeight="1">
      <c r="B212" s="1"/>
      <c r="C212" s="1"/>
    </row>
    <row r="213" spans="2:3" ht="15.75" customHeight="1">
      <c r="B213" s="1"/>
      <c r="C213" s="1"/>
    </row>
    <row r="214" spans="2:3" ht="15.75" customHeight="1">
      <c r="B214" s="1"/>
      <c r="C214" s="1"/>
    </row>
    <row r="215" spans="2:3" ht="15.75" customHeight="1">
      <c r="B215" s="1"/>
      <c r="C215" s="1"/>
    </row>
    <row r="216" spans="2:3" ht="15.75" customHeight="1">
      <c r="B216" s="1"/>
      <c r="C216" s="1"/>
    </row>
    <row r="217" spans="2:3" ht="15.75" customHeight="1">
      <c r="B217" s="1"/>
      <c r="C217" s="1"/>
    </row>
    <row r="218" spans="2:3" ht="15.75" customHeight="1">
      <c r="B218" s="1"/>
      <c r="C218" s="1"/>
    </row>
    <row r="219" spans="2:3" ht="15.75" customHeight="1">
      <c r="B219" s="1"/>
      <c r="C219" s="1"/>
    </row>
    <row r="220" spans="2:3" ht="15.75" customHeight="1">
      <c r="B220" s="1"/>
      <c r="C220" s="1"/>
    </row>
    <row r="221" spans="2:3" ht="15.75" customHeight="1">
      <c r="B221" s="1"/>
      <c r="C221" s="1"/>
    </row>
    <row r="222" spans="2:3" ht="15.75" customHeight="1">
      <c r="B222" s="1"/>
      <c r="C222" s="1"/>
    </row>
    <row r="223" spans="2:3" ht="15.75" customHeight="1">
      <c r="B223" s="1"/>
      <c r="C223" s="1"/>
    </row>
    <row r="224" spans="2:3" ht="15.75" customHeight="1">
      <c r="B224" s="1"/>
      <c r="C224" s="1"/>
    </row>
    <row r="225" spans="2:3" ht="15.75" customHeight="1">
      <c r="B225" s="1"/>
      <c r="C225" s="1"/>
    </row>
    <row r="226" spans="2:3" ht="15.75" customHeight="1">
      <c r="B226" s="1"/>
      <c r="C226" s="1"/>
    </row>
    <row r="227" spans="2:3" ht="15.75" customHeight="1">
      <c r="B227" s="1"/>
      <c r="C227" s="1"/>
    </row>
    <row r="228" spans="2:3" ht="15.75" customHeight="1">
      <c r="B228" s="1"/>
      <c r="C228" s="1"/>
    </row>
    <row r="229" spans="2:3" ht="15.75" customHeight="1">
      <c r="B229" s="1"/>
      <c r="C229" s="1"/>
    </row>
    <row r="230" spans="2:3" ht="15.75" customHeight="1">
      <c r="B230" s="1"/>
      <c r="C230" s="1"/>
    </row>
    <row r="231" spans="2:3" ht="15.75" customHeight="1">
      <c r="B231" s="1"/>
      <c r="C231" s="1"/>
    </row>
    <row r="232" spans="2:3" ht="15.75" customHeight="1">
      <c r="B232" s="1"/>
      <c r="C232" s="1"/>
    </row>
    <row r="233" spans="2:3" ht="15.75" customHeight="1">
      <c r="B233" s="1"/>
      <c r="C233" s="1"/>
    </row>
    <row r="234" spans="2:3" ht="15.75" customHeight="1">
      <c r="B234" s="1"/>
      <c r="C234" s="1"/>
    </row>
    <row r="235" spans="2:3" ht="15.75" customHeight="1">
      <c r="B235" s="1"/>
      <c r="C235" s="1"/>
    </row>
    <row r="236" spans="2:3" ht="15.75" customHeight="1">
      <c r="B236" s="1"/>
      <c r="C236" s="1"/>
    </row>
    <row r="237" spans="2:3" ht="15.75" customHeight="1">
      <c r="B237" s="1"/>
      <c r="C237" s="1"/>
    </row>
    <row r="238" spans="2:3" ht="15.75" customHeight="1">
      <c r="B238" s="1"/>
      <c r="C238" s="1"/>
    </row>
    <row r="239" spans="2:3" ht="15.75" customHeight="1">
      <c r="B239" s="1"/>
      <c r="C239" s="1"/>
    </row>
    <row r="240" spans="2:3" ht="15.75" customHeight="1">
      <c r="B240" s="1"/>
      <c r="C240" s="1"/>
    </row>
    <row r="241" spans="2:3" ht="15.75" customHeight="1">
      <c r="B241" s="1"/>
      <c r="C241" s="1"/>
    </row>
    <row r="242" spans="2:3" ht="15.75" customHeight="1">
      <c r="B242" s="1"/>
      <c r="C242" s="1"/>
    </row>
    <row r="243" spans="2:3" ht="15.75" customHeight="1">
      <c r="B243" s="1"/>
      <c r="C243" s="1"/>
    </row>
    <row r="244" spans="2:3" ht="15.75" customHeight="1">
      <c r="B244" s="1"/>
      <c r="C244" s="1"/>
    </row>
    <row r="245" spans="2:3" ht="15.75" customHeight="1">
      <c r="B245" s="1"/>
      <c r="C245" s="1"/>
    </row>
    <row r="246" spans="2:3" ht="15.75" customHeight="1">
      <c r="B246" s="1"/>
      <c r="C246" s="1"/>
    </row>
    <row r="247" spans="2:3" ht="15.75" customHeight="1">
      <c r="B247" s="1"/>
      <c r="C247" s="1"/>
    </row>
    <row r="248" spans="2:3" ht="15.75" customHeight="1">
      <c r="B248" s="1"/>
      <c r="C248" s="1"/>
    </row>
    <row r="249" spans="2:3" ht="15.75" customHeight="1">
      <c r="B249" s="1"/>
      <c r="C249" s="1"/>
    </row>
    <row r="250" spans="2:3" ht="15.75" customHeight="1">
      <c r="B250" s="1"/>
      <c r="C250" s="1"/>
    </row>
    <row r="251" spans="2:3" ht="15.75" customHeight="1">
      <c r="B251" s="1"/>
      <c r="C251" s="1"/>
    </row>
    <row r="252" spans="2:3" ht="15.75" customHeight="1">
      <c r="B252" s="1"/>
      <c r="C252" s="1"/>
    </row>
    <row r="253" spans="2:3" ht="15.75" customHeight="1">
      <c r="B253" s="1"/>
      <c r="C253" s="1"/>
    </row>
    <row r="254" spans="2:3" ht="15.75" customHeight="1">
      <c r="B254" s="1"/>
      <c r="C254" s="1"/>
    </row>
    <row r="255" spans="2:3" ht="15.75" customHeight="1">
      <c r="B255" s="1"/>
      <c r="C255" s="1"/>
    </row>
    <row r="256" spans="2:3" ht="15.75" customHeight="1">
      <c r="B256" s="1"/>
      <c r="C256" s="1"/>
    </row>
    <row r="257" spans="2:3" ht="15.75" customHeight="1">
      <c r="B257" s="1"/>
      <c r="C257" s="1"/>
    </row>
    <row r="258" spans="2:3" ht="15.75" customHeight="1">
      <c r="B258" s="1"/>
      <c r="C258" s="1"/>
    </row>
    <row r="259" spans="2:3" ht="15.75" customHeight="1">
      <c r="B259" s="1"/>
      <c r="C259" s="1"/>
    </row>
    <row r="260" spans="2:3" ht="15.75" customHeight="1">
      <c r="B260" s="1"/>
      <c r="C260" s="1"/>
    </row>
    <row r="261" spans="2:3" ht="15.75" customHeight="1">
      <c r="B261" s="1"/>
      <c r="C261" s="1"/>
    </row>
    <row r="262" spans="2:3" ht="15.75" customHeight="1">
      <c r="B262" s="1"/>
      <c r="C262" s="1"/>
    </row>
    <row r="263" spans="2:3" ht="15.75" customHeight="1">
      <c r="B263" s="1"/>
      <c r="C263" s="1"/>
    </row>
    <row r="264" spans="2:3" ht="15.75" customHeight="1">
      <c r="B264" s="1"/>
      <c r="C264" s="1"/>
    </row>
    <row r="265" spans="2:3" ht="15.75" customHeight="1">
      <c r="B265" s="1"/>
      <c r="C265" s="1"/>
    </row>
    <row r="266" spans="2:3" ht="15.75" customHeight="1">
      <c r="B266" s="1"/>
      <c r="C266" s="1"/>
    </row>
    <row r="267" spans="2:3" ht="15.75" customHeight="1">
      <c r="B267" s="1"/>
      <c r="C267" s="1"/>
    </row>
    <row r="268" spans="2:3" ht="15.75" customHeight="1">
      <c r="B268" s="1"/>
      <c r="C268" s="1"/>
    </row>
    <row r="269" spans="2:3" ht="15.75" customHeight="1">
      <c r="B269" s="1"/>
      <c r="C269" s="1"/>
    </row>
    <row r="270" spans="2:3" ht="15.75" customHeight="1">
      <c r="B270" s="1"/>
      <c r="C270" s="1"/>
    </row>
    <row r="271" spans="2:3" ht="15.75" customHeight="1">
      <c r="B271" s="1"/>
      <c r="C271" s="1"/>
    </row>
    <row r="272" spans="2:3" ht="15.75" customHeight="1">
      <c r="B272" s="1"/>
      <c r="C272" s="1"/>
    </row>
    <row r="273" spans="2:3" ht="15.75" customHeight="1">
      <c r="B273" s="1"/>
      <c r="C273" s="1"/>
    </row>
    <row r="274" spans="2:3" ht="15.75" customHeight="1">
      <c r="B274" s="1"/>
      <c r="C274" s="1"/>
    </row>
    <row r="275" spans="2:3" ht="15.75" customHeight="1">
      <c r="B275" s="1"/>
      <c r="C275" s="1"/>
    </row>
    <row r="276" spans="2:3" ht="15.75" customHeight="1">
      <c r="B276" s="1"/>
      <c r="C276" s="1"/>
    </row>
    <row r="277" spans="2:3" ht="15.75" customHeight="1">
      <c r="B277" s="1"/>
      <c r="C277" s="1"/>
    </row>
    <row r="278" spans="2:3" ht="15.75" customHeight="1">
      <c r="B278" s="1"/>
      <c r="C278" s="1"/>
    </row>
    <row r="279" spans="2:3" ht="15.75" customHeight="1">
      <c r="B279" s="1"/>
      <c r="C279" s="1"/>
    </row>
    <row r="280" spans="2:3" ht="15.75" customHeight="1">
      <c r="B280" s="1"/>
      <c r="C280" s="1"/>
    </row>
    <row r="281" spans="2:3" ht="15.75" customHeight="1">
      <c r="B281" s="1"/>
      <c r="C281" s="1"/>
    </row>
    <row r="282" spans="2:3" ht="15.75" customHeight="1">
      <c r="B282" s="1"/>
      <c r="C282" s="1"/>
    </row>
    <row r="283" spans="2:3" ht="15.75" customHeight="1">
      <c r="B283" s="1"/>
      <c r="C283" s="1"/>
    </row>
    <row r="284" spans="2:3" ht="15.75" customHeight="1">
      <c r="B284" s="1"/>
      <c r="C284" s="1"/>
    </row>
    <row r="285" spans="2:3" ht="15.75" customHeight="1">
      <c r="B285" s="1"/>
      <c r="C285" s="1"/>
    </row>
    <row r="286" spans="2:3" ht="15.75" customHeight="1">
      <c r="B286" s="1"/>
      <c r="C286" s="1"/>
    </row>
    <row r="287" spans="2:3" ht="15.75" customHeight="1">
      <c r="B287" s="1"/>
      <c r="C287" s="1"/>
    </row>
    <row r="288" spans="2:3" ht="15.75" customHeight="1">
      <c r="B288" s="1"/>
      <c r="C288" s="1"/>
    </row>
    <row r="289" spans="2:3" ht="15.75" customHeight="1">
      <c r="B289" s="1"/>
      <c r="C289" s="1"/>
    </row>
    <row r="290" spans="2:3" ht="15.75" customHeight="1">
      <c r="B290" s="1"/>
      <c r="C290" s="1"/>
    </row>
    <row r="291" spans="2:3" ht="15.75" customHeight="1">
      <c r="B291" s="1"/>
      <c r="C291" s="1"/>
    </row>
    <row r="292" spans="2:3" ht="15.75" customHeight="1">
      <c r="B292" s="1"/>
      <c r="C292" s="1"/>
    </row>
    <row r="293" spans="2:3" ht="15.75" customHeight="1">
      <c r="B293" s="1"/>
      <c r="C293" s="1"/>
    </row>
    <row r="294" spans="2:3" ht="15.75" customHeight="1">
      <c r="B294" s="1"/>
      <c r="C294" s="1"/>
    </row>
    <row r="295" spans="2:3" ht="15.75" customHeight="1">
      <c r="B295" s="1"/>
      <c r="C295" s="1"/>
    </row>
    <row r="296" spans="2:3" ht="15.75" customHeight="1">
      <c r="B296" s="1"/>
      <c r="C296" s="1"/>
    </row>
    <row r="297" spans="2:3" ht="15.75" customHeight="1">
      <c r="B297" s="1"/>
      <c r="C297" s="1"/>
    </row>
    <row r="298" spans="2:3" ht="15.75" customHeight="1">
      <c r="B298" s="1"/>
      <c r="C298" s="1"/>
    </row>
    <row r="299" spans="2:3" ht="15.75" customHeight="1">
      <c r="B299" s="1"/>
      <c r="C299" s="1"/>
    </row>
    <row r="300" spans="2:3" ht="15.75" customHeight="1">
      <c r="B300" s="1"/>
      <c r="C300" s="1"/>
    </row>
    <row r="301" spans="2:3" ht="15.75" customHeight="1">
      <c r="B301" s="1"/>
      <c r="C301" s="1"/>
    </row>
    <row r="302" spans="2:3" ht="15.75" customHeight="1">
      <c r="B302" s="1"/>
      <c r="C302" s="1"/>
    </row>
    <row r="303" spans="2:3" ht="15.75" customHeight="1">
      <c r="B303" s="1"/>
      <c r="C303" s="1"/>
    </row>
    <row r="304" spans="2:3" ht="15.75" customHeight="1">
      <c r="B304" s="1"/>
      <c r="C304" s="1"/>
    </row>
    <row r="305" spans="2:3" ht="15.75" customHeight="1">
      <c r="B305" s="1"/>
      <c r="C305" s="1"/>
    </row>
    <row r="306" spans="2:3" ht="15.75" customHeight="1">
      <c r="B306" s="1"/>
      <c r="C306" s="1"/>
    </row>
    <row r="307" spans="2:3" ht="15.75" customHeight="1">
      <c r="B307" s="1"/>
      <c r="C307" s="1"/>
    </row>
    <row r="308" spans="2:3" ht="15.75" customHeight="1">
      <c r="B308" s="1"/>
      <c r="C308" s="1"/>
    </row>
    <row r="309" spans="2:3" ht="15.75" customHeight="1">
      <c r="B309" s="1"/>
      <c r="C309" s="1"/>
    </row>
    <row r="310" spans="2:3" ht="15.75" customHeight="1">
      <c r="B310" s="1"/>
      <c r="C310" s="1"/>
    </row>
    <row r="311" spans="2:3" ht="15.75" customHeight="1">
      <c r="B311" s="1"/>
      <c r="C311" s="1"/>
    </row>
    <row r="312" spans="2:3" ht="15.75" customHeight="1">
      <c r="B312" s="1"/>
      <c r="C312" s="1"/>
    </row>
    <row r="313" spans="2:3" ht="15.75" customHeight="1">
      <c r="B313" s="1"/>
      <c r="C313" s="1"/>
    </row>
    <row r="314" spans="2:3" ht="15.75" customHeight="1">
      <c r="B314" s="1"/>
      <c r="C314" s="1"/>
    </row>
    <row r="315" spans="2:3" ht="15.75" customHeight="1">
      <c r="B315" s="1"/>
      <c r="C315" s="1"/>
    </row>
    <row r="316" spans="2:3" ht="15.75" customHeight="1">
      <c r="B316" s="1"/>
      <c r="C316" s="1"/>
    </row>
    <row r="317" spans="2:3" ht="15.75" customHeight="1">
      <c r="B317" s="1"/>
      <c r="C317" s="1"/>
    </row>
    <row r="318" spans="2:3" ht="15.75" customHeight="1">
      <c r="B318" s="1"/>
      <c r="C318" s="1"/>
    </row>
    <row r="319" spans="2:3" ht="15.75" customHeight="1">
      <c r="B319" s="1"/>
      <c r="C319" s="1"/>
    </row>
    <row r="320" spans="2:3" ht="15.75" customHeight="1">
      <c r="B320" s="1"/>
      <c r="C320" s="1"/>
    </row>
    <row r="321" spans="2:3" ht="15.75" customHeight="1">
      <c r="B321" s="1"/>
      <c r="C321" s="1"/>
    </row>
    <row r="322" spans="2:3" ht="15.75" customHeight="1">
      <c r="B322" s="1"/>
      <c r="C322" s="1"/>
    </row>
    <row r="323" spans="2:3" ht="15.75" customHeight="1">
      <c r="B323" s="1"/>
      <c r="C323" s="1"/>
    </row>
    <row r="324" spans="2:3" ht="15.75" customHeight="1">
      <c r="B324" s="1"/>
      <c r="C324" s="1"/>
    </row>
    <row r="325" spans="2:3" ht="15.75" customHeight="1">
      <c r="B325" s="1"/>
      <c r="C325" s="1"/>
    </row>
    <row r="326" spans="2:3" ht="15.75" customHeight="1">
      <c r="B326" s="1"/>
      <c r="C326" s="1"/>
    </row>
    <row r="327" spans="2:3" ht="15.75" customHeight="1">
      <c r="B327" s="1"/>
      <c r="C327" s="1"/>
    </row>
    <row r="328" spans="2:3" ht="15.75" customHeight="1">
      <c r="B328" s="1"/>
      <c r="C328" s="1"/>
    </row>
    <row r="329" spans="2:3" ht="15.75" customHeight="1">
      <c r="B329" s="1"/>
      <c r="C329" s="1"/>
    </row>
    <row r="330" spans="2:3" ht="15.75" customHeight="1">
      <c r="B330" s="1"/>
      <c r="C330" s="1"/>
    </row>
    <row r="331" spans="2:3" ht="15.75" customHeight="1">
      <c r="B331" s="1"/>
      <c r="C331" s="1"/>
    </row>
    <row r="332" spans="2:3" ht="15.75" customHeight="1">
      <c r="B332" s="1"/>
      <c r="C332" s="1"/>
    </row>
    <row r="333" spans="2:3" ht="15.75" customHeight="1">
      <c r="B333" s="1"/>
      <c r="C333" s="1"/>
    </row>
    <row r="334" spans="2:3" ht="15.75" customHeight="1">
      <c r="B334" s="1"/>
      <c r="C334" s="1"/>
    </row>
    <row r="335" spans="2:3" ht="15.75" customHeight="1">
      <c r="B335" s="1"/>
      <c r="C335" s="1"/>
    </row>
    <row r="336" spans="2:3" ht="15.75" customHeight="1">
      <c r="B336" s="1"/>
      <c r="C336" s="1"/>
    </row>
    <row r="337" spans="2:3" ht="15.75" customHeight="1">
      <c r="B337" s="1"/>
      <c r="C337" s="1"/>
    </row>
    <row r="338" spans="2:3" ht="15.75" customHeight="1">
      <c r="B338" s="1"/>
      <c r="C338" s="1"/>
    </row>
    <row r="339" spans="2:3" ht="15.75" customHeight="1">
      <c r="B339" s="1"/>
      <c r="C339" s="1"/>
    </row>
    <row r="340" spans="2:3" ht="15.75" customHeight="1">
      <c r="B340" s="1"/>
      <c r="C340" s="1"/>
    </row>
    <row r="341" spans="2:3" ht="15.75" customHeight="1">
      <c r="B341" s="1"/>
      <c r="C341" s="1"/>
    </row>
    <row r="342" spans="2:3" ht="15.75" customHeight="1">
      <c r="B342" s="1"/>
      <c r="C342" s="1"/>
    </row>
    <row r="343" spans="2:3" ht="15.75" customHeight="1">
      <c r="B343" s="1"/>
      <c r="C343" s="1"/>
    </row>
    <row r="344" spans="2:3" ht="15.75" customHeight="1">
      <c r="B344" s="1"/>
      <c r="C344" s="1"/>
    </row>
    <row r="345" spans="2:3" ht="15.75" customHeight="1">
      <c r="B345" s="1"/>
      <c r="C345" s="1"/>
    </row>
    <row r="346" spans="2:3" ht="15.75" customHeight="1">
      <c r="B346" s="1"/>
      <c r="C346" s="1"/>
    </row>
    <row r="347" spans="2:3" ht="15.75" customHeight="1">
      <c r="B347" s="1"/>
      <c r="C347" s="1"/>
    </row>
    <row r="348" spans="2:3" ht="15.75" customHeight="1">
      <c r="B348" s="1"/>
      <c r="C348" s="1"/>
    </row>
    <row r="349" spans="2:3" ht="15.75" customHeight="1">
      <c r="B349" s="1"/>
      <c r="C349" s="1"/>
    </row>
    <row r="350" spans="2:3" ht="15.75" customHeight="1">
      <c r="B350" s="1"/>
      <c r="C350" s="1"/>
    </row>
    <row r="351" spans="2:3" ht="15.75" customHeight="1">
      <c r="B351" s="1"/>
      <c r="C351" s="1"/>
    </row>
    <row r="352" spans="2:3" ht="15.75" customHeight="1">
      <c r="B352" s="1"/>
      <c r="C352" s="1"/>
    </row>
    <row r="353" spans="2:3" ht="15.75" customHeight="1">
      <c r="B353" s="1"/>
      <c r="C353" s="1"/>
    </row>
    <row r="354" spans="2:3" ht="15.75" customHeight="1">
      <c r="B354" s="1"/>
      <c r="C354" s="1"/>
    </row>
    <row r="355" spans="2:3" ht="15.75" customHeight="1">
      <c r="B355" s="1"/>
      <c r="C355" s="1"/>
    </row>
    <row r="356" spans="2:3" ht="15.75" customHeight="1">
      <c r="B356" s="1"/>
      <c r="C356" s="1"/>
    </row>
    <row r="357" spans="2:3" ht="15.75" customHeight="1">
      <c r="B357" s="1"/>
      <c r="C357" s="1"/>
    </row>
    <row r="358" spans="2:3" ht="15.75" customHeight="1">
      <c r="B358" s="1"/>
      <c r="C358" s="1"/>
    </row>
    <row r="359" spans="2:3" ht="15.75" customHeight="1">
      <c r="B359" s="1"/>
      <c r="C359" s="1"/>
    </row>
    <row r="360" spans="2:3" ht="15.75" customHeight="1">
      <c r="B360" s="1"/>
      <c r="C360" s="1"/>
    </row>
    <row r="361" spans="2:3" ht="15.75" customHeight="1">
      <c r="B361" s="1"/>
      <c r="C361" s="1"/>
    </row>
    <row r="362" spans="2:3" ht="15.75" customHeight="1">
      <c r="B362" s="1"/>
      <c r="C362" s="1"/>
    </row>
    <row r="363" spans="2:3" ht="15.75" customHeight="1">
      <c r="B363" s="1"/>
      <c r="C363" s="1"/>
    </row>
    <row r="364" spans="2:3" ht="15.75" customHeight="1">
      <c r="B364" s="1"/>
      <c r="C364" s="1"/>
    </row>
    <row r="365" spans="2:3" ht="15.75" customHeight="1">
      <c r="B365" s="1"/>
      <c r="C365" s="1"/>
    </row>
    <row r="366" spans="2:3" ht="15.75" customHeight="1">
      <c r="B366" s="1"/>
      <c r="C366" s="1"/>
    </row>
    <row r="367" spans="2:3" ht="15.75" customHeight="1">
      <c r="B367" s="1"/>
      <c r="C367" s="1"/>
    </row>
    <row r="368" spans="2:3" ht="15.75" customHeight="1">
      <c r="B368" s="1"/>
      <c r="C368" s="1"/>
    </row>
    <row r="369" spans="2:3" ht="15.75" customHeight="1">
      <c r="B369" s="1"/>
      <c r="C369" s="1"/>
    </row>
    <row r="370" spans="2:3" ht="15.75" customHeight="1">
      <c r="B370" s="1"/>
      <c r="C370" s="1"/>
    </row>
    <row r="371" spans="2:3" ht="15.75" customHeight="1">
      <c r="B371" s="1"/>
      <c r="C371" s="1"/>
    </row>
    <row r="372" spans="2:3" ht="15.75" customHeight="1">
      <c r="B372" s="1"/>
      <c r="C372" s="1"/>
    </row>
    <row r="373" spans="2:3" ht="15.75" customHeight="1">
      <c r="B373" s="1"/>
      <c r="C373" s="1"/>
    </row>
    <row r="374" spans="2:3" ht="15.75" customHeight="1">
      <c r="B374" s="1"/>
      <c r="C374" s="1"/>
    </row>
    <row r="375" spans="2:3" ht="15.75" customHeight="1">
      <c r="B375" s="1"/>
      <c r="C375" s="1"/>
    </row>
    <row r="376" spans="2:3" ht="15.75" customHeight="1">
      <c r="B376" s="1"/>
      <c r="C376" s="1"/>
    </row>
    <row r="377" spans="2:3" ht="15.75" customHeight="1">
      <c r="B377" s="1"/>
      <c r="C377" s="1"/>
    </row>
    <row r="378" spans="2:3" ht="15.75" customHeight="1">
      <c r="B378" s="1"/>
      <c r="C378" s="1"/>
    </row>
    <row r="379" spans="2:3" ht="15.75" customHeight="1">
      <c r="B379" s="1"/>
      <c r="C379" s="1"/>
    </row>
    <row r="380" spans="2:3" ht="15.75" customHeight="1">
      <c r="B380" s="1"/>
      <c r="C380" s="1"/>
    </row>
    <row r="381" spans="2:3" ht="15.75" customHeight="1">
      <c r="B381" s="1"/>
      <c r="C381" s="1"/>
    </row>
    <row r="382" spans="2:3" ht="15.75" customHeight="1">
      <c r="B382" s="1"/>
      <c r="C382" s="1"/>
    </row>
    <row r="383" spans="2:3" ht="15.75" customHeight="1">
      <c r="B383" s="1"/>
      <c r="C383" s="1"/>
    </row>
    <row r="384" spans="2:3" ht="15.75" customHeight="1">
      <c r="B384" s="1"/>
      <c r="C384" s="1"/>
    </row>
    <row r="385" spans="2:3" ht="15.75" customHeight="1">
      <c r="B385" s="1"/>
      <c r="C385" s="1"/>
    </row>
    <row r="386" spans="2:3" ht="15.75" customHeight="1">
      <c r="B386" s="1"/>
      <c r="C386" s="1"/>
    </row>
    <row r="387" spans="2:3" ht="15.75" customHeight="1">
      <c r="B387" s="1"/>
      <c r="C387" s="1"/>
    </row>
    <row r="388" spans="2:3" ht="15.75" customHeight="1">
      <c r="B388" s="1"/>
      <c r="C388" s="1"/>
    </row>
    <row r="389" spans="2:3" ht="15.75" customHeight="1">
      <c r="B389" s="1"/>
      <c r="C389" s="1"/>
    </row>
    <row r="390" spans="2:3" ht="15.75" customHeight="1">
      <c r="B390" s="1"/>
      <c r="C390" s="1"/>
    </row>
    <row r="391" spans="2:3" ht="15.75" customHeight="1">
      <c r="B391" s="1"/>
      <c r="C391" s="1"/>
    </row>
    <row r="392" spans="2:3" ht="15.75" customHeight="1">
      <c r="B392" s="1"/>
      <c r="C392" s="1"/>
    </row>
    <row r="393" spans="2:3" ht="15.75" customHeight="1">
      <c r="B393" s="1"/>
      <c r="C393" s="1"/>
    </row>
    <row r="394" spans="2:3" ht="15.75" customHeight="1">
      <c r="B394" s="1"/>
      <c r="C394" s="1"/>
    </row>
    <row r="395" spans="2:3" ht="15.75" customHeight="1">
      <c r="B395" s="1"/>
      <c r="C395" s="1"/>
    </row>
    <row r="396" spans="2:3" ht="15.75" customHeight="1">
      <c r="B396" s="1"/>
      <c r="C396" s="1"/>
    </row>
    <row r="397" spans="2:3" ht="15.75" customHeight="1">
      <c r="B397" s="1"/>
      <c r="C397" s="1"/>
    </row>
    <row r="398" spans="2:3" ht="15.75" customHeight="1">
      <c r="B398" s="1"/>
      <c r="C398" s="1"/>
    </row>
    <row r="399" spans="2:3" ht="15.75" customHeight="1">
      <c r="B399" s="1"/>
      <c r="C399" s="1"/>
    </row>
    <row r="400" spans="2:3" ht="15.75" customHeight="1">
      <c r="B400" s="1"/>
      <c r="C400" s="1"/>
    </row>
    <row r="401" spans="2:3" ht="15.75" customHeight="1">
      <c r="B401" s="1"/>
      <c r="C401" s="1"/>
    </row>
    <row r="402" spans="2:3" ht="15.75" customHeight="1">
      <c r="B402" s="1"/>
      <c r="C402" s="1"/>
    </row>
    <row r="403" spans="2:3" ht="15.75" customHeight="1">
      <c r="B403" s="1"/>
      <c r="C403" s="1"/>
    </row>
    <row r="404" spans="2:3" ht="15.75" customHeight="1">
      <c r="B404" s="1"/>
      <c r="C404" s="1"/>
    </row>
    <row r="405" spans="2:3" ht="15.75" customHeight="1">
      <c r="B405" s="1"/>
      <c r="C405" s="1"/>
    </row>
    <row r="406" spans="2:3" ht="15.75" customHeight="1">
      <c r="B406" s="1"/>
      <c r="C406" s="1"/>
    </row>
    <row r="407" spans="2:3" ht="15.75" customHeight="1">
      <c r="B407" s="1"/>
      <c r="C407" s="1"/>
    </row>
    <row r="408" spans="2:3" ht="15.75" customHeight="1">
      <c r="B408" s="1"/>
      <c r="C408" s="1"/>
    </row>
    <row r="409" spans="2:3" ht="15.75" customHeight="1">
      <c r="B409" s="1"/>
      <c r="C409" s="1"/>
    </row>
    <row r="410" spans="2:3" ht="15.75" customHeight="1">
      <c r="B410" s="1"/>
      <c r="C410" s="1"/>
    </row>
    <row r="411" spans="2:3" ht="15.75" customHeight="1">
      <c r="B411" s="1"/>
      <c r="C411" s="1"/>
    </row>
    <row r="412" spans="2:3" ht="15.75" customHeight="1">
      <c r="B412" s="1"/>
      <c r="C412" s="1"/>
    </row>
    <row r="413" spans="2:3" ht="15.75" customHeight="1">
      <c r="B413" s="1"/>
      <c r="C413" s="1"/>
    </row>
    <row r="414" spans="2:3" ht="15.75" customHeight="1">
      <c r="B414" s="1"/>
      <c r="C414" s="1"/>
    </row>
    <row r="415" spans="2:3" ht="15.75" customHeight="1">
      <c r="B415" s="1"/>
      <c r="C415" s="1"/>
    </row>
    <row r="416" spans="2:3" ht="15.75" customHeight="1">
      <c r="B416" s="1"/>
      <c r="C416" s="1"/>
    </row>
    <row r="417" spans="2:3" ht="15.75" customHeight="1">
      <c r="B417" s="1"/>
      <c r="C417" s="1"/>
    </row>
    <row r="418" spans="2:3" ht="15.75" customHeight="1">
      <c r="B418" s="1"/>
      <c r="C418" s="1"/>
    </row>
    <row r="419" spans="2:3" ht="15.75" customHeight="1">
      <c r="B419" s="1"/>
      <c r="C419" s="1"/>
    </row>
    <row r="420" spans="2:3" ht="15.75" customHeight="1">
      <c r="B420" s="1"/>
      <c r="C420" s="1"/>
    </row>
    <row r="421" spans="2:3" ht="15.75" customHeight="1">
      <c r="B421" s="1"/>
      <c r="C421" s="1"/>
    </row>
    <row r="422" spans="2:3" ht="15.75" customHeight="1">
      <c r="B422" s="1"/>
      <c r="C422" s="1"/>
    </row>
    <row r="423" spans="2:3" ht="15.75" customHeight="1">
      <c r="B423" s="1"/>
      <c r="C423" s="1"/>
    </row>
    <row r="424" spans="2:3" ht="15.75" customHeight="1">
      <c r="B424" s="1"/>
      <c r="C424" s="1"/>
    </row>
    <row r="425" spans="2:3" ht="15.75" customHeight="1">
      <c r="B425" s="1"/>
      <c r="C425" s="1"/>
    </row>
    <row r="426" spans="2:3" ht="15.75" customHeight="1">
      <c r="B426" s="1"/>
      <c r="C426" s="1"/>
    </row>
    <row r="427" spans="2:3" ht="15.75" customHeight="1">
      <c r="B427" s="1"/>
      <c r="C427" s="1"/>
    </row>
    <row r="428" spans="2:3" ht="15.75" customHeight="1">
      <c r="B428" s="1"/>
      <c r="C428" s="1"/>
    </row>
    <row r="429" spans="2:3" ht="15.75" customHeight="1">
      <c r="B429" s="1"/>
      <c r="C429" s="1"/>
    </row>
    <row r="430" spans="2:3" ht="15.75" customHeight="1">
      <c r="B430" s="1"/>
      <c r="C430" s="1"/>
    </row>
    <row r="431" spans="2:3" ht="15.75" customHeight="1">
      <c r="B431" s="1"/>
      <c r="C431" s="1"/>
    </row>
    <row r="432" spans="2:3" ht="15.75" customHeight="1">
      <c r="B432" s="1"/>
      <c r="C432" s="1"/>
    </row>
    <row r="433" spans="2:3" ht="15.75" customHeight="1">
      <c r="B433" s="1"/>
      <c r="C433" s="1"/>
    </row>
    <row r="434" spans="2:3" ht="15.75" customHeight="1">
      <c r="B434" s="1"/>
      <c r="C434" s="1"/>
    </row>
    <row r="435" spans="2:3" ht="15.75" customHeight="1">
      <c r="B435" s="1"/>
      <c r="C435" s="1"/>
    </row>
    <row r="436" spans="2:3" ht="15.75" customHeight="1">
      <c r="B436" s="1"/>
      <c r="C436" s="1"/>
    </row>
    <row r="437" spans="2:3" ht="15.75" customHeight="1">
      <c r="B437" s="1"/>
      <c r="C437" s="1"/>
    </row>
    <row r="438" spans="2:3" ht="15.75" customHeight="1">
      <c r="B438" s="1"/>
      <c r="C438" s="1"/>
    </row>
    <row r="439" spans="2:3" ht="15.75" customHeight="1">
      <c r="B439" s="1"/>
      <c r="C439" s="1"/>
    </row>
    <row r="440" spans="2:3" ht="15.75" customHeight="1">
      <c r="B440" s="1"/>
      <c r="C440" s="1"/>
    </row>
    <row r="441" spans="2:3" ht="15.75" customHeight="1">
      <c r="B441" s="1"/>
      <c r="C441" s="1"/>
    </row>
    <row r="442" spans="2:3" ht="15.75" customHeight="1">
      <c r="B442" s="1"/>
      <c r="C442" s="1"/>
    </row>
    <row r="443" spans="2:3" ht="15.75" customHeight="1">
      <c r="B443" s="1"/>
      <c r="C443" s="1"/>
    </row>
    <row r="444" spans="2:3" ht="15.75" customHeight="1">
      <c r="B444" s="1"/>
      <c r="C444" s="1"/>
    </row>
    <row r="445" spans="2:3" ht="15.75" customHeight="1">
      <c r="B445" s="1"/>
      <c r="C445" s="1"/>
    </row>
    <row r="446" spans="2:3" ht="15.75" customHeight="1">
      <c r="B446" s="1"/>
      <c r="C446" s="1"/>
    </row>
    <row r="447" spans="2:3" ht="15.75" customHeight="1">
      <c r="B447" s="1"/>
      <c r="C447" s="1"/>
    </row>
    <row r="448" spans="2:3" ht="15.75" customHeight="1">
      <c r="B448" s="1"/>
      <c r="C448" s="1"/>
    </row>
    <row r="449" spans="2:3" ht="15.75" customHeight="1">
      <c r="B449" s="1"/>
      <c r="C449" s="1"/>
    </row>
    <row r="450" spans="2:3" ht="15.75" customHeight="1">
      <c r="B450" s="1"/>
      <c r="C450" s="1"/>
    </row>
    <row r="451" spans="2:3" ht="15.75" customHeight="1">
      <c r="B451" s="1"/>
      <c r="C451" s="1"/>
    </row>
    <row r="452" spans="2:3" ht="15.75" customHeight="1">
      <c r="B452" s="1"/>
      <c r="C452" s="1"/>
    </row>
    <row r="453" spans="2:3" ht="15.75" customHeight="1">
      <c r="B453" s="1"/>
      <c r="C453" s="1"/>
    </row>
    <row r="454" spans="2:3" ht="15.75" customHeight="1">
      <c r="B454" s="1"/>
      <c r="C454" s="1"/>
    </row>
    <row r="455" spans="2:3" ht="15.75" customHeight="1">
      <c r="B455" s="1"/>
      <c r="C455" s="1"/>
    </row>
    <row r="456" spans="2:3" ht="15.75" customHeight="1">
      <c r="B456" s="1"/>
      <c r="C456" s="1"/>
    </row>
    <row r="457" spans="2:3" ht="15.75" customHeight="1">
      <c r="B457" s="1"/>
      <c r="C457" s="1"/>
    </row>
    <row r="458" spans="2:3" ht="15.75" customHeight="1">
      <c r="B458" s="1"/>
      <c r="C458" s="1"/>
    </row>
    <row r="459" spans="2:3" ht="15.75" customHeight="1">
      <c r="B459" s="1"/>
      <c r="C459" s="1"/>
    </row>
    <row r="460" spans="2:3" ht="15.75" customHeight="1">
      <c r="B460" s="1"/>
      <c r="C460" s="1"/>
    </row>
    <row r="461" spans="2:3" ht="15.75" customHeight="1">
      <c r="B461" s="1"/>
      <c r="C461" s="1"/>
    </row>
    <row r="462" spans="2:3" ht="15.75" customHeight="1">
      <c r="B462" s="1"/>
      <c r="C462" s="1"/>
    </row>
    <row r="463" spans="2:3" ht="15.75" customHeight="1">
      <c r="B463" s="1"/>
      <c r="C463" s="1"/>
    </row>
    <row r="464" spans="2:3" ht="15.75" customHeight="1">
      <c r="B464" s="1"/>
      <c r="C464" s="1"/>
    </row>
    <row r="465" spans="2:3" ht="15.75" customHeight="1">
      <c r="B465" s="1"/>
      <c r="C465" s="1"/>
    </row>
    <row r="466" spans="2:3" ht="15.75" customHeight="1">
      <c r="B466" s="1"/>
      <c r="C466" s="1"/>
    </row>
    <row r="467" spans="2:3" ht="15.75" customHeight="1">
      <c r="B467" s="1"/>
      <c r="C467" s="1"/>
    </row>
    <row r="468" spans="2:3" ht="15.75" customHeight="1">
      <c r="B468" s="1"/>
      <c r="C468" s="1"/>
    </row>
    <row r="469" spans="2:3" ht="15.75" customHeight="1">
      <c r="B469" s="1"/>
      <c r="C469" s="1"/>
    </row>
    <row r="470" spans="2:3" ht="15.75" customHeight="1">
      <c r="B470" s="1"/>
      <c r="C470" s="1"/>
    </row>
    <row r="471" spans="2:3" ht="15.75" customHeight="1">
      <c r="B471" s="1"/>
      <c r="C471" s="1"/>
    </row>
    <row r="472" spans="2:3" ht="15.75" customHeight="1">
      <c r="B472" s="1"/>
      <c r="C472" s="1"/>
    </row>
    <row r="473" spans="2:3" ht="15.75" customHeight="1">
      <c r="B473" s="1"/>
      <c r="C473" s="1"/>
    </row>
    <row r="474" spans="2:3" ht="15.75" customHeight="1">
      <c r="B474" s="1"/>
      <c r="C474" s="1"/>
    </row>
    <row r="475" spans="2:3" ht="15.75" customHeight="1">
      <c r="B475" s="1"/>
      <c r="C475" s="1"/>
    </row>
    <row r="476" spans="2:3" ht="15.75" customHeight="1">
      <c r="B476" s="1"/>
      <c r="C476" s="1"/>
    </row>
    <row r="477" spans="2:3" ht="15.75" customHeight="1">
      <c r="B477" s="1"/>
      <c r="C477" s="1"/>
    </row>
    <row r="478" spans="2:3" ht="15.75" customHeight="1">
      <c r="B478" s="1"/>
      <c r="C478" s="1"/>
    </row>
    <row r="479" spans="2:3" ht="15.75" customHeight="1">
      <c r="B479" s="1"/>
      <c r="C479" s="1"/>
    </row>
    <row r="480" spans="2:3" ht="15.75" customHeight="1">
      <c r="B480" s="1"/>
      <c r="C480" s="1"/>
    </row>
    <row r="481" spans="2:3" ht="15.75" customHeight="1">
      <c r="B481" s="1"/>
      <c r="C481" s="1"/>
    </row>
    <row r="482" spans="2:3" ht="15.75" customHeight="1">
      <c r="B482" s="1"/>
      <c r="C482" s="1"/>
    </row>
    <row r="483" spans="2:3" ht="15.75" customHeight="1">
      <c r="B483" s="1"/>
      <c r="C483" s="1"/>
    </row>
    <row r="484" spans="2:3" ht="15.75" customHeight="1">
      <c r="B484" s="1"/>
      <c r="C484" s="1"/>
    </row>
    <row r="485" spans="2:3" ht="15.75" customHeight="1">
      <c r="B485" s="1"/>
      <c r="C485" s="1"/>
    </row>
    <row r="486" spans="2:3" ht="15.75" customHeight="1">
      <c r="B486" s="1"/>
      <c r="C486" s="1"/>
    </row>
    <row r="487" spans="2:3" ht="15.75" customHeight="1">
      <c r="B487" s="1"/>
      <c r="C487" s="1"/>
    </row>
    <row r="488" spans="2:3" ht="15.75" customHeight="1">
      <c r="B488" s="1"/>
      <c r="C488" s="1"/>
    </row>
    <row r="489" spans="2:3" ht="15.75" customHeight="1">
      <c r="B489" s="1"/>
      <c r="C489" s="1"/>
    </row>
    <row r="490" spans="2:3" ht="15.75" customHeight="1">
      <c r="B490" s="1"/>
      <c r="C490" s="1"/>
    </row>
    <row r="491" spans="2:3" ht="15.75" customHeight="1">
      <c r="B491" s="1"/>
      <c r="C491" s="1"/>
    </row>
    <row r="492" spans="2:3" ht="15.75" customHeight="1">
      <c r="B492" s="1"/>
      <c r="C492" s="1"/>
    </row>
    <row r="493" spans="2:3" ht="15.75" customHeight="1">
      <c r="B493" s="1"/>
      <c r="C493" s="1"/>
    </row>
    <row r="494" spans="2:3" ht="15.75" customHeight="1">
      <c r="B494" s="1"/>
      <c r="C494" s="1"/>
    </row>
    <row r="495" spans="2:3" ht="15.75" customHeight="1">
      <c r="B495" s="1"/>
      <c r="C495" s="1"/>
    </row>
    <row r="496" spans="2:3" ht="15.75" customHeight="1">
      <c r="B496" s="1"/>
      <c r="C496" s="1"/>
    </row>
    <row r="497" spans="2:3" ht="15.75" customHeight="1">
      <c r="B497" s="1"/>
      <c r="C497" s="1"/>
    </row>
    <row r="498" spans="2:3" ht="15.75" customHeight="1">
      <c r="B498" s="1"/>
      <c r="C498" s="1"/>
    </row>
    <row r="499" spans="2:3" ht="15.75" customHeight="1">
      <c r="B499" s="1"/>
      <c r="C499" s="1"/>
    </row>
    <row r="500" spans="2:3" ht="15.75" customHeight="1">
      <c r="B500" s="1"/>
      <c r="C500" s="1"/>
    </row>
    <row r="501" spans="2:3" ht="15.75" customHeight="1">
      <c r="B501" s="1"/>
      <c r="C501" s="1"/>
    </row>
    <row r="502" spans="2:3" ht="15.75" customHeight="1">
      <c r="B502" s="1"/>
      <c r="C502" s="1"/>
    </row>
    <row r="503" spans="2:3" ht="15.75" customHeight="1">
      <c r="B503" s="1"/>
      <c r="C503" s="1"/>
    </row>
    <row r="504" spans="2:3" ht="15.75" customHeight="1">
      <c r="B504" s="1"/>
      <c r="C504" s="1"/>
    </row>
    <row r="505" spans="2:3" ht="15.75" customHeight="1">
      <c r="B505" s="1"/>
      <c r="C505" s="1"/>
    </row>
    <row r="506" spans="2:3" ht="15.75" customHeight="1">
      <c r="B506" s="1"/>
      <c r="C506" s="1"/>
    </row>
    <row r="507" spans="2:3" ht="15.75" customHeight="1">
      <c r="B507" s="1"/>
      <c r="C507" s="1"/>
    </row>
    <row r="508" spans="2:3" ht="15.75" customHeight="1">
      <c r="B508" s="1"/>
      <c r="C508" s="1"/>
    </row>
    <row r="509" spans="2:3" ht="15.75" customHeight="1">
      <c r="B509" s="1"/>
      <c r="C509" s="1"/>
    </row>
    <row r="510" spans="2:3" ht="15.75" customHeight="1">
      <c r="B510" s="1"/>
      <c r="C510" s="1"/>
    </row>
    <row r="511" spans="2:3" ht="15.75" customHeight="1">
      <c r="B511" s="1"/>
      <c r="C511" s="1"/>
    </row>
    <row r="512" spans="2:3" ht="15.75" customHeight="1">
      <c r="B512" s="1"/>
      <c r="C512" s="1"/>
    </row>
    <row r="513" spans="2:3" ht="15.75" customHeight="1">
      <c r="B513" s="1"/>
      <c r="C513" s="1"/>
    </row>
    <row r="514" spans="2:3" ht="15.75" customHeight="1">
      <c r="B514" s="1"/>
      <c r="C514" s="1"/>
    </row>
    <row r="515" spans="2:3" ht="15.75" customHeight="1">
      <c r="B515" s="1"/>
      <c r="C515" s="1"/>
    </row>
    <row r="516" spans="2:3" ht="15.75" customHeight="1">
      <c r="B516" s="1"/>
      <c r="C516" s="1"/>
    </row>
    <row r="517" spans="2:3" ht="15.75" customHeight="1">
      <c r="B517" s="1"/>
      <c r="C517" s="1"/>
    </row>
    <row r="518" spans="2:3" ht="15.75" customHeight="1">
      <c r="B518" s="1"/>
      <c r="C518" s="1"/>
    </row>
    <row r="519" spans="2:3" ht="15.75" customHeight="1">
      <c r="B519" s="1"/>
      <c r="C519" s="1"/>
    </row>
    <row r="520" spans="2:3" ht="15.75" customHeight="1">
      <c r="B520" s="1"/>
      <c r="C520" s="1"/>
    </row>
    <row r="521" spans="2:3" ht="15.75" customHeight="1">
      <c r="B521" s="1"/>
      <c r="C521" s="1"/>
    </row>
    <row r="522" spans="2:3" ht="15.75" customHeight="1">
      <c r="B522" s="1"/>
      <c r="C522" s="1"/>
    </row>
    <row r="523" spans="2:3" ht="15.75" customHeight="1">
      <c r="B523" s="1"/>
      <c r="C523" s="1"/>
    </row>
    <row r="524" spans="2:3" ht="15.75" customHeight="1">
      <c r="B524" s="1"/>
      <c r="C524" s="1"/>
    </row>
    <row r="525" spans="2:3" ht="15.75" customHeight="1">
      <c r="B525" s="1"/>
      <c r="C525" s="1"/>
    </row>
    <row r="526" spans="2:3" ht="15.75" customHeight="1">
      <c r="B526" s="1"/>
      <c r="C526" s="1"/>
    </row>
    <row r="527" spans="2:3" ht="15.75" customHeight="1">
      <c r="B527" s="1"/>
      <c r="C527" s="1"/>
    </row>
    <row r="528" spans="2:3" ht="15.75" customHeight="1">
      <c r="B528" s="1"/>
      <c r="C528" s="1"/>
    </row>
    <row r="529" spans="2:3" ht="15.75" customHeight="1">
      <c r="B529" s="1"/>
      <c r="C529" s="1"/>
    </row>
    <row r="530" spans="2:3" ht="15.75" customHeight="1">
      <c r="B530" s="1"/>
      <c r="C530" s="1"/>
    </row>
    <row r="531" spans="2:3" ht="15.75" customHeight="1">
      <c r="B531" s="1"/>
      <c r="C531" s="1"/>
    </row>
    <row r="532" spans="2:3" ht="15.75" customHeight="1">
      <c r="B532" s="1"/>
      <c r="C532" s="1"/>
    </row>
    <row r="533" spans="2:3" ht="15.75" customHeight="1">
      <c r="B533" s="1"/>
      <c r="C533" s="1"/>
    </row>
    <row r="534" spans="2:3" ht="15.75" customHeight="1">
      <c r="B534" s="1"/>
      <c r="C534" s="1"/>
    </row>
    <row r="535" spans="2:3" ht="15.75" customHeight="1">
      <c r="B535" s="1"/>
      <c r="C535" s="1"/>
    </row>
    <row r="536" spans="2:3" ht="15.75" customHeight="1">
      <c r="B536" s="1"/>
      <c r="C536" s="1"/>
    </row>
    <row r="537" spans="2:3" ht="15.75" customHeight="1">
      <c r="B537" s="1"/>
      <c r="C537" s="1"/>
    </row>
    <row r="538" spans="2:3" ht="15.75" customHeight="1">
      <c r="B538" s="1"/>
      <c r="C538" s="1"/>
    </row>
    <row r="539" spans="2:3" ht="15.75" customHeight="1">
      <c r="B539" s="1"/>
      <c r="C539" s="1"/>
    </row>
    <row r="540" spans="2:3" ht="15.75" customHeight="1">
      <c r="B540" s="1"/>
      <c r="C540" s="1"/>
    </row>
    <row r="541" spans="2:3" ht="15.75" customHeight="1">
      <c r="B541" s="1"/>
      <c r="C541" s="1"/>
    </row>
    <row r="542" spans="2:3" ht="15.75" customHeight="1">
      <c r="B542" s="1"/>
      <c r="C542" s="1"/>
    </row>
    <row r="543" spans="2:3" ht="15.75" customHeight="1">
      <c r="B543" s="1"/>
      <c r="C543" s="1"/>
    </row>
    <row r="544" spans="2:3" ht="15.75" customHeight="1">
      <c r="B544" s="1"/>
      <c r="C544" s="1"/>
    </row>
    <row r="545" spans="2:3" ht="15.75" customHeight="1">
      <c r="B545" s="1"/>
      <c r="C545" s="1"/>
    </row>
    <row r="546" spans="2:3" ht="15.75" customHeight="1">
      <c r="B546" s="1"/>
      <c r="C546" s="1"/>
    </row>
    <row r="547" spans="2:3" ht="15.75" customHeight="1">
      <c r="B547" s="1"/>
      <c r="C547" s="1"/>
    </row>
    <row r="548" spans="2:3" ht="15.75" customHeight="1">
      <c r="B548" s="1"/>
      <c r="C548" s="1"/>
    </row>
    <row r="549" spans="2:3" ht="15.75" customHeight="1">
      <c r="B549" s="1"/>
      <c r="C549" s="1"/>
    </row>
    <row r="550" spans="2:3" ht="15.75" customHeight="1">
      <c r="B550" s="1"/>
      <c r="C550" s="1"/>
    </row>
    <row r="551" spans="2:3" ht="15.75" customHeight="1">
      <c r="B551" s="1"/>
      <c r="C551" s="1"/>
    </row>
    <row r="552" spans="2:3" ht="15.75" customHeight="1">
      <c r="B552" s="1"/>
      <c r="C552" s="1"/>
    </row>
    <row r="553" spans="2:3" ht="15.75" customHeight="1">
      <c r="B553" s="1"/>
      <c r="C553" s="1"/>
    </row>
    <row r="554" spans="2:3" ht="15.75" customHeight="1">
      <c r="B554" s="1"/>
      <c r="C554" s="1"/>
    </row>
    <row r="555" spans="2:3" ht="15.75" customHeight="1">
      <c r="B555" s="1"/>
      <c r="C555" s="1"/>
    </row>
    <row r="556" spans="2:3" ht="15.75" customHeight="1">
      <c r="B556" s="1"/>
      <c r="C556" s="1"/>
    </row>
    <row r="557" spans="2:3" ht="15.75" customHeight="1">
      <c r="B557" s="1"/>
      <c r="C557" s="1"/>
    </row>
    <row r="558" spans="2:3" ht="15.75" customHeight="1">
      <c r="B558" s="1"/>
      <c r="C558" s="1"/>
    </row>
    <row r="559" spans="2:3" ht="15.75" customHeight="1">
      <c r="B559" s="1"/>
      <c r="C559" s="1"/>
    </row>
    <row r="560" spans="2:3" ht="15.75" customHeight="1">
      <c r="B560" s="1"/>
      <c r="C560" s="1"/>
    </row>
    <row r="561" spans="2:3" ht="15.75" customHeight="1">
      <c r="B561" s="1"/>
      <c r="C561" s="1"/>
    </row>
    <row r="562" spans="2:3" ht="15.75" customHeight="1">
      <c r="B562" s="1"/>
      <c r="C562" s="1"/>
    </row>
    <row r="563" spans="2:3" ht="15.75" customHeight="1">
      <c r="B563" s="1"/>
      <c r="C563" s="1"/>
    </row>
    <row r="564" spans="2:3" ht="15.75" customHeight="1">
      <c r="B564" s="1"/>
      <c r="C564" s="1"/>
    </row>
    <row r="565" spans="2:3" ht="15.75" customHeight="1">
      <c r="B565" s="1"/>
      <c r="C565" s="1"/>
    </row>
    <row r="566" spans="2:3" ht="15.75" customHeight="1">
      <c r="B566" s="1"/>
      <c r="C566" s="1"/>
    </row>
    <row r="567" spans="2:3" ht="15.75" customHeight="1">
      <c r="B567" s="1"/>
      <c r="C567" s="1"/>
    </row>
    <row r="568" spans="2:3" ht="15.75" customHeight="1">
      <c r="B568" s="1"/>
      <c r="C568" s="1"/>
    </row>
    <row r="569" spans="2:3" ht="15.75" customHeight="1">
      <c r="B569" s="1"/>
      <c r="C569" s="1"/>
    </row>
    <row r="570" spans="2:3" ht="15.75" customHeight="1">
      <c r="B570" s="1"/>
      <c r="C570" s="1"/>
    </row>
    <row r="571" spans="2:3" ht="15.75" customHeight="1">
      <c r="B571" s="1"/>
      <c r="C571" s="1"/>
    </row>
    <row r="572" spans="2:3" ht="15.75" customHeight="1">
      <c r="B572" s="1"/>
      <c r="C572" s="1"/>
    </row>
    <row r="573" spans="2:3" ht="15.75" customHeight="1">
      <c r="B573" s="1"/>
      <c r="C573" s="1"/>
    </row>
    <row r="574" spans="2:3" ht="15.75" customHeight="1">
      <c r="B574" s="1"/>
      <c r="C574" s="1"/>
    </row>
    <row r="575" spans="2:3" ht="15.75" customHeight="1">
      <c r="B575" s="1"/>
      <c r="C575" s="1"/>
    </row>
    <row r="576" spans="2:3" ht="15.75" customHeight="1">
      <c r="B576" s="1"/>
      <c r="C576" s="1"/>
    </row>
    <row r="577" spans="2:3" ht="15.75" customHeight="1">
      <c r="B577" s="1"/>
      <c r="C577" s="1"/>
    </row>
    <row r="578" spans="2:3" ht="15.75" customHeight="1">
      <c r="B578" s="1"/>
      <c r="C578" s="1"/>
    </row>
    <row r="579" spans="2:3" ht="15.75" customHeight="1">
      <c r="B579" s="1"/>
      <c r="C579" s="1"/>
    </row>
    <row r="580" spans="2:3" ht="15.75" customHeight="1">
      <c r="B580" s="1"/>
      <c r="C580" s="1"/>
    </row>
    <row r="581" spans="2:3" ht="15.75" customHeight="1">
      <c r="B581" s="1"/>
      <c r="C581" s="1"/>
    </row>
    <row r="582" spans="2:3" ht="15.75" customHeight="1">
      <c r="B582" s="1"/>
      <c r="C582" s="1"/>
    </row>
    <row r="583" spans="2:3" ht="15.75" customHeight="1">
      <c r="B583" s="1"/>
      <c r="C583" s="1"/>
    </row>
    <row r="584" spans="2:3" ht="15.75" customHeight="1">
      <c r="B584" s="1"/>
      <c r="C584" s="1"/>
    </row>
    <row r="585" spans="2:3" ht="15.75" customHeight="1">
      <c r="B585" s="1"/>
      <c r="C585" s="1"/>
    </row>
    <row r="586" spans="2:3" ht="15.75" customHeight="1">
      <c r="B586" s="1"/>
      <c r="C586" s="1"/>
    </row>
    <row r="587" spans="2:3" ht="15.75" customHeight="1">
      <c r="B587" s="1"/>
      <c r="C587" s="1"/>
    </row>
    <row r="588" spans="2:3" ht="15.75" customHeight="1">
      <c r="B588" s="1"/>
      <c r="C588" s="1"/>
    </row>
    <row r="589" spans="2:3" ht="15.75" customHeight="1">
      <c r="B589" s="1"/>
      <c r="C589" s="1"/>
    </row>
    <row r="590" spans="2:3" ht="15.75" customHeight="1">
      <c r="B590" s="1"/>
      <c r="C590" s="1"/>
    </row>
    <row r="591" spans="2:3" ht="15.75" customHeight="1">
      <c r="B591" s="1"/>
      <c r="C591" s="1"/>
    </row>
    <row r="592" spans="2:3" ht="15.75" customHeight="1">
      <c r="B592" s="1"/>
      <c r="C592" s="1"/>
    </row>
    <row r="593" spans="2:3" ht="15.75" customHeight="1">
      <c r="B593" s="1"/>
      <c r="C593" s="1"/>
    </row>
    <row r="594" spans="2:3" ht="15.75" customHeight="1">
      <c r="B594" s="1"/>
      <c r="C594" s="1"/>
    </row>
    <row r="595" spans="2:3" ht="15.75" customHeight="1">
      <c r="B595" s="1"/>
      <c r="C595" s="1"/>
    </row>
    <row r="596" spans="2:3" ht="15.75" customHeight="1">
      <c r="B596" s="1"/>
      <c r="C596" s="1"/>
    </row>
    <row r="597" spans="2:3" ht="15.75" customHeight="1">
      <c r="B597" s="1"/>
      <c r="C597" s="1"/>
    </row>
    <row r="598" spans="2:3" ht="15.75" customHeight="1">
      <c r="B598" s="1"/>
      <c r="C598" s="1"/>
    </row>
    <row r="599" spans="2:3" ht="15.75" customHeight="1">
      <c r="B599" s="1"/>
      <c r="C599" s="1"/>
    </row>
    <row r="600" spans="2:3" ht="15.75" customHeight="1">
      <c r="B600" s="1"/>
      <c r="C600" s="1"/>
    </row>
    <row r="601" spans="2:3" ht="15.75" customHeight="1">
      <c r="B601" s="1"/>
      <c r="C601" s="1"/>
    </row>
    <row r="602" spans="2:3" ht="15.75" customHeight="1">
      <c r="B602" s="1"/>
      <c r="C602" s="1"/>
    </row>
    <row r="603" spans="2:3" ht="15.75" customHeight="1">
      <c r="B603" s="1"/>
      <c r="C603" s="1"/>
    </row>
    <row r="604" spans="2:3" ht="15.75" customHeight="1">
      <c r="B604" s="1"/>
      <c r="C604" s="1"/>
    </row>
    <row r="605" spans="2:3" ht="15.75" customHeight="1">
      <c r="B605" s="1"/>
      <c r="C605" s="1"/>
    </row>
    <row r="606" spans="2:3" ht="15.75" customHeight="1">
      <c r="B606" s="1"/>
      <c r="C606" s="1"/>
    </row>
    <row r="607" spans="2:3" ht="15.75" customHeight="1">
      <c r="B607" s="1"/>
      <c r="C607" s="1"/>
    </row>
    <row r="608" spans="2:3" ht="15.75" customHeight="1">
      <c r="B608" s="1"/>
      <c r="C608" s="1"/>
    </row>
    <row r="609" spans="2:3" ht="15.75" customHeight="1">
      <c r="B609" s="1"/>
      <c r="C609" s="1"/>
    </row>
    <row r="610" spans="2:3" ht="15.75" customHeight="1">
      <c r="B610" s="1"/>
      <c r="C610" s="1"/>
    </row>
    <row r="611" spans="2:3" ht="15.75" customHeight="1">
      <c r="B611" s="1"/>
      <c r="C611" s="1"/>
    </row>
    <row r="612" spans="2:3" ht="15.75" customHeight="1">
      <c r="B612" s="1"/>
      <c r="C612" s="1"/>
    </row>
    <row r="613" spans="2:3" ht="15.75" customHeight="1">
      <c r="B613" s="1"/>
      <c r="C613" s="1"/>
    </row>
    <row r="614" spans="2:3" ht="15.75" customHeight="1">
      <c r="B614" s="1"/>
      <c r="C614" s="1"/>
    </row>
    <row r="615" spans="2:3" ht="15.75" customHeight="1">
      <c r="B615" s="1"/>
      <c r="C615" s="1"/>
    </row>
    <row r="616" spans="2:3" ht="15.75" customHeight="1">
      <c r="B616" s="1"/>
      <c r="C616" s="1"/>
    </row>
    <row r="617" spans="2:3" ht="15.75" customHeight="1">
      <c r="B617" s="1"/>
      <c r="C617" s="1"/>
    </row>
    <row r="618" spans="2:3" ht="15.75" customHeight="1">
      <c r="B618" s="1"/>
      <c r="C618" s="1"/>
    </row>
    <row r="619" spans="2:3" ht="15.75" customHeight="1">
      <c r="B619" s="1"/>
      <c r="C619" s="1"/>
    </row>
    <row r="620" spans="2:3" ht="15.75" customHeight="1">
      <c r="B620" s="1"/>
      <c r="C620" s="1"/>
    </row>
    <row r="621" spans="2:3" ht="15.75" customHeight="1">
      <c r="B621" s="1"/>
      <c r="C621" s="1"/>
    </row>
    <row r="622" spans="2:3" ht="15.75" customHeight="1">
      <c r="B622" s="1"/>
      <c r="C622" s="1"/>
    </row>
    <row r="623" spans="2:3" ht="15.75" customHeight="1">
      <c r="B623" s="1"/>
      <c r="C623" s="1"/>
    </row>
    <row r="624" spans="2:3" ht="15.75" customHeight="1">
      <c r="B624" s="1"/>
      <c r="C624" s="1"/>
    </row>
    <row r="625" spans="2:3" ht="15.75" customHeight="1">
      <c r="B625" s="1"/>
      <c r="C625" s="1"/>
    </row>
    <row r="626" spans="2:3" ht="15.75" customHeight="1">
      <c r="B626" s="1"/>
      <c r="C626" s="1"/>
    </row>
    <row r="627" spans="2:3" ht="15.75" customHeight="1">
      <c r="B627" s="1"/>
      <c r="C627" s="1"/>
    </row>
    <row r="628" spans="2:3" ht="15.75" customHeight="1">
      <c r="B628" s="1"/>
      <c r="C628" s="1"/>
    </row>
    <row r="629" spans="2:3" ht="15.75" customHeight="1">
      <c r="B629" s="1"/>
      <c r="C629" s="1"/>
    </row>
    <row r="630" spans="2:3" ht="15.75" customHeight="1">
      <c r="B630" s="1"/>
      <c r="C630" s="1"/>
    </row>
    <row r="631" spans="2:3" ht="15.75" customHeight="1">
      <c r="B631" s="1"/>
      <c r="C631" s="1"/>
    </row>
    <row r="632" spans="2:3" ht="15.75" customHeight="1">
      <c r="B632" s="1"/>
      <c r="C632" s="1"/>
    </row>
    <row r="633" spans="2:3" ht="15.75" customHeight="1">
      <c r="B633" s="1"/>
      <c r="C633" s="1"/>
    </row>
    <row r="634" spans="2:3" ht="15.75" customHeight="1">
      <c r="B634" s="1"/>
      <c r="C634" s="1"/>
    </row>
    <row r="635" spans="2:3" ht="15.75" customHeight="1">
      <c r="B635" s="1"/>
      <c r="C635" s="1"/>
    </row>
    <row r="636" spans="2:3" ht="15.75" customHeight="1">
      <c r="B636" s="1"/>
      <c r="C636" s="1"/>
    </row>
    <row r="637" spans="2:3" ht="15.75" customHeight="1">
      <c r="B637" s="1"/>
      <c r="C637" s="1"/>
    </row>
    <row r="638" spans="2:3" ht="15.75" customHeight="1">
      <c r="B638" s="1"/>
      <c r="C638" s="1"/>
    </row>
    <row r="639" spans="2:3" ht="15.75" customHeight="1">
      <c r="B639" s="1"/>
      <c r="C639" s="1"/>
    </row>
    <row r="640" spans="2:3" ht="15.75" customHeight="1">
      <c r="B640" s="1"/>
      <c r="C640" s="1"/>
    </row>
    <row r="641" spans="2:3" ht="15.75" customHeight="1">
      <c r="B641" s="1"/>
      <c r="C641" s="1"/>
    </row>
    <row r="642" spans="2:3" ht="15.75" customHeight="1">
      <c r="B642" s="1"/>
      <c r="C642" s="1"/>
    </row>
    <row r="643" spans="2:3" ht="15.75" customHeight="1">
      <c r="B643" s="1"/>
      <c r="C643" s="1"/>
    </row>
    <row r="644" spans="2:3" ht="15.75" customHeight="1">
      <c r="B644" s="1"/>
      <c r="C644" s="1"/>
    </row>
    <row r="645" spans="2:3" ht="15.75" customHeight="1">
      <c r="B645" s="1"/>
      <c r="C645" s="1"/>
    </row>
    <row r="646" spans="2:3" ht="15.75" customHeight="1">
      <c r="B646" s="1"/>
      <c r="C646" s="1"/>
    </row>
    <row r="647" spans="2:3" ht="15.75" customHeight="1">
      <c r="B647" s="1"/>
      <c r="C647" s="1"/>
    </row>
    <row r="648" spans="2:3" ht="15.75" customHeight="1">
      <c r="B648" s="1"/>
      <c r="C648" s="1"/>
    </row>
    <row r="649" spans="2:3" ht="15.75" customHeight="1">
      <c r="B649" s="1"/>
      <c r="C649" s="1"/>
    </row>
    <row r="650" spans="2:3" ht="15.75" customHeight="1">
      <c r="B650" s="1"/>
      <c r="C650" s="1"/>
    </row>
    <row r="651" spans="2:3" ht="15.75" customHeight="1">
      <c r="B651" s="1"/>
      <c r="C651" s="1"/>
    </row>
    <row r="652" spans="2:3" ht="15.75" customHeight="1">
      <c r="B652" s="1"/>
      <c r="C652" s="1"/>
    </row>
    <row r="653" spans="2:3" ht="15.75" customHeight="1">
      <c r="B653" s="1"/>
      <c r="C653" s="1"/>
    </row>
    <row r="654" spans="2:3" ht="15.75" customHeight="1">
      <c r="B654" s="1"/>
      <c r="C654" s="1"/>
    </row>
    <row r="655" spans="2:3" ht="15.75" customHeight="1">
      <c r="B655" s="1"/>
      <c r="C655" s="1"/>
    </row>
    <row r="656" spans="2:3" ht="15.75" customHeight="1">
      <c r="B656" s="1"/>
      <c r="C656" s="1"/>
    </row>
    <row r="657" spans="2:3" ht="15.75" customHeight="1">
      <c r="B657" s="1"/>
      <c r="C657" s="1"/>
    </row>
    <row r="658" spans="2:3" ht="15.75" customHeight="1">
      <c r="B658" s="1"/>
      <c r="C658" s="1"/>
    </row>
    <row r="659" spans="2:3" ht="15.75" customHeight="1">
      <c r="B659" s="1"/>
      <c r="C659" s="1"/>
    </row>
    <row r="660" spans="2:3" ht="15.75" customHeight="1">
      <c r="B660" s="1"/>
      <c r="C660" s="1"/>
    </row>
    <row r="661" spans="2:3" ht="15.75" customHeight="1">
      <c r="B661" s="1"/>
      <c r="C661" s="1"/>
    </row>
    <row r="662" spans="2:3" ht="15.75" customHeight="1">
      <c r="B662" s="1"/>
      <c r="C662" s="1"/>
    </row>
    <row r="663" spans="2:3" ht="15.75" customHeight="1">
      <c r="B663" s="1"/>
      <c r="C663" s="1"/>
    </row>
    <row r="664" spans="2:3" ht="15.75" customHeight="1">
      <c r="B664" s="1"/>
      <c r="C664" s="1"/>
    </row>
    <row r="665" spans="2:3" ht="15.75" customHeight="1">
      <c r="B665" s="1"/>
      <c r="C665" s="1"/>
    </row>
    <row r="666" spans="2:3" ht="15.75" customHeight="1">
      <c r="B666" s="1"/>
      <c r="C666" s="1"/>
    </row>
    <row r="667" spans="2:3" ht="15.75" customHeight="1">
      <c r="B667" s="1"/>
      <c r="C667" s="1"/>
    </row>
    <row r="668" spans="2:3" ht="15.75" customHeight="1">
      <c r="B668" s="1"/>
      <c r="C668" s="1"/>
    </row>
    <row r="669" spans="2:3" ht="15.75" customHeight="1">
      <c r="B669" s="1"/>
      <c r="C669" s="1"/>
    </row>
    <row r="670" spans="2:3" ht="15.75" customHeight="1">
      <c r="B670" s="1"/>
      <c r="C670" s="1"/>
    </row>
    <row r="671" spans="2:3" ht="15.75" customHeight="1">
      <c r="B671" s="1"/>
      <c r="C671" s="1"/>
    </row>
    <row r="672" spans="2:3" ht="15.75" customHeight="1">
      <c r="B672" s="1"/>
      <c r="C672" s="1"/>
    </row>
    <row r="673" spans="2:3" ht="15.75" customHeight="1">
      <c r="B673" s="1"/>
      <c r="C673" s="1"/>
    </row>
    <row r="674" spans="2:3" ht="15.75" customHeight="1">
      <c r="B674" s="1"/>
      <c r="C674" s="1"/>
    </row>
    <row r="675" spans="2:3" ht="15.75" customHeight="1">
      <c r="B675" s="1"/>
      <c r="C675" s="1"/>
    </row>
    <row r="676" spans="2:3" ht="15.75" customHeight="1">
      <c r="B676" s="1"/>
      <c r="C676" s="1"/>
    </row>
    <row r="677" spans="2:3" ht="15.75" customHeight="1">
      <c r="B677" s="1"/>
      <c r="C677" s="1"/>
    </row>
    <row r="678" spans="2:3" ht="15.75" customHeight="1">
      <c r="B678" s="1"/>
      <c r="C678" s="1"/>
    </row>
    <row r="679" spans="2:3" ht="15.75" customHeight="1">
      <c r="B679" s="1"/>
      <c r="C679" s="1"/>
    </row>
    <row r="680" spans="2:3" ht="15.75" customHeight="1">
      <c r="B680" s="1"/>
      <c r="C680" s="1"/>
    </row>
    <row r="681" spans="2:3" ht="15.75" customHeight="1">
      <c r="B681" s="1"/>
      <c r="C681" s="1"/>
    </row>
    <row r="682" spans="2:3" ht="15.75" customHeight="1">
      <c r="B682" s="1"/>
      <c r="C682" s="1"/>
    </row>
    <row r="683" spans="2:3" ht="15.75" customHeight="1">
      <c r="B683" s="1"/>
      <c r="C683" s="1"/>
    </row>
    <row r="684" spans="2:3" ht="15.75" customHeight="1">
      <c r="B684" s="1"/>
      <c r="C684" s="1"/>
    </row>
    <row r="685" spans="2:3" ht="15.75" customHeight="1">
      <c r="B685" s="1"/>
      <c r="C685" s="1"/>
    </row>
    <row r="686" spans="2:3" ht="15.75" customHeight="1">
      <c r="B686" s="1"/>
      <c r="C686" s="1"/>
    </row>
    <row r="687" spans="2:3" ht="15.75" customHeight="1">
      <c r="B687" s="1"/>
      <c r="C687" s="1"/>
    </row>
    <row r="688" spans="2:3" ht="15.75" customHeight="1">
      <c r="B688" s="1"/>
      <c r="C688" s="1"/>
    </row>
    <row r="689" spans="2:3" ht="15.75" customHeight="1">
      <c r="B689" s="1"/>
      <c r="C689" s="1"/>
    </row>
    <row r="690" spans="2:3" ht="15.75" customHeight="1">
      <c r="B690" s="1"/>
      <c r="C690" s="1"/>
    </row>
    <row r="691" spans="2:3" ht="15.75" customHeight="1">
      <c r="B691" s="1"/>
      <c r="C691" s="1"/>
    </row>
    <row r="692" spans="2:3" ht="15.75" customHeight="1">
      <c r="B692" s="1"/>
      <c r="C692" s="1"/>
    </row>
    <row r="693" spans="2:3" ht="15.75" customHeight="1">
      <c r="B693" s="1"/>
      <c r="C693" s="1"/>
    </row>
    <row r="694" spans="2:3" ht="15.75" customHeight="1">
      <c r="B694" s="1"/>
      <c r="C694" s="1"/>
    </row>
    <row r="695" spans="2:3" ht="15.75" customHeight="1">
      <c r="B695" s="1"/>
      <c r="C695" s="1"/>
    </row>
    <row r="696" spans="2:3" ht="15.75" customHeight="1">
      <c r="B696" s="1"/>
      <c r="C696" s="1"/>
    </row>
    <row r="697" spans="2:3" ht="15.75" customHeight="1">
      <c r="B697" s="1"/>
      <c r="C697" s="1"/>
    </row>
    <row r="698" spans="2:3" ht="15.75" customHeight="1">
      <c r="B698" s="1"/>
      <c r="C698" s="1"/>
    </row>
    <row r="699" spans="2:3" ht="15.75" customHeight="1">
      <c r="B699" s="1"/>
      <c r="C699" s="1"/>
    </row>
    <row r="700" spans="2:3" ht="15.75" customHeight="1">
      <c r="B700" s="1"/>
      <c r="C700" s="1"/>
    </row>
    <row r="701" spans="2:3" ht="15.75" customHeight="1">
      <c r="B701" s="1"/>
      <c r="C701" s="1"/>
    </row>
    <row r="702" spans="2:3" ht="15.75" customHeight="1">
      <c r="B702" s="1"/>
      <c r="C702" s="1"/>
    </row>
    <row r="703" spans="2:3" ht="15.75" customHeight="1">
      <c r="B703" s="1"/>
      <c r="C703" s="1"/>
    </row>
    <row r="704" spans="2:3" ht="15.75" customHeight="1">
      <c r="B704" s="1"/>
      <c r="C704" s="1"/>
    </row>
    <row r="705" spans="2:3" ht="15.75" customHeight="1">
      <c r="B705" s="1"/>
      <c r="C705" s="1"/>
    </row>
    <row r="706" spans="2:3" ht="15.75" customHeight="1">
      <c r="B706" s="1"/>
      <c r="C706" s="1"/>
    </row>
    <row r="707" spans="2:3" ht="15.75" customHeight="1">
      <c r="B707" s="1"/>
      <c r="C707" s="1"/>
    </row>
    <row r="708" spans="2:3" ht="15.75" customHeight="1">
      <c r="B708" s="1"/>
      <c r="C708" s="1"/>
    </row>
    <row r="709" spans="2:3" ht="15.75" customHeight="1">
      <c r="B709" s="1"/>
      <c r="C709" s="1"/>
    </row>
    <row r="710" spans="2:3" ht="15.75" customHeight="1">
      <c r="B710" s="1"/>
      <c r="C710" s="1"/>
    </row>
    <row r="711" spans="2:3" ht="15.75" customHeight="1">
      <c r="B711" s="1"/>
      <c r="C711" s="1"/>
    </row>
    <row r="712" spans="2:3" ht="15.75" customHeight="1">
      <c r="B712" s="1"/>
      <c r="C712" s="1"/>
    </row>
    <row r="713" spans="2:3" ht="15.75" customHeight="1">
      <c r="B713" s="1"/>
      <c r="C713" s="1"/>
    </row>
    <row r="714" spans="2:3" ht="15.75" customHeight="1">
      <c r="B714" s="1"/>
      <c r="C714" s="1"/>
    </row>
    <row r="715" spans="2:3" ht="15.75" customHeight="1">
      <c r="B715" s="1"/>
      <c r="C715" s="1"/>
    </row>
    <row r="716" spans="2:3" ht="15.75" customHeight="1">
      <c r="B716" s="1"/>
      <c r="C716" s="1"/>
    </row>
    <row r="717" spans="2:3" ht="15.75" customHeight="1">
      <c r="B717" s="1"/>
      <c r="C717" s="1"/>
    </row>
    <row r="718" spans="2:3" ht="15.75" customHeight="1">
      <c r="B718" s="1"/>
      <c r="C718" s="1"/>
    </row>
    <row r="719" spans="2:3" ht="15.75" customHeight="1">
      <c r="B719" s="1"/>
      <c r="C719" s="1"/>
    </row>
    <row r="720" spans="2:3" ht="15.75" customHeight="1">
      <c r="B720" s="1"/>
      <c r="C720" s="1"/>
    </row>
    <row r="721" spans="2:3" ht="15.75" customHeight="1">
      <c r="B721" s="1"/>
      <c r="C721" s="1"/>
    </row>
    <row r="722" spans="2:3" ht="15.75" customHeight="1">
      <c r="B722" s="1"/>
      <c r="C722" s="1"/>
    </row>
    <row r="723" spans="2:3" ht="15.75" customHeight="1">
      <c r="B723" s="1"/>
      <c r="C723" s="1"/>
    </row>
    <row r="724" spans="2:3" ht="15.75" customHeight="1">
      <c r="B724" s="1"/>
      <c r="C724" s="1"/>
    </row>
    <row r="725" spans="2:3" ht="15.75" customHeight="1">
      <c r="B725" s="1"/>
      <c r="C725" s="1"/>
    </row>
    <row r="726" spans="2:3" ht="15.75" customHeight="1">
      <c r="B726" s="1"/>
      <c r="C726" s="1"/>
    </row>
    <row r="727" spans="2:3" ht="15.75" customHeight="1">
      <c r="B727" s="1"/>
      <c r="C727" s="1"/>
    </row>
    <row r="728" spans="2:3" ht="15.75" customHeight="1">
      <c r="B728" s="1"/>
      <c r="C728" s="1"/>
    </row>
    <row r="729" spans="2:3" ht="15.75" customHeight="1">
      <c r="B729" s="1"/>
      <c r="C729" s="1"/>
    </row>
    <row r="730" spans="2:3" ht="15.75" customHeight="1">
      <c r="B730" s="1"/>
      <c r="C730" s="1"/>
    </row>
    <row r="731" spans="2:3" ht="15.75" customHeight="1">
      <c r="B731" s="1"/>
      <c r="C731" s="1"/>
    </row>
    <row r="732" spans="2:3" ht="15.75" customHeight="1">
      <c r="B732" s="1"/>
      <c r="C732" s="1"/>
    </row>
    <row r="733" spans="2:3" ht="15.75" customHeight="1">
      <c r="B733" s="1"/>
      <c r="C733" s="1"/>
    </row>
    <row r="734" spans="2:3" ht="15.75" customHeight="1">
      <c r="B734" s="1"/>
      <c r="C734" s="1"/>
    </row>
    <row r="735" spans="2:3" ht="15.75" customHeight="1">
      <c r="B735" s="1"/>
      <c r="C735" s="1"/>
    </row>
    <row r="736" spans="2:3" ht="15.75" customHeight="1">
      <c r="B736" s="1"/>
      <c r="C736" s="1"/>
    </row>
    <row r="737" spans="2:3" ht="15.75" customHeight="1">
      <c r="B737" s="1"/>
      <c r="C737" s="1"/>
    </row>
    <row r="738" spans="2:3" ht="15.75" customHeight="1">
      <c r="B738" s="1"/>
      <c r="C738" s="1"/>
    </row>
    <row r="739" spans="2:3" ht="15.75" customHeight="1">
      <c r="B739" s="1"/>
      <c r="C739" s="1"/>
    </row>
    <row r="740" spans="2:3" ht="15.75" customHeight="1">
      <c r="B740" s="1"/>
      <c r="C740" s="1"/>
    </row>
    <row r="741" spans="2:3" ht="15.75" customHeight="1">
      <c r="B741" s="1"/>
      <c r="C741" s="1"/>
    </row>
    <row r="742" spans="2:3" ht="15.75" customHeight="1">
      <c r="B742" s="1"/>
      <c r="C742" s="1"/>
    </row>
    <row r="743" spans="2:3" ht="15.75" customHeight="1">
      <c r="B743" s="1"/>
      <c r="C743" s="1"/>
    </row>
    <row r="744" spans="2:3" ht="15.75" customHeight="1">
      <c r="B744" s="1"/>
      <c r="C744" s="1"/>
    </row>
    <row r="745" spans="2:3" ht="15.75" customHeight="1">
      <c r="B745" s="1"/>
      <c r="C745" s="1"/>
    </row>
    <row r="746" spans="2:3" ht="15.75" customHeight="1">
      <c r="B746" s="1"/>
      <c r="C746" s="1"/>
    </row>
    <row r="747" spans="2:3" ht="15.75" customHeight="1">
      <c r="B747" s="1"/>
      <c r="C747" s="1"/>
    </row>
    <row r="748" spans="2:3" ht="15.75" customHeight="1">
      <c r="B748" s="1"/>
      <c r="C748" s="1"/>
    </row>
    <row r="749" spans="2:3" ht="15.75" customHeight="1">
      <c r="B749" s="1"/>
      <c r="C749" s="1"/>
    </row>
    <row r="750" spans="2:3" ht="15.75" customHeight="1">
      <c r="B750" s="1"/>
      <c r="C750" s="1"/>
    </row>
    <row r="751" spans="2:3" ht="15.75" customHeight="1">
      <c r="B751" s="1"/>
      <c r="C751" s="1"/>
    </row>
    <row r="752" spans="2:3" ht="15.75" customHeight="1">
      <c r="B752" s="1"/>
      <c r="C752" s="1"/>
    </row>
    <row r="753" spans="2:3" ht="15.75" customHeight="1">
      <c r="B753" s="1"/>
      <c r="C753" s="1"/>
    </row>
    <row r="754" spans="2:3" ht="15.75" customHeight="1">
      <c r="B754" s="1"/>
      <c r="C754" s="1"/>
    </row>
    <row r="755" spans="2:3" ht="15.75" customHeight="1">
      <c r="B755" s="1"/>
      <c r="C755" s="1"/>
    </row>
    <row r="756" spans="2:3" ht="15.75" customHeight="1">
      <c r="B756" s="1"/>
      <c r="C756" s="1"/>
    </row>
    <row r="757" spans="2:3" ht="15.75" customHeight="1">
      <c r="B757" s="1"/>
      <c r="C757" s="1"/>
    </row>
    <row r="758" spans="2:3" ht="15.75" customHeight="1">
      <c r="B758" s="1"/>
      <c r="C758" s="1"/>
    </row>
    <row r="759" spans="2:3" ht="15.75" customHeight="1">
      <c r="B759" s="1"/>
      <c r="C759" s="1"/>
    </row>
    <row r="760" spans="2:3" ht="15.75" customHeight="1">
      <c r="B760" s="1"/>
      <c r="C760" s="1"/>
    </row>
    <row r="761" spans="2:3" ht="15.75" customHeight="1">
      <c r="B761" s="1"/>
      <c r="C761" s="1"/>
    </row>
    <row r="762" spans="2:3" ht="15.75" customHeight="1">
      <c r="B762" s="1"/>
      <c r="C762" s="1"/>
    </row>
    <row r="763" spans="2:3" ht="15.75" customHeight="1">
      <c r="B763" s="1"/>
      <c r="C763" s="1"/>
    </row>
    <row r="764" spans="2:3" ht="15.75" customHeight="1">
      <c r="B764" s="1"/>
      <c r="C764" s="1"/>
    </row>
    <row r="765" spans="2:3" ht="15.75" customHeight="1">
      <c r="B765" s="1"/>
      <c r="C765" s="1"/>
    </row>
    <row r="766" spans="2:3" ht="15.75" customHeight="1">
      <c r="B766" s="1"/>
      <c r="C766" s="1"/>
    </row>
    <row r="767" spans="2:3" ht="15.75" customHeight="1">
      <c r="B767" s="1"/>
      <c r="C767" s="1"/>
    </row>
    <row r="768" spans="2:3" ht="15.75" customHeight="1">
      <c r="B768" s="1"/>
      <c r="C768" s="1"/>
    </row>
    <row r="769" spans="2:3" ht="15.75" customHeight="1">
      <c r="B769" s="1"/>
      <c r="C769" s="1"/>
    </row>
    <row r="770" spans="2:3" ht="15.75" customHeight="1">
      <c r="B770" s="1"/>
      <c r="C770" s="1"/>
    </row>
    <row r="771" spans="2:3" ht="15.75" customHeight="1">
      <c r="B771" s="1"/>
      <c r="C771" s="1"/>
    </row>
    <row r="772" spans="2:3" ht="15.75" customHeight="1">
      <c r="B772" s="1"/>
      <c r="C772" s="1"/>
    </row>
    <row r="773" spans="2:3" ht="15.75" customHeight="1">
      <c r="B773" s="1"/>
      <c r="C773" s="1"/>
    </row>
    <row r="774" spans="2:3" ht="15.75" customHeight="1">
      <c r="B774" s="1"/>
      <c r="C774" s="1"/>
    </row>
    <row r="775" spans="2:3" ht="15.75" customHeight="1">
      <c r="B775" s="1"/>
      <c r="C775" s="1"/>
    </row>
    <row r="776" spans="2:3" ht="15.75" customHeight="1">
      <c r="B776" s="1"/>
      <c r="C776" s="1"/>
    </row>
    <row r="777" spans="2:3" ht="15.75" customHeight="1">
      <c r="B777" s="1"/>
      <c r="C777" s="1"/>
    </row>
    <row r="778" spans="2:3" ht="15.75" customHeight="1">
      <c r="B778" s="1"/>
      <c r="C778" s="1"/>
    </row>
    <row r="779" spans="2:3" ht="15.75" customHeight="1">
      <c r="B779" s="1"/>
      <c r="C779" s="1"/>
    </row>
    <row r="780" spans="2:3" ht="15.75" customHeight="1">
      <c r="B780" s="1"/>
      <c r="C780" s="1"/>
    </row>
    <row r="781" spans="2:3" ht="15.75" customHeight="1">
      <c r="B781" s="1"/>
      <c r="C781" s="1"/>
    </row>
    <row r="782" spans="2:3" ht="15.75" customHeight="1">
      <c r="B782" s="1"/>
      <c r="C782" s="1"/>
    </row>
    <row r="783" spans="2:3" ht="15.75" customHeight="1">
      <c r="B783" s="1"/>
      <c r="C783" s="1"/>
    </row>
    <row r="784" spans="2:3" ht="15.75" customHeight="1">
      <c r="B784" s="1"/>
      <c r="C784" s="1"/>
    </row>
    <row r="785" spans="2:3" ht="15.75" customHeight="1">
      <c r="B785" s="1"/>
      <c r="C785" s="1"/>
    </row>
    <row r="786" spans="2:3" ht="15.75" customHeight="1">
      <c r="B786" s="1"/>
      <c r="C786" s="1"/>
    </row>
    <row r="787" spans="2:3" ht="15.75" customHeight="1">
      <c r="B787" s="1"/>
      <c r="C787" s="1"/>
    </row>
    <row r="788" spans="2:3" ht="15.75" customHeight="1">
      <c r="B788" s="1"/>
      <c r="C788" s="1"/>
    </row>
    <row r="789" spans="2:3" ht="15.75" customHeight="1">
      <c r="B789" s="1"/>
      <c r="C789" s="1"/>
    </row>
    <row r="790" spans="2:3" ht="15.75" customHeight="1">
      <c r="B790" s="1"/>
      <c r="C790" s="1"/>
    </row>
    <row r="791" spans="2:3" ht="15.75" customHeight="1">
      <c r="B791" s="1"/>
      <c r="C791" s="1"/>
    </row>
    <row r="792" spans="2:3" ht="15.75" customHeight="1">
      <c r="B792" s="1"/>
      <c r="C792" s="1"/>
    </row>
    <row r="793" spans="2:3" ht="15.75" customHeight="1">
      <c r="B793" s="1"/>
      <c r="C793" s="1"/>
    </row>
    <row r="794" spans="2:3" ht="15.75" customHeight="1">
      <c r="B794" s="1"/>
      <c r="C794" s="1"/>
    </row>
    <row r="795" spans="2:3" ht="15.75" customHeight="1">
      <c r="B795" s="1"/>
      <c r="C795" s="1"/>
    </row>
    <row r="796" spans="2:3" ht="15.75" customHeight="1">
      <c r="B796" s="1"/>
      <c r="C796" s="1"/>
    </row>
    <row r="797" spans="2:3" ht="15.75" customHeight="1">
      <c r="B797" s="1"/>
      <c r="C797" s="1"/>
    </row>
    <row r="798" spans="2:3" ht="15.75" customHeight="1">
      <c r="B798" s="1"/>
      <c r="C798" s="1"/>
    </row>
    <row r="799" spans="2:3" ht="15.75" customHeight="1">
      <c r="B799" s="1"/>
      <c r="C799" s="1"/>
    </row>
    <row r="800" spans="2:3" ht="15.75" customHeight="1">
      <c r="B800" s="1"/>
      <c r="C800" s="1"/>
    </row>
    <row r="801" spans="2:3" ht="15.75" customHeight="1">
      <c r="B801" s="1"/>
      <c r="C801" s="1"/>
    </row>
    <row r="802" spans="2:3" ht="15.75" customHeight="1">
      <c r="B802" s="1"/>
      <c r="C802" s="1"/>
    </row>
    <row r="803" spans="2:3" ht="15.75" customHeight="1">
      <c r="B803" s="1"/>
      <c r="C803" s="1"/>
    </row>
    <row r="804" spans="2:3" ht="15.75" customHeight="1">
      <c r="B804" s="1"/>
      <c r="C804" s="1"/>
    </row>
    <row r="805" spans="2:3" ht="15.75" customHeight="1">
      <c r="B805" s="1"/>
      <c r="C805" s="1"/>
    </row>
    <row r="806" spans="2:3" ht="15.75" customHeight="1">
      <c r="B806" s="1"/>
      <c r="C806" s="1"/>
    </row>
    <row r="807" spans="2:3" ht="15.75" customHeight="1">
      <c r="B807" s="1"/>
      <c r="C807" s="1"/>
    </row>
    <row r="808" spans="2:3" ht="15.75" customHeight="1">
      <c r="B808" s="1"/>
      <c r="C808" s="1"/>
    </row>
    <row r="809" spans="2:3" ht="15.75" customHeight="1">
      <c r="B809" s="1"/>
      <c r="C809" s="1"/>
    </row>
    <row r="810" spans="2:3" ht="15.75" customHeight="1">
      <c r="B810" s="1"/>
      <c r="C810" s="1"/>
    </row>
    <row r="811" spans="2:3" ht="15.75" customHeight="1">
      <c r="B811" s="1"/>
      <c r="C811" s="1"/>
    </row>
    <row r="812" spans="2:3" ht="15.75" customHeight="1">
      <c r="B812" s="1"/>
      <c r="C812" s="1"/>
    </row>
    <row r="813" spans="2:3" ht="15.75" customHeight="1">
      <c r="B813" s="1"/>
      <c r="C813" s="1"/>
    </row>
    <row r="814" spans="2:3" ht="15.75" customHeight="1">
      <c r="B814" s="1"/>
      <c r="C814" s="1"/>
    </row>
    <row r="815" spans="2:3" ht="15.75" customHeight="1">
      <c r="B815" s="1"/>
      <c r="C815" s="1"/>
    </row>
    <row r="816" spans="2:3" ht="15.75" customHeight="1">
      <c r="B816" s="1"/>
      <c r="C816" s="1"/>
    </row>
    <row r="817" spans="2:3" ht="15.75" customHeight="1">
      <c r="B817" s="1"/>
      <c r="C817" s="1"/>
    </row>
    <row r="818" spans="2:3" ht="15.75" customHeight="1">
      <c r="B818" s="1"/>
      <c r="C818" s="1"/>
    </row>
    <row r="819" spans="2:3" ht="15.75" customHeight="1">
      <c r="B819" s="1"/>
      <c r="C819" s="1"/>
    </row>
    <row r="820" spans="2:3" ht="15.75" customHeight="1">
      <c r="B820" s="1"/>
      <c r="C820" s="1"/>
    </row>
    <row r="821" spans="2:3" ht="15.75" customHeight="1">
      <c r="B821" s="1"/>
      <c r="C821" s="1"/>
    </row>
    <row r="822" spans="2:3" ht="15.75" customHeight="1">
      <c r="B822" s="1"/>
      <c r="C822" s="1"/>
    </row>
    <row r="823" spans="2:3" ht="15.75" customHeight="1">
      <c r="B823" s="1"/>
      <c r="C823" s="1"/>
    </row>
    <row r="824" spans="2:3" ht="15.75" customHeight="1">
      <c r="B824" s="1"/>
      <c r="C824" s="1"/>
    </row>
    <row r="825" spans="2:3" ht="15.75" customHeight="1">
      <c r="B825" s="1"/>
      <c r="C825" s="1"/>
    </row>
    <row r="826" spans="2:3" ht="15.75" customHeight="1">
      <c r="B826" s="1"/>
      <c r="C826" s="1"/>
    </row>
    <row r="827" spans="2:3" ht="15.75" customHeight="1">
      <c r="B827" s="1"/>
      <c r="C827" s="1"/>
    </row>
    <row r="828" spans="2:3" ht="15.75" customHeight="1">
      <c r="B828" s="1"/>
      <c r="C828" s="1"/>
    </row>
    <row r="829" spans="2:3" ht="15.75" customHeight="1">
      <c r="B829" s="1"/>
      <c r="C829" s="1"/>
    </row>
    <row r="830" spans="2:3" ht="15.75" customHeight="1">
      <c r="B830" s="1"/>
      <c r="C830" s="1"/>
    </row>
    <row r="831" spans="2:3" ht="15.75" customHeight="1">
      <c r="B831" s="1"/>
      <c r="C831" s="1"/>
    </row>
    <row r="832" spans="2:3" ht="15.75" customHeight="1">
      <c r="B832" s="1"/>
      <c r="C832" s="1"/>
    </row>
    <row r="833" spans="2:3" ht="15.75" customHeight="1">
      <c r="B833" s="1"/>
      <c r="C833" s="1"/>
    </row>
    <row r="834" spans="2:3" ht="15.75" customHeight="1">
      <c r="B834" s="1"/>
      <c r="C834" s="1"/>
    </row>
    <row r="835" spans="2:3" ht="15.75" customHeight="1">
      <c r="B835" s="1"/>
      <c r="C835" s="1"/>
    </row>
    <row r="836" spans="2:3" ht="15.75" customHeight="1">
      <c r="B836" s="1"/>
      <c r="C836" s="1"/>
    </row>
    <row r="837" spans="2:3" ht="15.75" customHeight="1">
      <c r="B837" s="1"/>
      <c r="C837" s="1"/>
    </row>
    <row r="838" spans="2:3" ht="15.75" customHeight="1">
      <c r="B838" s="1"/>
      <c r="C838" s="1"/>
    </row>
    <row r="839" spans="2:3" ht="15.75" customHeight="1">
      <c r="B839" s="1"/>
      <c r="C839" s="1"/>
    </row>
    <row r="840" spans="2:3" ht="15.75" customHeight="1">
      <c r="B840" s="1"/>
      <c r="C840" s="1"/>
    </row>
    <row r="841" spans="2:3" ht="15.75" customHeight="1">
      <c r="B841" s="1"/>
      <c r="C841" s="1"/>
    </row>
    <row r="842" spans="2:3" ht="15.75" customHeight="1">
      <c r="B842" s="1"/>
      <c r="C842" s="1"/>
    </row>
    <row r="843" spans="2:3" ht="15.75" customHeight="1">
      <c r="B843" s="1"/>
      <c r="C843" s="1"/>
    </row>
    <row r="844" spans="2:3" ht="15.75" customHeight="1">
      <c r="B844" s="1"/>
      <c r="C844" s="1"/>
    </row>
    <row r="845" spans="2:3" ht="15.75" customHeight="1">
      <c r="B845" s="1"/>
      <c r="C845" s="1"/>
    </row>
    <row r="846" spans="2:3" ht="15.75" customHeight="1">
      <c r="B846" s="1"/>
      <c r="C846" s="1"/>
    </row>
    <row r="847" spans="2:3" ht="15.75" customHeight="1">
      <c r="B847" s="1"/>
      <c r="C847" s="1"/>
    </row>
    <row r="848" spans="2:3" ht="15.75" customHeight="1">
      <c r="B848" s="1"/>
      <c r="C848" s="1"/>
    </row>
    <row r="849" spans="2:3" ht="15.75" customHeight="1">
      <c r="B849" s="1"/>
      <c r="C849" s="1"/>
    </row>
    <row r="850" spans="2:3" ht="15.75" customHeight="1">
      <c r="B850" s="1"/>
      <c r="C850" s="1"/>
    </row>
    <row r="851" spans="2:3" ht="15.75" customHeight="1">
      <c r="B851" s="1"/>
      <c r="C851" s="1"/>
    </row>
    <row r="852" spans="2:3" ht="15.75" customHeight="1">
      <c r="B852" s="1"/>
      <c r="C852" s="1"/>
    </row>
    <row r="853" spans="2:3" ht="15.75" customHeight="1">
      <c r="B853" s="1"/>
      <c r="C853" s="1"/>
    </row>
    <row r="854" spans="2:3" ht="15.75" customHeight="1">
      <c r="B854" s="1"/>
      <c r="C854" s="1"/>
    </row>
    <row r="855" spans="2:3" ht="15.75" customHeight="1">
      <c r="B855" s="1"/>
      <c r="C855" s="1"/>
    </row>
    <row r="856" spans="2:3" ht="15.75" customHeight="1">
      <c r="B856" s="1"/>
      <c r="C856" s="1"/>
    </row>
    <row r="857" spans="2:3" ht="15.75" customHeight="1">
      <c r="B857" s="1"/>
      <c r="C857" s="1"/>
    </row>
    <row r="858" spans="2:3" ht="15.75" customHeight="1">
      <c r="B858" s="1"/>
      <c r="C858" s="1"/>
    </row>
    <row r="859" spans="2:3" ht="15.75" customHeight="1">
      <c r="B859" s="1"/>
      <c r="C859" s="1"/>
    </row>
    <row r="860" spans="2:3" ht="15.75" customHeight="1">
      <c r="B860" s="1"/>
      <c r="C860" s="1"/>
    </row>
    <row r="861" spans="2:3" ht="15.75" customHeight="1">
      <c r="B861" s="1"/>
      <c r="C861" s="1"/>
    </row>
    <row r="862" spans="2:3" ht="15.75" customHeight="1">
      <c r="B862" s="1"/>
      <c r="C862" s="1"/>
    </row>
    <row r="863" spans="2:3" ht="15.75" customHeight="1">
      <c r="B863" s="1"/>
      <c r="C863" s="1"/>
    </row>
    <row r="864" spans="2:3" ht="15.75" customHeight="1">
      <c r="B864" s="1"/>
      <c r="C864" s="1"/>
    </row>
    <row r="865" spans="2:3" ht="15.75" customHeight="1">
      <c r="B865" s="1"/>
      <c r="C865" s="1"/>
    </row>
    <row r="866" spans="2:3" ht="15.75" customHeight="1">
      <c r="B866" s="1"/>
      <c r="C866" s="1"/>
    </row>
    <row r="867" spans="2:3" ht="15.75" customHeight="1">
      <c r="B867" s="1"/>
      <c r="C867" s="1"/>
    </row>
    <row r="868" spans="2:3" ht="15.75" customHeight="1">
      <c r="B868" s="1"/>
      <c r="C868" s="1"/>
    </row>
    <row r="869" spans="2:3" ht="15.75" customHeight="1">
      <c r="B869" s="1"/>
      <c r="C869" s="1"/>
    </row>
    <row r="870" spans="2:3" ht="15.75" customHeight="1">
      <c r="B870" s="1"/>
      <c r="C870" s="1"/>
    </row>
    <row r="871" spans="2:3" ht="15.75" customHeight="1">
      <c r="B871" s="1"/>
      <c r="C871" s="1"/>
    </row>
    <row r="872" spans="2:3" ht="15.75" customHeight="1">
      <c r="B872" s="1"/>
      <c r="C872" s="1"/>
    </row>
    <row r="873" spans="2:3" ht="15.75" customHeight="1">
      <c r="B873" s="1"/>
      <c r="C873" s="1"/>
    </row>
    <row r="874" spans="2:3" ht="15.75" customHeight="1">
      <c r="B874" s="1"/>
      <c r="C874" s="1"/>
    </row>
    <row r="875" spans="2:3" ht="15.75" customHeight="1">
      <c r="B875" s="1"/>
      <c r="C875" s="1"/>
    </row>
    <row r="876" spans="2:3" ht="15.75" customHeight="1">
      <c r="B876" s="1"/>
      <c r="C876" s="1"/>
    </row>
    <row r="877" spans="2:3" ht="15.75" customHeight="1">
      <c r="B877" s="1"/>
      <c r="C877" s="1"/>
    </row>
    <row r="878" spans="2:3" ht="15.75" customHeight="1">
      <c r="B878" s="1"/>
      <c r="C878" s="1"/>
    </row>
    <row r="879" spans="2:3" ht="15.75" customHeight="1">
      <c r="B879" s="1"/>
      <c r="C879" s="1"/>
    </row>
    <row r="880" spans="2:3" ht="15.75" customHeight="1">
      <c r="B880" s="1"/>
      <c r="C880" s="1"/>
    </row>
    <row r="881" spans="2:3" ht="15.75" customHeight="1">
      <c r="B881" s="1"/>
      <c r="C881" s="1"/>
    </row>
    <row r="882" spans="2:3" ht="15.75" customHeight="1">
      <c r="B882" s="1"/>
      <c r="C882" s="1"/>
    </row>
    <row r="883" spans="2:3" ht="15.75" customHeight="1">
      <c r="B883" s="1"/>
      <c r="C883" s="1"/>
    </row>
    <row r="884" spans="2:3" ht="15.75" customHeight="1">
      <c r="B884" s="1"/>
      <c r="C884" s="1"/>
    </row>
    <row r="885" spans="2:3" ht="15.75" customHeight="1">
      <c r="B885" s="1"/>
      <c r="C885" s="1"/>
    </row>
    <row r="886" spans="2:3" ht="15.75" customHeight="1">
      <c r="B886" s="1"/>
      <c r="C886" s="1"/>
    </row>
    <row r="887" spans="2:3" ht="15.75" customHeight="1">
      <c r="B887" s="1"/>
      <c r="C887" s="1"/>
    </row>
    <row r="888" spans="2:3" ht="15.75" customHeight="1">
      <c r="B888" s="1"/>
      <c r="C888" s="1"/>
    </row>
    <row r="889" spans="2:3" ht="15.75" customHeight="1">
      <c r="B889" s="1"/>
      <c r="C889" s="1"/>
    </row>
    <row r="890" spans="2:3" ht="15.75" customHeight="1">
      <c r="B890" s="1"/>
      <c r="C890" s="1"/>
    </row>
    <row r="891" spans="2:3" ht="15.75" customHeight="1">
      <c r="B891" s="1"/>
      <c r="C891" s="1"/>
    </row>
    <row r="892" spans="2:3" ht="15.75" customHeight="1">
      <c r="B892" s="1"/>
      <c r="C892" s="1"/>
    </row>
    <row r="893" spans="2:3" ht="15.75" customHeight="1">
      <c r="B893" s="1"/>
      <c r="C893" s="1"/>
    </row>
    <row r="894" spans="2:3" ht="15.75" customHeight="1">
      <c r="B894" s="1"/>
      <c r="C894" s="1"/>
    </row>
    <row r="895" spans="2:3" ht="15.75" customHeight="1">
      <c r="B895" s="1"/>
      <c r="C895" s="1"/>
    </row>
    <row r="896" spans="2:3" ht="15.75" customHeight="1">
      <c r="B896" s="1"/>
      <c r="C896" s="1"/>
    </row>
    <row r="897" spans="2:3" ht="15.75" customHeight="1">
      <c r="B897" s="1"/>
      <c r="C897" s="1"/>
    </row>
    <row r="898" spans="2:3" ht="15.75" customHeight="1">
      <c r="B898" s="1"/>
      <c r="C898" s="1"/>
    </row>
    <row r="899" spans="2:3" ht="15.75" customHeight="1">
      <c r="B899" s="1"/>
      <c r="C899" s="1"/>
    </row>
    <row r="900" spans="2:3" ht="15.75" customHeight="1">
      <c r="B900" s="1"/>
      <c r="C900" s="1"/>
    </row>
    <row r="901" spans="2:3" ht="15.75" customHeight="1">
      <c r="B901" s="1"/>
      <c r="C901" s="1"/>
    </row>
    <row r="902" spans="2:3" ht="15.75" customHeight="1">
      <c r="B902" s="1"/>
      <c r="C902" s="1"/>
    </row>
    <row r="903" spans="2:3" ht="15.75" customHeight="1">
      <c r="B903" s="1"/>
      <c r="C903" s="1"/>
    </row>
    <row r="904" spans="2:3" ht="15.75" customHeight="1">
      <c r="B904" s="1"/>
      <c r="C904" s="1"/>
    </row>
    <row r="905" spans="2:3" ht="15.75" customHeight="1">
      <c r="B905" s="1"/>
      <c r="C905" s="1"/>
    </row>
    <row r="906" spans="2:3" ht="15.75" customHeight="1">
      <c r="B906" s="1"/>
      <c r="C906" s="1"/>
    </row>
    <row r="907" spans="2:3" ht="15.75" customHeight="1">
      <c r="B907" s="1"/>
      <c r="C907" s="1"/>
    </row>
    <row r="908" spans="2:3" ht="15.75" customHeight="1">
      <c r="B908" s="1"/>
      <c r="C908" s="1"/>
    </row>
    <row r="909" spans="2:3" ht="15.75" customHeight="1">
      <c r="B909" s="1"/>
      <c r="C909" s="1"/>
    </row>
    <row r="910" spans="2:3" ht="15.75" customHeight="1">
      <c r="B910" s="1"/>
      <c r="C910" s="1"/>
    </row>
    <row r="911" spans="2:3" ht="15.75" customHeight="1">
      <c r="B911" s="1"/>
      <c r="C911" s="1"/>
    </row>
    <row r="912" spans="2:3" ht="15.75" customHeight="1">
      <c r="B912" s="1"/>
      <c r="C912" s="1"/>
    </row>
    <row r="913" spans="2:3" ht="15.75" customHeight="1">
      <c r="B913" s="1"/>
      <c r="C913" s="1"/>
    </row>
    <row r="914" spans="2:3" ht="15.75" customHeight="1">
      <c r="B914" s="1"/>
      <c r="C914" s="1"/>
    </row>
    <row r="915" spans="2:3" ht="15.75" customHeight="1">
      <c r="B915" s="1"/>
      <c r="C915" s="1"/>
    </row>
    <row r="916" spans="2:3" ht="15.75" customHeight="1">
      <c r="B916" s="1"/>
      <c r="C916" s="1"/>
    </row>
    <row r="917" spans="2:3" ht="15.75" customHeight="1">
      <c r="B917" s="1"/>
      <c r="C917" s="1"/>
    </row>
    <row r="918" spans="2:3" ht="15.75" customHeight="1">
      <c r="B918" s="1"/>
      <c r="C918" s="1"/>
    </row>
    <row r="919" spans="2:3" ht="15.75" customHeight="1">
      <c r="B919" s="1"/>
      <c r="C919" s="1"/>
    </row>
    <row r="920" spans="2:3" ht="15.75" customHeight="1">
      <c r="B920" s="1"/>
      <c r="C920" s="1"/>
    </row>
    <row r="921" spans="2:3" ht="15.75" customHeight="1">
      <c r="B921" s="1"/>
      <c r="C921" s="1"/>
    </row>
    <row r="922" spans="2:3" ht="15.75" customHeight="1">
      <c r="B922" s="1"/>
      <c r="C922" s="1"/>
    </row>
    <row r="923" spans="2:3" ht="15.75" customHeight="1">
      <c r="B923" s="1"/>
      <c r="C923" s="1"/>
    </row>
    <row r="924" spans="2:3" ht="15.75" customHeight="1">
      <c r="B924" s="1"/>
      <c r="C924" s="1"/>
    </row>
    <row r="925" spans="2:3" ht="15.75" customHeight="1">
      <c r="B925" s="1"/>
      <c r="C925" s="1"/>
    </row>
    <row r="926" spans="2:3" ht="15.75" customHeight="1">
      <c r="B926" s="1"/>
      <c r="C926" s="1"/>
    </row>
    <row r="927" spans="2:3" ht="15.75" customHeight="1">
      <c r="B927" s="1"/>
      <c r="C927" s="1"/>
    </row>
    <row r="928" spans="2:3" ht="15.75" customHeight="1">
      <c r="B928" s="1"/>
      <c r="C928" s="1"/>
    </row>
    <row r="929" spans="2:3" ht="15.75" customHeight="1">
      <c r="B929" s="1"/>
      <c r="C929" s="1"/>
    </row>
    <row r="930" spans="2:3" ht="15.75" customHeight="1">
      <c r="B930" s="1"/>
      <c r="C930" s="1"/>
    </row>
    <row r="931" spans="2:3" ht="15.75" customHeight="1">
      <c r="B931" s="1"/>
      <c r="C931" s="1"/>
    </row>
    <row r="932" spans="2:3" ht="15.75" customHeight="1">
      <c r="B932" s="1"/>
      <c r="C932" s="1"/>
    </row>
    <row r="933" spans="2:3" ht="15.75" customHeight="1">
      <c r="B933" s="1"/>
      <c r="C933" s="1"/>
    </row>
    <row r="934" spans="2:3" ht="15.75" customHeight="1">
      <c r="B934" s="1"/>
      <c r="C934" s="1"/>
    </row>
    <row r="935" spans="2:3" ht="15.75" customHeight="1">
      <c r="B935" s="1"/>
      <c r="C935" s="1"/>
    </row>
    <row r="936" spans="2:3" ht="15.75" customHeight="1">
      <c r="B936" s="1"/>
      <c r="C936" s="1"/>
    </row>
    <row r="937" spans="2:3" ht="15.75" customHeight="1">
      <c r="B937" s="1"/>
      <c r="C937" s="1"/>
    </row>
    <row r="938" spans="2:3" ht="15.75" customHeight="1">
      <c r="B938" s="1"/>
      <c r="C938" s="1"/>
    </row>
    <row r="939" spans="2:3" ht="15.75" customHeight="1">
      <c r="B939" s="1"/>
      <c r="C939" s="1"/>
    </row>
    <row r="940" spans="2:3" ht="15.75" customHeight="1">
      <c r="B940" s="1"/>
      <c r="C940" s="1"/>
    </row>
    <row r="941" spans="2:3" ht="15.75" customHeight="1">
      <c r="B941" s="1"/>
      <c r="C941" s="1"/>
    </row>
    <row r="942" spans="2:3" ht="15.75" customHeight="1">
      <c r="B942" s="1"/>
      <c r="C942" s="1"/>
    </row>
    <row r="943" spans="2:3" ht="15.75" customHeight="1">
      <c r="B943" s="1"/>
      <c r="C943" s="1"/>
    </row>
    <row r="944" spans="2:3" ht="15.75" customHeight="1">
      <c r="B944" s="1"/>
      <c r="C944" s="1"/>
    </row>
    <row r="945" spans="2:3" ht="15.75" customHeight="1">
      <c r="B945" s="1"/>
      <c r="C945" s="1"/>
    </row>
    <row r="946" spans="2:3" ht="15.75" customHeight="1">
      <c r="B946" s="1"/>
      <c r="C946" s="1"/>
    </row>
    <row r="947" spans="2:3" ht="15.75" customHeight="1">
      <c r="B947" s="1"/>
      <c r="C947" s="1"/>
    </row>
    <row r="948" spans="2:3" ht="15.75" customHeight="1">
      <c r="B948" s="1"/>
      <c r="C948" s="1"/>
    </row>
    <row r="949" spans="2:3" ht="15.75" customHeight="1">
      <c r="B949" s="1"/>
      <c r="C949" s="1"/>
    </row>
    <row r="950" spans="2:3" ht="15.75" customHeight="1">
      <c r="B950" s="1"/>
      <c r="C950" s="1"/>
    </row>
    <row r="951" spans="2:3" ht="15.75" customHeight="1">
      <c r="B951" s="1"/>
      <c r="C951" s="1"/>
    </row>
    <row r="952" spans="2:3" ht="15.75" customHeight="1">
      <c r="B952" s="1"/>
      <c r="C952" s="1"/>
    </row>
    <row r="953" spans="2:3" ht="15.75" customHeight="1">
      <c r="B953" s="1"/>
      <c r="C953" s="1"/>
    </row>
    <row r="954" spans="2:3" ht="15.75" customHeight="1">
      <c r="B954" s="1"/>
      <c r="C954" s="1"/>
    </row>
    <row r="955" spans="2:3" ht="15.75" customHeight="1">
      <c r="B955" s="1"/>
      <c r="C955" s="1"/>
    </row>
    <row r="956" spans="2:3" ht="15.75" customHeight="1">
      <c r="B956" s="1"/>
      <c r="C956" s="1"/>
    </row>
    <row r="957" spans="2:3" ht="15.75" customHeight="1">
      <c r="B957" s="1"/>
      <c r="C957" s="1"/>
    </row>
    <row r="958" spans="2:3" ht="15.75" customHeight="1">
      <c r="B958" s="1"/>
      <c r="C958" s="1"/>
    </row>
    <row r="959" spans="2:3" ht="15.75" customHeight="1">
      <c r="B959" s="1"/>
      <c r="C959" s="1"/>
    </row>
    <row r="960" spans="2:3" ht="15.75" customHeight="1">
      <c r="B960" s="1"/>
      <c r="C960" s="1"/>
    </row>
    <row r="961" spans="2:3" ht="15.75" customHeight="1">
      <c r="B961" s="1"/>
      <c r="C961" s="1"/>
    </row>
    <row r="962" spans="2:3" ht="15.75" customHeight="1">
      <c r="B962" s="1"/>
      <c r="C962" s="1"/>
    </row>
    <row r="963" spans="2:3" ht="15.75" customHeight="1">
      <c r="B963" s="1"/>
      <c r="C963" s="1"/>
    </row>
    <row r="964" spans="2:3" ht="15.75" customHeight="1">
      <c r="B964" s="1"/>
      <c r="C964" s="1"/>
    </row>
    <row r="965" spans="2:3" ht="15.75" customHeight="1">
      <c r="B965" s="1"/>
      <c r="C965" s="1"/>
    </row>
    <row r="966" spans="2:3" ht="15.75" customHeight="1">
      <c r="B966" s="1"/>
      <c r="C966" s="1"/>
    </row>
    <row r="967" spans="2:3" ht="15.75" customHeight="1">
      <c r="B967" s="1"/>
      <c r="C967" s="1"/>
    </row>
    <row r="968" spans="2:3" ht="15.75" customHeight="1">
      <c r="B968" s="1"/>
      <c r="C968" s="1"/>
    </row>
    <row r="969" spans="2:3" ht="15.75" customHeight="1">
      <c r="B969" s="1"/>
      <c r="C969" s="1"/>
    </row>
    <row r="970" spans="2:3" ht="15.75" customHeight="1">
      <c r="B970" s="1"/>
      <c r="C970" s="1"/>
    </row>
    <row r="971" spans="2:3" ht="15.75" customHeight="1">
      <c r="B971" s="1"/>
      <c r="C971" s="1"/>
    </row>
    <row r="972" spans="2:3" ht="15.75" customHeight="1">
      <c r="B972" s="1"/>
      <c r="C972" s="1"/>
    </row>
    <row r="973" spans="2:3" ht="15.75" customHeight="1">
      <c r="B973" s="1"/>
      <c r="C973" s="1"/>
    </row>
    <row r="974" spans="2:3" ht="15.75" customHeight="1">
      <c r="B974" s="1"/>
      <c r="C974" s="1"/>
    </row>
    <row r="975" spans="2:3" ht="15.75" customHeight="1">
      <c r="B975" s="1"/>
      <c r="C975" s="1"/>
    </row>
    <row r="976" spans="2:3" ht="15.75" customHeight="1">
      <c r="B976" s="1"/>
      <c r="C976" s="1"/>
    </row>
    <row r="977" spans="2:3" ht="15.75" customHeight="1">
      <c r="B977" s="1"/>
      <c r="C977" s="1"/>
    </row>
    <row r="978" spans="2:3" ht="15.75" customHeight="1">
      <c r="B978" s="1"/>
      <c r="C978" s="1"/>
    </row>
    <row r="979" spans="2:3" ht="15.75" customHeight="1">
      <c r="B979" s="1"/>
      <c r="C979" s="1"/>
    </row>
    <row r="980" spans="2:3" ht="15.75" customHeight="1">
      <c r="B980" s="1"/>
      <c r="C980" s="1"/>
    </row>
    <row r="981" spans="2:3" ht="15.75" customHeight="1">
      <c r="B981" s="1"/>
      <c r="C981" s="1"/>
    </row>
    <row r="982" spans="2:3" ht="15.75" customHeight="1">
      <c r="B982" s="1"/>
      <c r="C982" s="1"/>
    </row>
    <row r="983" spans="2:3" ht="15.75" customHeight="1">
      <c r="B983" s="1"/>
      <c r="C983" s="1"/>
    </row>
    <row r="984" spans="2:3" ht="15.75" customHeight="1">
      <c r="B984" s="1"/>
      <c r="C984" s="1"/>
    </row>
    <row r="985" spans="2:3" ht="15.75" customHeight="1">
      <c r="B985" s="1"/>
      <c r="C985" s="1"/>
    </row>
    <row r="986" spans="2:3" ht="15.75" customHeight="1">
      <c r="B986" s="1"/>
      <c r="C986" s="1"/>
    </row>
    <row r="987" spans="2:3" ht="15.75" customHeight="1">
      <c r="B987" s="1"/>
      <c r="C987" s="1"/>
    </row>
    <row r="988" spans="2:3" ht="15.75" customHeight="1">
      <c r="B988" s="1"/>
      <c r="C988" s="1"/>
    </row>
    <row r="989" spans="2:3" ht="15.75" customHeight="1">
      <c r="B989" s="1"/>
      <c r="C989" s="1"/>
    </row>
    <row r="990" spans="2:3" ht="15.75" customHeight="1">
      <c r="B990" s="1"/>
      <c r="C990" s="1"/>
    </row>
    <row r="991" spans="2:3" ht="15.75" customHeight="1">
      <c r="B991" s="1"/>
      <c r="C991" s="1"/>
    </row>
    <row r="992" spans="2:3" ht="15.75" customHeight="1">
      <c r="B992" s="1"/>
      <c r="C992" s="1"/>
    </row>
    <row r="993" spans="2:3" ht="15.75" customHeight="1">
      <c r="B993" s="1"/>
      <c r="C993" s="1"/>
    </row>
    <row r="994" spans="2:3" ht="15.75" customHeight="1">
      <c r="B994" s="1"/>
      <c r="C994" s="1"/>
    </row>
    <row r="995" spans="2:3" ht="15.75" customHeight="1">
      <c r="B995" s="1"/>
      <c r="C995" s="1"/>
    </row>
    <row r="996" spans="2:3" ht="15.75" customHeight="1">
      <c r="B996" s="1"/>
      <c r="C996" s="1"/>
    </row>
    <row r="997" spans="2:3" ht="15.75" customHeight="1">
      <c r="B997" s="1"/>
      <c r="C997" s="1"/>
    </row>
    <row r="998" spans="2:3" ht="15.75" customHeight="1">
      <c r="B998" s="1"/>
      <c r="C998" s="1"/>
    </row>
    <row r="999" spans="2:3" ht="15.75" customHeight="1">
      <c r="B999" s="1"/>
      <c r="C999" s="1"/>
    </row>
  </sheetData>
  <autoFilter ref="A2:CQ40">
    <filterColumn colId="5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88" showButton="0"/>
    <filterColumn colId="89" showButton="0"/>
    <filterColumn colId="91" showButton="0"/>
    <filterColumn colId="92" showButton="0"/>
  </autoFilter>
  <mergeCells count="39">
    <mergeCell ref="BK5:BP5"/>
    <mergeCell ref="BQ5:BV5"/>
    <mergeCell ref="BW5:CB5"/>
    <mergeCell ref="BQ4:BV4"/>
    <mergeCell ref="BW4:CB4"/>
    <mergeCell ref="BK4:BP4"/>
    <mergeCell ref="O5:T5"/>
    <mergeCell ref="U5:Z5"/>
    <mergeCell ref="AA5:AF5"/>
    <mergeCell ref="AG5:AL5"/>
    <mergeCell ref="AM5:AR5"/>
    <mergeCell ref="CN2:CP2"/>
    <mergeCell ref="O3:T3"/>
    <mergeCell ref="U3:AF3"/>
    <mergeCell ref="AL3:AR3"/>
    <mergeCell ref="AS3:AX3"/>
    <mergeCell ref="AY3:BD3"/>
    <mergeCell ref="BE3:BJ3"/>
    <mergeCell ref="BK3:BP3"/>
    <mergeCell ref="BQ3:BV3"/>
    <mergeCell ref="BW3:CB3"/>
    <mergeCell ref="CK2:CM2"/>
    <mergeCell ref="CC3:CH3"/>
    <mergeCell ref="C2:C5"/>
    <mergeCell ref="D2:D5"/>
    <mergeCell ref="E2:E5"/>
    <mergeCell ref="F2:G2"/>
    <mergeCell ref="O2:CB2"/>
    <mergeCell ref="O4:T4"/>
    <mergeCell ref="U4:Z4"/>
    <mergeCell ref="AA4:AF4"/>
    <mergeCell ref="AS5:AX5"/>
    <mergeCell ref="AY5:BD5"/>
    <mergeCell ref="BE5:BJ5"/>
    <mergeCell ref="AG4:AL4"/>
    <mergeCell ref="AM4:AR4"/>
    <mergeCell ref="AS4:AX4"/>
    <mergeCell ref="AY4:BD4"/>
    <mergeCell ref="BE4:BJ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99"/>
  <sheetViews>
    <sheetView topLeftCell="BC5" zoomScale="64" zoomScaleNormal="64" workbookViewId="0">
      <selection activeCell="BK7" sqref="BK7:BQ42"/>
    </sheetView>
  </sheetViews>
  <sheetFormatPr baseColWidth="10" defaultColWidth="14.42578125" defaultRowHeight="15" customHeight="1"/>
  <cols>
    <col min="1" max="1" width="41.5703125" style="135" customWidth="1"/>
    <col min="2" max="2" width="74" style="135" customWidth="1"/>
    <col min="3" max="4" width="21.140625" style="135" customWidth="1"/>
    <col min="5" max="5" width="44.5703125" style="135" customWidth="1"/>
    <col min="6" max="6" width="54" style="135" customWidth="1"/>
    <col min="7" max="7" width="64.42578125" style="135" customWidth="1"/>
    <col min="8" max="9" width="21.140625" style="135" customWidth="1"/>
    <col min="10" max="10" width="31.85546875" style="135" customWidth="1"/>
    <col min="11" max="11" width="53.7109375" style="135" customWidth="1"/>
    <col min="12" max="12" width="16.140625" style="135" customWidth="1"/>
    <col min="13" max="13" width="8.85546875" style="135" customWidth="1"/>
    <col min="14" max="14" width="7.85546875" style="135" customWidth="1"/>
    <col min="15" max="16" width="8.7109375" style="135" customWidth="1"/>
    <col min="17" max="17" width="8.28515625" style="135" customWidth="1"/>
    <col min="18" max="18" width="8.42578125" style="135" customWidth="1"/>
    <col min="19" max="27" width="8.28515625" style="135" customWidth="1"/>
    <col min="28" max="34" width="7" style="135" customWidth="1"/>
    <col min="35" max="41" width="7.85546875" style="135" customWidth="1"/>
    <col min="42" max="48" width="8.28515625" style="135" customWidth="1"/>
    <col min="49" max="83" width="8.140625" style="135" customWidth="1"/>
    <col min="84" max="84" width="12" style="135" customWidth="1"/>
    <col min="85" max="88" width="8.140625" style="135" customWidth="1"/>
    <col min="89" max="90" width="11.42578125" style="135" customWidth="1"/>
    <col min="91" max="91" width="42.28515625" style="135" customWidth="1"/>
    <col min="92" max="92" width="43.42578125" style="135" customWidth="1"/>
    <col min="93" max="93" width="44.140625" style="135" customWidth="1"/>
    <col min="94" max="94" width="38.5703125" style="135" customWidth="1"/>
    <col min="95" max="95" width="38.42578125" style="135" customWidth="1"/>
    <col min="96" max="96" width="38.7109375" style="135" customWidth="1"/>
    <col min="97" max="97" width="135.7109375" style="135" customWidth="1"/>
    <col min="98" max="98" width="17.140625" style="135" customWidth="1"/>
    <col min="99" max="101" width="18.42578125" style="135" customWidth="1"/>
    <col min="102" max="103" width="19.140625" style="135" customWidth="1"/>
    <col min="104" max="105" width="8.85546875" style="135" customWidth="1"/>
    <col min="106" max="16384" width="14.42578125" style="135"/>
  </cols>
  <sheetData>
    <row r="1" spans="1:105">
      <c r="B1" s="2"/>
    </row>
    <row r="2" spans="1:105" ht="45">
      <c r="A2" s="69"/>
      <c r="B2" s="150" t="s">
        <v>1</v>
      </c>
      <c r="C2" s="153" t="s">
        <v>501</v>
      </c>
      <c r="D2" s="153" t="s">
        <v>2</v>
      </c>
      <c r="E2" s="154" t="s">
        <v>3</v>
      </c>
      <c r="F2" s="140"/>
      <c r="G2" s="5" t="s">
        <v>4</v>
      </c>
      <c r="H2" s="4" t="s">
        <v>5</v>
      </c>
      <c r="I2" s="6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155" t="s">
        <v>11</v>
      </c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1"/>
      <c r="CL2" s="68"/>
      <c r="CM2" s="68"/>
      <c r="CN2" s="68"/>
      <c r="CO2" s="68"/>
      <c r="CP2" s="68"/>
      <c r="CQ2" s="68"/>
      <c r="CR2" s="68"/>
      <c r="CS2" s="68"/>
      <c r="CT2" s="5"/>
      <c r="CU2" s="154" t="s">
        <v>12</v>
      </c>
      <c r="CV2" s="140"/>
      <c r="CW2" s="141"/>
      <c r="CX2" s="154" t="s">
        <v>13</v>
      </c>
      <c r="CY2" s="140"/>
      <c r="CZ2" s="141"/>
      <c r="DA2" s="69"/>
    </row>
    <row r="3" spans="1:105" ht="46.5" customHeight="1">
      <c r="A3" s="8"/>
      <c r="B3" s="151"/>
      <c r="C3" s="151"/>
      <c r="D3" s="151"/>
      <c r="E3" s="134"/>
      <c r="F3" s="133"/>
      <c r="G3" s="18"/>
      <c r="H3" s="13"/>
      <c r="I3" s="13"/>
      <c r="J3" s="13"/>
      <c r="K3" s="13"/>
      <c r="L3" s="13"/>
      <c r="M3" s="13"/>
      <c r="N3" s="157" t="s">
        <v>14</v>
      </c>
      <c r="O3" s="140"/>
      <c r="P3" s="140"/>
      <c r="Q3" s="140"/>
      <c r="R3" s="140"/>
      <c r="S3" s="140"/>
      <c r="T3" s="141"/>
      <c r="U3" s="136" t="s">
        <v>15</v>
      </c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8"/>
      <c r="AI3" s="136" t="s">
        <v>16</v>
      </c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8"/>
      <c r="AW3" s="139" t="s">
        <v>17</v>
      </c>
      <c r="AX3" s="140"/>
      <c r="AY3" s="140"/>
      <c r="AZ3" s="140"/>
      <c r="BA3" s="140"/>
      <c r="BB3" s="140"/>
      <c r="BC3" s="141"/>
      <c r="BD3" s="142" t="s">
        <v>18</v>
      </c>
      <c r="BE3" s="137"/>
      <c r="BF3" s="137"/>
      <c r="BG3" s="137"/>
      <c r="BH3" s="137"/>
      <c r="BI3" s="137"/>
      <c r="BJ3" s="138"/>
      <c r="BK3" s="143" t="s">
        <v>19</v>
      </c>
      <c r="BL3" s="144"/>
      <c r="BM3" s="144"/>
      <c r="BN3" s="144"/>
      <c r="BO3" s="144"/>
      <c r="BP3" s="144"/>
      <c r="BQ3" s="145"/>
      <c r="BR3" s="139" t="s">
        <v>20</v>
      </c>
      <c r="BS3" s="140"/>
      <c r="BT3" s="140"/>
      <c r="BU3" s="140"/>
      <c r="BV3" s="140"/>
      <c r="BW3" s="140"/>
      <c r="BX3" s="141"/>
      <c r="BY3" s="139" t="s">
        <v>21</v>
      </c>
      <c r="BZ3" s="140"/>
      <c r="CA3" s="140"/>
      <c r="CB3" s="140"/>
      <c r="CC3" s="140"/>
      <c r="CD3" s="140"/>
      <c r="CE3" s="141"/>
      <c r="CF3" s="139" t="s">
        <v>22</v>
      </c>
      <c r="CG3" s="140"/>
      <c r="CH3" s="140"/>
      <c r="CI3" s="140"/>
      <c r="CJ3" s="140"/>
      <c r="CK3" s="140"/>
      <c r="CL3" s="141"/>
      <c r="CM3" s="158" t="s">
        <v>23</v>
      </c>
      <c r="CN3" s="137"/>
      <c r="CO3" s="137"/>
      <c r="CP3" s="137"/>
      <c r="CQ3" s="137"/>
      <c r="CR3" s="138"/>
      <c r="CS3" s="16" t="s">
        <v>24</v>
      </c>
      <c r="CT3" s="17" t="s">
        <v>25</v>
      </c>
      <c r="CU3" s="18" t="s">
        <v>26</v>
      </c>
      <c r="CV3" s="18" t="s">
        <v>27</v>
      </c>
      <c r="CW3" s="18" t="s">
        <v>28</v>
      </c>
      <c r="CX3" s="18" t="s">
        <v>29</v>
      </c>
      <c r="CY3" s="19" t="s">
        <v>30</v>
      </c>
      <c r="CZ3" s="19" t="s">
        <v>31</v>
      </c>
    </row>
    <row r="4" spans="1:105" ht="46.5" customHeight="1">
      <c r="A4" s="24" t="s">
        <v>654</v>
      </c>
      <c r="B4" s="151"/>
      <c r="C4" s="151"/>
      <c r="D4" s="151"/>
      <c r="E4" s="134"/>
      <c r="F4" s="133"/>
      <c r="G4" s="18"/>
      <c r="H4" s="13"/>
      <c r="I4" s="13"/>
      <c r="J4" s="13"/>
      <c r="K4" s="13"/>
      <c r="L4" s="13"/>
      <c r="M4" s="13"/>
      <c r="N4" s="157" t="s">
        <v>14</v>
      </c>
      <c r="O4" s="140"/>
      <c r="P4" s="140"/>
      <c r="Q4" s="140"/>
      <c r="R4" s="140"/>
      <c r="S4" s="140"/>
      <c r="T4" s="141"/>
      <c r="U4" s="136" t="s">
        <v>32</v>
      </c>
      <c r="V4" s="137"/>
      <c r="W4" s="137"/>
      <c r="X4" s="137"/>
      <c r="Y4" s="137"/>
      <c r="Z4" s="137"/>
      <c r="AA4" s="138"/>
      <c r="AB4" s="136" t="s">
        <v>33</v>
      </c>
      <c r="AC4" s="137"/>
      <c r="AD4" s="137"/>
      <c r="AE4" s="137"/>
      <c r="AF4" s="137"/>
      <c r="AG4" s="137"/>
      <c r="AH4" s="138"/>
      <c r="AI4" s="136" t="s">
        <v>34</v>
      </c>
      <c r="AJ4" s="137"/>
      <c r="AK4" s="137"/>
      <c r="AL4" s="137"/>
      <c r="AM4" s="137"/>
      <c r="AN4" s="137"/>
      <c r="AO4" s="138"/>
      <c r="AP4" s="146" t="s">
        <v>35</v>
      </c>
      <c r="AQ4" s="147"/>
      <c r="AR4" s="147"/>
      <c r="AS4" s="147"/>
      <c r="AT4" s="147"/>
      <c r="AU4" s="147"/>
      <c r="AV4" s="147"/>
      <c r="AW4" s="139" t="s">
        <v>17</v>
      </c>
      <c r="AX4" s="140"/>
      <c r="AY4" s="140"/>
      <c r="AZ4" s="140"/>
      <c r="BA4" s="140"/>
      <c r="BB4" s="140"/>
      <c r="BC4" s="141"/>
      <c r="BD4" s="161" t="s">
        <v>18</v>
      </c>
      <c r="BE4" s="140"/>
      <c r="BF4" s="140"/>
      <c r="BG4" s="140"/>
      <c r="BH4" s="140"/>
      <c r="BI4" s="140"/>
      <c r="BJ4" s="141"/>
      <c r="BK4" s="139" t="s">
        <v>19</v>
      </c>
      <c r="BL4" s="140"/>
      <c r="BM4" s="140"/>
      <c r="BN4" s="140"/>
      <c r="BO4" s="140"/>
      <c r="BP4" s="140"/>
      <c r="BQ4" s="141"/>
      <c r="BR4" s="139" t="s">
        <v>20</v>
      </c>
      <c r="BS4" s="140"/>
      <c r="BT4" s="140"/>
      <c r="BU4" s="140"/>
      <c r="BV4" s="140"/>
      <c r="BW4" s="140"/>
      <c r="BX4" s="141"/>
      <c r="BY4" s="139" t="s">
        <v>21</v>
      </c>
      <c r="BZ4" s="140"/>
      <c r="CA4" s="140"/>
      <c r="CB4" s="140"/>
      <c r="CC4" s="140"/>
      <c r="CD4" s="140"/>
      <c r="CE4" s="141"/>
      <c r="CF4" s="139" t="s">
        <v>22</v>
      </c>
      <c r="CG4" s="140"/>
      <c r="CH4" s="140"/>
      <c r="CI4" s="140"/>
      <c r="CJ4" s="140"/>
      <c r="CK4" s="140"/>
      <c r="CL4" s="141"/>
      <c r="CM4" s="20"/>
      <c r="CN4" s="20"/>
      <c r="CO4" s="20"/>
      <c r="CP4" s="20"/>
      <c r="CQ4" s="20"/>
      <c r="CR4" s="20"/>
      <c r="CS4" s="20"/>
      <c r="CT4" s="21"/>
      <c r="CU4" s="18"/>
      <c r="CV4" s="18"/>
      <c r="CW4" s="18"/>
      <c r="CX4" s="18"/>
      <c r="CY4" s="19"/>
      <c r="CZ4" s="19"/>
    </row>
    <row r="5" spans="1:105" ht="46.5" customHeight="1">
      <c r="A5" s="8" t="s">
        <v>36</v>
      </c>
      <c r="B5" s="152"/>
      <c r="C5" s="152"/>
      <c r="D5" s="152"/>
      <c r="E5" s="22" t="s">
        <v>37</v>
      </c>
      <c r="F5" s="19" t="s">
        <v>38</v>
      </c>
      <c r="G5" s="18"/>
      <c r="H5" s="13"/>
      <c r="I5" s="13"/>
      <c r="J5" s="13"/>
      <c r="K5" s="13"/>
      <c r="L5" s="13"/>
      <c r="M5" s="13"/>
      <c r="N5" s="156" t="s">
        <v>14</v>
      </c>
      <c r="O5" s="140"/>
      <c r="P5" s="140"/>
      <c r="Q5" s="140"/>
      <c r="R5" s="140"/>
      <c r="S5" s="140"/>
      <c r="T5" s="141"/>
      <c r="U5" s="136" t="s">
        <v>32</v>
      </c>
      <c r="V5" s="137"/>
      <c r="W5" s="137"/>
      <c r="X5" s="137"/>
      <c r="Y5" s="137"/>
      <c r="Z5" s="137"/>
      <c r="AA5" s="138"/>
      <c r="AB5" s="136" t="s">
        <v>33</v>
      </c>
      <c r="AC5" s="137"/>
      <c r="AD5" s="137"/>
      <c r="AE5" s="137"/>
      <c r="AF5" s="137"/>
      <c r="AG5" s="137"/>
      <c r="AH5" s="138"/>
      <c r="AI5" s="136" t="s">
        <v>34</v>
      </c>
      <c r="AJ5" s="137"/>
      <c r="AK5" s="137"/>
      <c r="AL5" s="137"/>
      <c r="AM5" s="137"/>
      <c r="AN5" s="137"/>
      <c r="AO5" s="138"/>
      <c r="AP5" s="156" t="s">
        <v>35</v>
      </c>
      <c r="AQ5" s="140"/>
      <c r="AR5" s="140"/>
      <c r="AS5" s="140"/>
      <c r="AT5" s="140"/>
      <c r="AU5" s="140"/>
      <c r="AV5" s="141"/>
      <c r="AW5" s="139" t="s">
        <v>17</v>
      </c>
      <c r="AX5" s="140"/>
      <c r="AY5" s="140"/>
      <c r="AZ5" s="140"/>
      <c r="BA5" s="140"/>
      <c r="BB5" s="140"/>
      <c r="BC5" s="141"/>
      <c r="BD5" s="139" t="s">
        <v>18</v>
      </c>
      <c r="BE5" s="140"/>
      <c r="BF5" s="140"/>
      <c r="BG5" s="140"/>
      <c r="BH5" s="140"/>
      <c r="BI5" s="140"/>
      <c r="BJ5" s="141"/>
      <c r="BK5" s="142" t="s">
        <v>19</v>
      </c>
      <c r="BL5" s="137"/>
      <c r="BM5" s="137"/>
      <c r="BN5" s="137"/>
      <c r="BO5" s="137"/>
      <c r="BP5" s="137"/>
      <c r="BQ5" s="138"/>
      <c r="BR5" s="139" t="s">
        <v>20</v>
      </c>
      <c r="BS5" s="140"/>
      <c r="BT5" s="140"/>
      <c r="BU5" s="140"/>
      <c r="BV5" s="140"/>
      <c r="BW5" s="140"/>
      <c r="BX5" s="141"/>
      <c r="BY5" s="139" t="s">
        <v>21</v>
      </c>
      <c r="BZ5" s="140"/>
      <c r="CA5" s="140"/>
      <c r="CB5" s="140"/>
      <c r="CC5" s="140"/>
      <c r="CD5" s="140"/>
      <c r="CE5" s="141"/>
      <c r="CF5" s="139" t="s">
        <v>22</v>
      </c>
      <c r="CG5" s="140"/>
      <c r="CH5" s="140"/>
      <c r="CI5" s="140"/>
      <c r="CJ5" s="140"/>
      <c r="CK5" s="140"/>
      <c r="CL5" s="141"/>
      <c r="CM5" s="17">
        <v>1</v>
      </c>
      <c r="CN5" s="17">
        <v>2</v>
      </c>
      <c r="CO5" s="17">
        <v>3</v>
      </c>
      <c r="CP5" s="17">
        <v>4</v>
      </c>
      <c r="CQ5" s="17">
        <v>5</v>
      </c>
      <c r="CR5" s="17">
        <v>6</v>
      </c>
      <c r="CS5" s="21"/>
      <c r="CT5" s="21"/>
      <c r="CU5" s="8"/>
      <c r="CV5" s="8"/>
      <c r="CW5" s="8"/>
      <c r="CX5" s="8"/>
      <c r="CY5" s="8"/>
      <c r="CZ5" s="8"/>
    </row>
    <row r="6" spans="1:105">
      <c r="A6" s="24"/>
      <c r="B6" s="13"/>
      <c r="C6" s="21"/>
      <c r="D6" s="21"/>
      <c r="E6" s="26"/>
      <c r="F6" s="13"/>
      <c r="G6" s="21"/>
      <c r="H6" s="21"/>
      <c r="I6" s="21"/>
      <c r="J6" s="21"/>
      <c r="K6" s="17"/>
      <c r="L6" s="21"/>
      <c r="M6" s="27"/>
      <c r="N6" s="17">
        <v>1</v>
      </c>
      <c r="O6" s="17">
        <v>2</v>
      </c>
      <c r="P6" s="17">
        <v>3</v>
      </c>
      <c r="Q6" s="17">
        <v>4</v>
      </c>
      <c r="R6" s="17">
        <v>5</v>
      </c>
      <c r="S6" s="17">
        <v>6</v>
      </c>
      <c r="T6" s="24">
        <v>7</v>
      </c>
      <c r="U6" s="17">
        <v>1</v>
      </c>
      <c r="V6" s="17">
        <v>2</v>
      </c>
      <c r="W6" s="17">
        <v>3</v>
      </c>
      <c r="X6" s="17">
        <v>4</v>
      </c>
      <c r="Y6" s="17">
        <v>5</v>
      </c>
      <c r="Z6" s="28">
        <v>6</v>
      </c>
      <c r="AA6" s="28">
        <v>7</v>
      </c>
      <c r="AB6" s="17">
        <v>1</v>
      </c>
      <c r="AC6" s="17">
        <v>2</v>
      </c>
      <c r="AD6" s="17">
        <v>3</v>
      </c>
      <c r="AE6" s="17">
        <v>4</v>
      </c>
      <c r="AF6" s="17">
        <v>5</v>
      </c>
      <c r="AG6" s="17">
        <v>6</v>
      </c>
      <c r="AH6" s="17">
        <v>7</v>
      </c>
      <c r="AI6" s="17">
        <v>1</v>
      </c>
      <c r="AJ6" s="17">
        <v>2</v>
      </c>
      <c r="AK6" s="17">
        <v>3</v>
      </c>
      <c r="AL6" s="17">
        <v>4</v>
      </c>
      <c r="AM6" s="17">
        <v>5</v>
      </c>
      <c r="AN6" s="28">
        <v>6</v>
      </c>
      <c r="AO6" s="28">
        <v>7</v>
      </c>
      <c r="AP6" s="28">
        <v>1</v>
      </c>
      <c r="AQ6" s="28">
        <v>2</v>
      </c>
      <c r="AR6" s="28">
        <v>3</v>
      </c>
      <c r="AS6" s="28">
        <v>4</v>
      </c>
      <c r="AT6" s="28">
        <v>5</v>
      </c>
      <c r="AU6" s="28">
        <v>6</v>
      </c>
      <c r="AV6" s="17">
        <v>7</v>
      </c>
      <c r="AW6" s="29">
        <v>1</v>
      </c>
      <c r="AX6" s="24">
        <v>2</v>
      </c>
      <c r="AY6" s="24">
        <v>3</v>
      </c>
      <c r="AZ6" s="24">
        <v>4</v>
      </c>
      <c r="BA6" s="24">
        <v>5</v>
      </c>
      <c r="BB6" s="24">
        <v>6</v>
      </c>
      <c r="BC6" s="24">
        <v>7</v>
      </c>
      <c r="BD6" s="24">
        <v>1</v>
      </c>
      <c r="BE6" s="24">
        <v>2</v>
      </c>
      <c r="BF6" s="24">
        <v>3</v>
      </c>
      <c r="BG6" s="24">
        <v>4</v>
      </c>
      <c r="BH6" s="24">
        <v>5</v>
      </c>
      <c r="BI6" s="24">
        <v>6</v>
      </c>
      <c r="BJ6" s="29">
        <v>7</v>
      </c>
      <c r="BK6" s="29">
        <v>1</v>
      </c>
      <c r="BL6" s="24">
        <v>2</v>
      </c>
      <c r="BM6" s="24">
        <v>3</v>
      </c>
      <c r="BN6" s="24">
        <v>4</v>
      </c>
      <c r="BO6" s="24">
        <v>5</v>
      </c>
      <c r="BP6" s="24">
        <v>6</v>
      </c>
      <c r="BQ6" s="29">
        <v>7</v>
      </c>
      <c r="BR6" s="29">
        <v>1</v>
      </c>
      <c r="BS6" s="24">
        <v>2</v>
      </c>
      <c r="BT6" s="24">
        <v>3</v>
      </c>
      <c r="BU6" s="24">
        <v>4</v>
      </c>
      <c r="BV6" s="24">
        <v>5</v>
      </c>
      <c r="BW6" s="24">
        <v>6</v>
      </c>
      <c r="BX6" s="29">
        <v>7</v>
      </c>
      <c r="BY6" s="29">
        <v>1</v>
      </c>
      <c r="BZ6" s="24">
        <v>2</v>
      </c>
      <c r="CA6" s="24">
        <v>3</v>
      </c>
      <c r="CB6" s="24">
        <v>4</v>
      </c>
      <c r="CC6" s="24">
        <v>5</v>
      </c>
      <c r="CD6" s="24">
        <v>6</v>
      </c>
      <c r="CE6" s="29">
        <v>7</v>
      </c>
      <c r="CF6" s="29">
        <v>1</v>
      </c>
      <c r="CG6" s="24">
        <v>2</v>
      </c>
      <c r="CH6" s="24">
        <v>3</v>
      </c>
      <c r="CI6" s="24">
        <v>4</v>
      </c>
      <c r="CJ6" s="24">
        <v>5</v>
      </c>
      <c r="CK6" s="24">
        <v>6</v>
      </c>
      <c r="CL6" s="29">
        <v>7</v>
      </c>
      <c r="CM6" s="17"/>
      <c r="CN6" s="17"/>
      <c r="CO6" s="17"/>
      <c r="CP6" s="17"/>
      <c r="CQ6" s="17"/>
      <c r="CR6" s="17"/>
      <c r="CS6" s="21"/>
      <c r="CT6" s="21"/>
      <c r="CU6" s="13"/>
      <c r="CV6" s="13"/>
      <c r="CW6" s="13"/>
      <c r="CX6" s="13"/>
      <c r="CY6" s="13"/>
      <c r="CZ6" s="13"/>
    </row>
    <row r="7" spans="1:105">
      <c r="A7" s="24" t="s">
        <v>39</v>
      </c>
      <c r="B7" s="31" t="s">
        <v>655</v>
      </c>
      <c r="C7" s="28" t="s">
        <v>578</v>
      </c>
      <c r="D7" s="28" t="s">
        <v>41</v>
      </c>
      <c r="E7" s="13" t="s">
        <v>42</v>
      </c>
      <c r="F7" s="13"/>
      <c r="G7" s="13" t="s">
        <v>43</v>
      </c>
      <c r="H7" s="13" t="s">
        <v>44</v>
      </c>
      <c r="I7" s="13" t="s">
        <v>45</v>
      </c>
      <c r="J7" s="13" t="s">
        <v>46</v>
      </c>
      <c r="K7" s="28" t="s">
        <v>47</v>
      </c>
      <c r="L7" s="13">
        <v>3</v>
      </c>
      <c r="M7" s="32">
        <v>0.121</v>
      </c>
      <c r="N7" s="33">
        <v>0.48899999999999999</v>
      </c>
      <c r="O7" s="33">
        <v>0.54200000000000004</v>
      </c>
      <c r="P7" s="33">
        <v>0.70099999999999996</v>
      </c>
      <c r="Q7" s="33">
        <v>0.628</v>
      </c>
      <c r="R7" s="33">
        <v>0.64300000000000002</v>
      </c>
      <c r="S7" s="33">
        <v>0.66900000000000004</v>
      </c>
      <c r="T7" s="8"/>
      <c r="U7" s="33">
        <v>0.128</v>
      </c>
      <c r="V7" s="33">
        <v>0.108</v>
      </c>
      <c r="W7" s="33">
        <v>3.5000000000000003E-2</v>
      </c>
      <c r="X7" s="33">
        <v>5.3999999999999999E-2</v>
      </c>
      <c r="Y7" s="33">
        <v>5.2999999999999999E-2</v>
      </c>
      <c r="Z7" s="36">
        <v>7.8E-2</v>
      </c>
      <c r="AA7" s="36"/>
      <c r="AB7" s="35">
        <v>0.35</v>
      </c>
      <c r="AC7" s="35">
        <v>0.33100000000000002</v>
      </c>
      <c r="AD7" s="33">
        <v>0.24399999999999999</v>
      </c>
      <c r="AE7" s="35">
        <v>0.27400000000000002</v>
      </c>
      <c r="AF7" s="35">
        <v>0.27300000000000002</v>
      </c>
      <c r="AG7" s="36">
        <v>0.221</v>
      </c>
      <c r="AH7" s="36"/>
      <c r="AI7" s="33">
        <v>0.03</v>
      </c>
      <c r="AJ7" s="33">
        <v>1.7999999999999999E-2</v>
      </c>
      <c r="AK7" s="33">
        <v>0.02</v>
      </c>
      <c r="AL7" s="33">
        <v>3.5999999999999997E-2</v>
      </c>
      <c r="AM7" s="33">
        <v>2.5999999999999999E-2</v>
      </c>
      <c r="AN7" s="36">
        <v>2.8000000000000001E-2</v>
      </c>
      <c r="AO7" s="36"/>
      <c r="AP7" s="33">
        <v>3.0000000000000001E-3</v>
      </c>
      <c r="AQ7" s="33">
        <v>1E-3</v>
      </c>
      <c r="AR7" s="33">
        <v>0</v>
      </c>
      <c r="AS7" s="33">
        <v>8.0000000000000002E-3</v>
      </c>
      <c r="AT7" s="33">
        <v>5.0000000000000001E-3</v>
      </c>
      <c r="AU7" s="36">
        <v>4.0000000000000001E-3</v>
      </c>
      <c r="AV7" s="36"/>
      <c r="AW7" s="24">
        <v>56.6</v>
      </c>
      <c r="AX7" s="24">
        <v>48.4</v>
      </c>
      <c r="AY7" s="24">
        <v>29.9</v>
      </c>
      <c r="AZ7" s="24">
        <v>41.6</v>
      </c>
      <c r="BA7" s="24">
        <v>38.1</v>
      </c>
      <c r="BB7" s="24">
        <v>38.1</v>
      </c>
      <c r="BC7" s="24"/>
      <c r="BD7" s="36">
        <v>0.23899999999999999</v>
      </c>
      <c r="BE7" s="36">
        <v>0.86599999999999999</v>
      </c>
      <c r="BF7" s="36">
        <v>0.91100000000000003</v>
      </c>
      <c r="BG7" s="36">
        <v>0.89500000000000002</v>
      </c>
      <c r="BH7" s="36">
        <v>0.77700000000000002</v>
      </c>
      <c r="BI7" s="36">
        <v>0.82799999999999996</v>
      </c>
      <c r="BJ7" s="36"/>
      <c r="BK7" s="33">
        <v>0.38900000000000001</v>
      </c>
      <c r="BL7" s="36">
        <v>0.36799999999999999</v>
      </c>
      <c r="BM7" s="36">
        <v>0.33300000000000002</v>
      </c>
      <c r="BN7" s="36">
        <v>0.36099999999999999</v>
      </c>
      <c r="BO7" s="36">
        <v>0.35899999999999999</v>
      </c>
      <c r="BP7" s="36">
        <v>0.39400000000000002</v>
      </c>
      <c r="BQ7" s="36"/>
      <c r="BR7" s="33">
        <v>7.4999999999999997E-2</v>
      </c>
      <c r="BS7" s="36">
        <v>7.4999999999999997E-2</v>
      </c>
      <c r="BT7" s="36">
        <v>7.0000000000000007E-2</v>
      </c>
      <c r="BU7" s="36">
        <v>7.0999999999999994E-2</v>
      </c>
      <c r="BV7" s="36">
        <v>7.0000000000000007E-2</v>
      </c>
      <c r="BW7" s="36">
        <v>7.0000000000000007E-2</v>
      </c>
      <c r="BX7" s="36"/>
      <c r="BY7" s="28">
        <v>15</v>
      </c>
      <c r="BZ7" s="24">
        <v>14</v>
      </c>
      <c r="CA7" s="24">
        <v>10</v>
      </c>
      <c r="CB7" s="24">
        <v>15</v>
      </c>
      <c r="CC7" s="24">
        <v>11</v>
      </c>
      <c r="CD7" s="24">
        <v>14</v>
      </c>
      <c r="CE7" s="24"/>
      <c r="CF7" s="28" t="s">
        <v>504</v>
      </c>
      <c r="CG7" s="24" t="s">
        <v>656</v>
      </c>
      <c r="CH7" s="24" t="s">
        <v>657</v>
      </c>
      <c r="CI7" s="24" t="s">
        <v>658</v>
      </c>
      <c r="CJ7" s="24" t="s">
        <v>659</v>
      </c>
      <c r="CK7" s="24" t="s">
        <v>660</v>
      </c>
      <c r="CL7" s="24"/>
      <c r="CM7" s="28" t="s">
        <v>51</v>
      </c>
      <c r="CN7" s="28" t="s">
        <v>52</v>
      </c>
      <c r="CO7" s="28" t="s">
        <v>52</v>
      </c>
      <c r="CP7" s="28" t="s">
        <v>579</v>
      </c>
      <c r="CQ7" s="28"/>
      <c r="CR7" s="28"/>
      <c r="CS7" s="13"/>
      <c r="CT7" s="28" t="s">
        <v>661</v>
      </c>
      <c r="CU7" s="13"/>
      <c r="CV7" s="13"/>
      <c r="CW7" s="13"/>
      <c r="CX7" s="13"/>
      <c r="CY7" s="13"/>
      <c r="CZ7" s="13"/>
    </row>
    <row r="8" spans="1:105" ht="32.25" customHeight="1">
      <c r="A8" s="24" t="s">
        <v>53</v>
      </c>
      <c r="B8" s="37" t="s">
        <v>662</v>
      </c>
      <c r="C8" s="60"/>
      <c r="D8" s="60" t="s">
        <v>55</v>
      </c>
      <c r="E8" s="13" t="s">
        <v>56</v>
      </c>
      <c r="F8" s="13"/>
      <c r="G8" s="13" t="s">
        <v>57</v>
      </c>
      <c r="H8" s="13" t="s">
        <v>58</v>
      </c>
      <c r="I8" s="13" t="s">
        <v>45</v>
      </c>
      <c r="J8" s="13" t="s">
        <v>46</v>
      </c>
      <c r="K8" s="13" t="s">
        <v>59</v>
      </c>
      <c r="L8" s="13">
        <v>3</v>
      </c>
      <c r="M8" s="32">
        <v>0.11600000000000001</v>
      </c>
      <c r="N8" s="33">
        <v>0.57399999999999995</v>
      </c>
      <c r="O8" s="33">
        <v>0.47</v>
      </c>
      <c r="P8" s="33">
        <v>0.49399999999999999</v>
      </c>
      <c r="Q8" s="33">
        <v>0.48499999999999999</v>
      </c>
      <c r="R8" s="33"/>
      <c r="S8" s="8"/>
      <c r="T8" s="8"/>
      <c r="U8" s="33">
        <v>5.3999999999999999E-2</v>
      </c>
      <c r="V8" s="33">
        <v>0.16500000000000001</v>
      </c>
      <c r="W8" s="33">
        <v>4.1000000000000002E-2</v>
      </c>
      <c r="X8" s="33">
        <v>0.155</v>
      </c>
      <c r="Y8" s="33"/>
      <c r="Z8" s="8"/>
      <c r="AA8" s="8"/>
      <c r="AB8" s="33">
        <v>0.20300000000000001</v>
      </c>
      <c r="AC8" s="33">
        <v>0.184</v>
      </c>
      <c r="AD8" s="33">
        <v>0.20799999999999999</v>
      </c>
      <c r="AE8" s="33">
        <v>0.23400000000000001</v>
      </c>
      <c r="AF8" s="33"/>
      <c r="AG8" s="8"/>
      <c r="AH8" s="8"/>
      <c r="AI8" s="33">
        <v>0.128</v>
      </c>
      <c r="AJ8" s="33">
        <v>8.3000000000000004E-2</v>
      </c>
      <c r="AK8" s="33">
        <v>0.13900000000000001</v>
      </c>
      <c r="AL8" s="33">
        <v>8.8999999999999996E-2</v>
      </c>
      <c r="AM8" s="33"/>
      <c r="AN8" s="8"/>
      <c r="AO8" s="8"/>
      <c r="AP8" s="33">
        <v>4.1000000000000002E-2</v>
      </c>
      <c r="AQ8" s="33">
        <v>9.8000000000000004E-2</v>
      </c>
      <c r="AR8" s="33">
        <v>0.11799999999999999</v>
      </c>
      <c r="AS8" s="33">
        <v>3.6999999999999998E-2</v>
      </c>
      <c r="AT8" s="33"/>
      <c r="AU8" s="8"/>
      <c r="AV8" s="8"/>
      <c r="AW8" s="24">
        <v>67.900000000000006</v>
      </c>
      <c r="AX8" s="24">
        <v>90.4</v>
      </c>
      <c r="AY8" s="24">
        <v>92</v>
      </c>
      <c r="AZ8" s="24">
        <v>76</v>
      </c>
      <c r="BA8" s="24"/>
      <c r="BB8" s="24"/>
      <c r="BC8" s="24"/>
      <c r="BD8" s="36">
        <v>0.61399999999999999</v>
      </c>
      <c r="BE8" s="36">
        <v>0.19800000000000001</v>
      </c>
      <c r="BF8" s="36">
        <v>0.69599999999999995</v>
      </c>
      <c r="BG8" s="36">
        <v>0.52600000000000002</v>
      </c>
      <c r="BH8" s="8"/>
      <c r="BI8" s="8"/>
      <c r="BJ8" s="8"/>
      <c r="BK8" s="33">
        <v>0.48499999999999999</v>
      </c>
      <c r="BL8" s="36">
        <v>0.57099999999999995</v>
      </c>
      <c r="BM8" s="40">
        <v>0.54</v>
      </c>
      <c r="BN8" s="36">
        <v>0.47299999999999998</v>
      </c>
      <c r="BO8" s="8"/>
      <c r="BP8" s="8"/>
      <c r="BQ8" s="8"/>
      <c r="BR8" s="33">
        <v>6.5000000000000002E-2</v>
      </c>
      <c r="BS8" s="40">
        <v>7.0000000000000007E-2</v>
      </c>
      <c r="BT8" s="36">
        <v>6.3E-2</v>
      </c>
      <c r="BU8" s="36">
        <v>7.2999999999999995E-2</v>
      </c>
      <c r="BV8" s="8"/>
      <c r="BW8" s="8"/>
      <c r="BX8" s="8"/>
      <c r="BY8" s="28">
        <v>32</v>
      </c>
      <c r="BZ8" s="24">
        <v>23</v>
      </c>
      <c r="CA8" s="24">
        <v>27</v>
      </c>
      <c r="CB8" s="24">
        <v>11</v>
      </c>
      <c r="CC8" s="8"/>
      <c r="CD8" s="8"/>
      <c r="CE8" s="8"/>
      <c r="CF8" s="28" t="s">
        <v>60</v>
      </c>
      <c r="CG8" s="24" t="s">
        <v>61</v>
      </c>
      <c r="CH8" s="24" t="s">
        <v>62</v>
      </c>
      <c r="CI8" s="24" t="s">
        <v>663</v>
      </c>
      <c r="CJ8" s="8"/>
      <c r="CK8" s="8"/>
      <c r="CL8" s="8"/>
      <c r="CM8" s="28" t="s">
        <v>63</v>
      </c>
      <c r="CN8" s="28" t="s">
        <v>64</v>
      </c>
      <c r="CO8" s="28" t="s">
        <v>65</v>
      </c>
      <c r="CP8" s="28"/>
      <c r="CQ8" s="28"/>
      <c r="CR8" s="28"/>
      <c r="CS8" s="28" t="s">
        <v>664</v>
      </c>
      <c r="CT8" s="28">
        <v>0</v>
      </c>
      <c r="CU8" s="13"/>
      <c r="CV8" s="13"/>
      <c r="CW8" s="13"/>
      <c r="CX8" s="13"/>
      <c r="CY8" s="13"/>
      <c r="CZ8" s="13"/>
    </row>
    <row r="9" spans="1:105" ht="17.25" customHeight="1">
      <c r="A9" s="24" t="s">
        <v>67</v>
      </c>
      <c r="B9" s="41" t="s">
        <v>665</v>
      </c>
      <c r="C9" s="60" t="s">
        <v>503</v>
      </c>
      <c r="D9" s="60" t="s">
        <v>69</v>
      </c>
      <c r="E9" s="13"/>
      <c r="F9" s="13" t="s">
        <v>70</v>
      </c>
      <c r="G9" s="13" t="s">
        <v>71</v>
      </c>
      <c r="H9" s="13" t="s">
        <v>72</v>
      </c>
      <c r="I9" s="13" t="s">
        <v>73</v>
      </c>
      <c r="J9" s="13" t="s">
        <v>46</v>
      </c>
      <c r="K9" s="13" t="s">
        <v>74</v>
      </c>
      <c r="L9" s="13">
        <v>3</v>
      </c>
      <c r="M9" s="32">
        <v>6.2600000000000003E-2</v>
      </c>
      <c r="N9" s="33">
        <v>0.45100000000000001</v>
      </c>
      <c r="O9" s="33">
        <v>0.498</v>
      </c>
      <c r="P9" s="33">
        <v>0.495</v>
      </c>
      <c r="Q9" s="33">
        <v>0.60799999999999998</v>
      </c>
      <c r="R9" s="33">
        <v>0.64200000000000002</v>
      </c>
      <c r="S9" s="36">
        <v>0.33500000000000002</v>
      </c>
      <c r="T9" s="36">
        <v>0.72799999999999998</v>
      </c>
      <c r="U9" s="28">
        <v>23.9</v>
      </c>
      <c r="V9" s="33">
        <v>0.20699999999999999</v>
      </c>
      <c r="W9" s="33">
        <v>0.218</v>
      </c>
      <c r="X9" s="33">
        <v>0.13900000000000001</v>
      </c>
      <c r="Y9" s="33">
        <v>0.10100000000000001</v>
      </c>
      <c r="Z9" s="40">
        <v>0.35</v>
      </c>
      <c r="AA9" s="24">
        <v>9.3000000000000007</v>
      </c>
      <c r="AB9" s="33">
        <v>0.309</v>
      </c>
      <c r="AC9" s="35">
        <v>0.28999999999999998</v>
      </c>
      <c r="AD9" s="33">
        <v>0.28399999999999997</v>
      </c>
      <c r="AE9" s="33">
        <v>0.216</v>
      </c>
      <c r="AF9" s="33">
        <v>0.248</v>
      </c>
      <c r="AG9" s="40">
        <v>0.31</v>
      </c>
      <c r="AH9" s="24">
        <v>15.9</v>
      </c>
      <c r="AI9" s="33">
        <v>0</v>
      </c>
      <c r="AJ9" s="33">
        <v>5.0000000000000001E-3</v>
      </c>
      <c r="AK9" s="33">
        <v>3.0000000000000001E-3</v>
      </c>
      <c r="AL9" s="33">
        <v>2.7E-2</v>
      </c>
      <c r="AM9" s="33">
        <v>8.9999999999999993E-3</v>
      </c>
      <c r="AN9" s="36">
        <v>4.0000000000000001E-3</v>
      </c>
      <c r="AO9" s="36">
        <v>1.6E-2</v>
      </c>
      <c r="AP9" s="33">
        <v>1E-3</v>
      </c>
      <c r="AQ9" s="35">
        <v>0</v>
      </c>
      <c r="AR9" s="35">
        <v>0</v>
      </c>
      <c r="AS9" s="35">
        <v>0</v>
      </c>
      <c r="AT9" s="35">
        <v>0</v>
      </c>
      <c r="AU9" s="36">
        <v>1E-3</v>
      </c>
      <c r="AV9" s="36">
        <v>4.0000000000000001E-3</v>
      </c>
      <c r="AW9" s="28">
        <v>63.2</v>
      </c>
      <c r="AX9" s="28">
        <v>57.5</v>
      </c>
      <c r="AY9" s="28">
        <v>58.3</v>
      </c>
      <c r="AZ9" s="28">
        <v>49</v>
      </c>
      <c r="BA9" s="28">
        <v>38.200000000000003</v>
      </c>
      <c r="BB9" s="28">
        <v>82.1</v>
      </c>
      <c r="BC9" s="28">
        <v>32.6</v>
      </c>
      <c r="BD9" s="33">
        <v>0.95699999999999996</v>
      </c>
      <c r="BE9" s="36">
        <v>0.96499999999999997</v>
      </c>
      <c r="BF9" s="24" t="s">
        <v>75</v>
      </c>
      <c r="BG9" s="36">
        <v>0.96499999999999997</v>
      </c>
      <c r="BH9" s="36">
        <v>0.96799999999999997</v>
      </c>
      <c r="BI9" s="36">
        <v>0.98399999999999999</v>
      </c>
      <c r="BJ9" s="36">
        <v>0.97299999999999998</v>
      </c>
      <c r="BK9" s="33">
        <v>0.34699999999999998</v>
      </c>
      <c r="BL9" s="36">
        <v>0.377</v>
      </c>
      <c r="BM9" s="36">
        <v>0.35399999999999998</v>
      </c>
      <c r="BN9" s="36">
        <v>0.48499999999999999</v>
      </c>
      <c r="BO9" s="36">
        <v>0.36599999999999999</v>
      </c>
      <c r="BP9" s="36">
        <v>0.36399999999999999</v>
      </c>
      <c r="BQ9" s="36">
        <v>0.40799999999999997</v>
      </c>
      <c r="BR9" s="33">
        <v>8.1000000000000003E-2</v>
      </c>
      <c r="BS9" s="36">
        <v>7.9000000000000001E-2</v>
      </c>
      <c r="BT9" s="36">
        <v>7.9000000000000001E-2</v>
      </c>
      <c r="BU9" s="36">
        <v>7.1999999999999995E-2</v>
      </c>
      <c r="BV9" s="36">
        <v>7.1999999999999995E-2</v>
      </c>
      <c r="BW9" s="36">
        <v>8.5000000000000006E-2</v>
      </c>
      <c r="BX9" s="36">
        <v>6.8000000000000005E-2</v>
      </c>
      <c r="BY9" s="28">
        <v>1</v>
      </c>
      <c r="BZ9" s="24">
        <v>1</v>
      </c>
      <c r="CA9" s="24">
        <v>2</v>
      </c>
      <c r="CB9" s="24">
        <v>18</v>
      </c>
      <c r="CC9" s="24">
        <v>3</v>
      </c>
      <c r="CD9" s="24">
        <v>3</v>
      </c>
      <c r="CE9" s="24">
        <v>10</v>
      </c>
      <c r="CF9" s="28" t="s">
        <v>76</v>
      </c>
      <c r="CG9" s="28" t="s">
        <v>77</v>
      </c>
      <c r="CH9" s="28" t="s">
        <v>78</v>
      </c>
      <c r="CI9" s="28" t="s">
        <v>504</v>
      </c>
      <c r="CJ9" s="24" t="s">
        <v>103</v>
      </c>
      <c r="CK9" s="24" t="s">
        <v>541</v>
      </c>
      <c r="CL9" s="24" t="s">
        <v>547</v>
      </c>
      <c r="CM9" s="28" t="s">
        <v>79</v>
      </c>
      <c r="CN9" s="28" t="s">
        <v>80</v>
      </c>
      <c r="CO9" s="28" t="s">
        <v>81</v>
      </c>
      <c r="CP9" s="28" t="s">
        <v>505</v>
      </c>
      <c r="CQ9" s="28" t="s">
        <v>620</v>
      </c>
      <c r="CR9" s="24"/>
      <c r="CS9" s="28" t="s">
        <v>82</v>
      </c>
      <c r="CT9" s="33">
        <v>8.1100000000000005E-2</v>
      </c>
      <c r="CU9" s="13"/>
      <c r="CV9" s="13"/>
      <c r="CW9" s="13"/>
      <c r="CX9" s="28" t="s">
        <v>506</v>
      </c>
      <c r="CY9" s="13"/>
      <c r="CZ9" s="13"/>
    </row>
    <row r="10" spans="1:105">
      <c r="A10" s="24" t="s">
        <v>83</v>
      </c>
      <c r="B10" s="42" t="s">
        <v>666</v>
      </c>
      <c r="C10" s="28" t="s">
        <v>196</v>
      </c>
      <c r="D10" s="13" t="s">
        <v>85</v>
      </c>
      <c r="E10" s="13" t="s">
        <v>86</v>
      </c>
      <c r="F10" s="13"/>
      <c r="G10" s="13" t="s">
        <v>87</v>
      </c>
      <c r="H10" s="13" t="s">
        <v>88</v>
      </c>
      <c r="I10" s="13" t="s">
        <v>73</v>
      </c>
      <c r="J10" s="13" t="s">
        <v>46</v>
      </c>
      <c r="K10" s="13" t="s">
        <v>89</v>
      </c>
      <c r="L10" s="13">
        <v>3</v>
      </c>
      <c r="M10" s="33">
        <v>0.14699999999999999</v>
      </c>
      <c r="N10" s="33">
        <v>0.34499999999999997</v>
      </c>
      <c r="O10" s="33">
        <v>0.49299999999999999</v>
      </c>
      <c r="P10" s="33">
        <v>0.70499999999999996</v>
      </c>
      <c r="Q10" s="33">
        <v>0.748</v>
      </c>
      <c r="R10" s="33">
        <v>0.68500000000000005</v>
      </c>
      <c r="S10" s="36">
        <v>0.74399999999999999</v>
      </c>
      <c r="T10" s="8"/>
      <c r="U10" s="33">
        <v>0.499</v>
      </c>
      <c r="V10" s="33">
        <v>0.22600000000000001</v>
      </c>
      <c r="W10" s="33">
        <v>5.3999999999999999E-2</v>
      </c>
      <c r="X10" s="33">
        <v>6.6000000000000003E-2</v>
      </c>
      <c r="Y10" s="33">
        <v>3.3000000000000002E-2</v>
      </c>
      <c r="Z10" s="40">
        <v>0.03</v>
      </c>
      <c r="AA10" s="40"/>
      <c r="AB10" s="33">
        <v>0.152</v>
      </c>
      <c r="AC10" s="33">
        <v>0.17599999999999999</v>
      </c>
      <c r="AD10" s="33">
        <v>0.14399999999999999</v>
      </c>
      <c r="AE10" s="33">
        <v>9.8000000000000004E-2</v>
      </c>
      <c r="AF10" s="33">
        <v>8.1000000000000003E-2</v>
      </c>
      <c r="AG10" s="36">
        <v>6.9000000000000006E-2</v>
      </c>
      <c r="AH10" s="36"/>
      <c r="AI10" s="33">
        <v>4.0000000000000001E-3</v>
      </c>
      <c r="AJ10" s="33">
        <v>9.1999999999999998E-2</v>
      </c>
      <c r="AK10" s="33">
        <v>9.5000000000000001E-2</v>
      </c>
      <c r="AL10" s="33">
        <v>7.0999999999999994E-2</v>
      </c>
      <c r="AM10" s="33">
        <v>0.183</v>
      </c>
      <c r="AN10" s="36">
        <v>0.14399999999999999</v>
      </c>
      <c r="AO10" s="36"/>
      <c r="AP10" s="35">
        <v>0</v>
      </c>
      <c r="AQ10" s="33">
        <v>1.2999999999999999E-2</v>
      </c>
      <c r="AR10" s="33">
        <v>2E-3</v>
      </c>
      <c r="AS10" s="33">
        <v>1.7000000000000001E-2</v>
      </c>
      <c r="AT10" s="33">
        <v>1.7999999999999999E-2</v>
      </c>
      <c r="AU10" s="36">
        <v>1.2999999999999999E-2</v>
      </c>
      <c r="AV10" s="36"/>
      <c r="AW10" s="28">
        <v>93</v>
      </c>
      <c r="AX10" s="28">
        <v>76.2</v>
      </c>
      <c r="AY10" s="28">
        <v>43.6</v>
      </c>
      <c r="AZ10" s="28">
        <v>40.5</v>
      </c>
      <c r="BA10" s="28">
        <v>61.1</v>
      </c>
      <c r="BB10" s="28">
        <v>48.8</v>
      </c>
      <c r="BC10" s="28"/>
      <c r="BD10" s="33">
        <v>0.71899999999999997</v>
      </c>
      <c r="BE10" s="36">
        <v>0.77400000000000002</v>
      </c>
      <c r="BF10" s="36">
        <v>0.86399999999999999</v>
      </c>
      <c r="BG10" s="36">
        <v>0.84599999999999997</v>
      </c>
      <c r="BH10" s="36">
        <v>0.82199999999999995</v>
      </c>
      <c r="BI10" s="36">
        <v>0.65500000000000003</v>
      </c>
      <c r="BJ10" s="36"/>
      <c r="BK10" s="33">
        <v>0.498</v>
      </c>
      <c r="BL10" s="36">
        <v>0.54300000000000004</v>
      </c>
      <c r="BM10" s="36">
        <v>0.48899999999999999</v>
      </c>
      <c r="BN10" s="40">
        <v>0.47</v>
      </c>
      <c r="BO10" s="36">
        <v>0.49099999999999999</v>
      </c>
      <c r="BP10" s="36">
        <v>0.46400000000000002</v>
      </c>
      <c r="BQ10" s="36"/>
      <c r="BR10" s="33">
        <v>9.5000000000000001E-2</v>
      </c>
      <c r="BS10" s="36">
        <v>7.4999999999999997E-2</v>
      </c>
      <c r="BT10" s="36">
        <v>6.5000000000000002E-2</v>
      </c>
      <c r="BU10" s="36">
        <v>6.5000000000000002E-2</v>
      </c>
      <c r="BV10" s="36">
        <v>0.06</v>
      </c>
      <c r="BW10" s="36">
        <v>0.06</v>
      </c>
      <c r="BX10" s="36"/>
      <c r="BY10" s="28">
        <v>1</v>
      </c>
      <c r="BZ10" s="24">
        <v>26</v>
      </c>
      <c r="CA10" s="24">
        <v>20</v>
      </c>
      <c r="CB10" s="24">
        <v>30</v>
      </c>
      <c r="CC10" s="24">
        <v>44</v>
      </c>
      <c r="CD10" s="24">
        <v>37</v>
      </c>
      <c r="CE10" s="24"/>
      <c r="CF10" s="28" t="s">
        <v>90</v>
      </c>
      <c r="CG10" s="28" t="s">
        <v>91</v>
      </c>
      <c r="CH10" s="28" t="s">
        <v>508</v>
      </c>
      <c r="CI10" s="28" t="s">
        <v>581</v>
      </c>
      <c r="CJ10" s="24" t="s">
        <v>667</v>
      </c>
      <c r="CK10" s="24" t="s">
        <v>668</v>
      </c>
      <c r="CL10" s="24"/>
      <c r="CM10" s="28" t="s">
        <v>92</v>
      </c>
      <c r="CN10" s="28" t="s">
        <v>93</v>
      </c>
      <c r="CO10" s="28" t="s">
        <v>509</v>
      </c>
      <c r="CP10" s="28" t="s">
        <v>582</v>
      </c>
      <c r="CQ10" s="28" t="s">
        <v>669</v>
      </c>
      <c r="CR10" s="8"/>
      <c r="CS10" s="28" t="s">
        <v>94</v>
      </c>
      <c r="CT10" s="33">
        <v>6.1800000000000001E-2</v>
      </c>
      <c r="CU10" s="13"/>
      <c r="CV10" s="13"/>
      <c r="CW10" s="13"/>
      <c r="CX10" s="13"/>
      <c r="CY10" s="13"/>
      <c r="CZ10" s="13"/>
    </row>
    <row r="11" spans="1:105">
      <c r="A11" s="43">
        <v>46000</v>
      </c>
      <c r="B11" s="42" t="s">
        <v>670</v>
      </c>
      <c r="C11" s="28" t="s">
        <v>511</v>
      </c>
      <c r="D11" s="13" t="s">
        <v>96</v>
      </c>
      <c r="E11" s="13"/>
      <c r="F11" s="13" t="s">
        <v>97</v>
      </c>
      <c r="G11" s="13" t="s">
        <v>98</v>
      </c>
      <c r="H11" s="13" t="s">
        <v>99</v>
      </c>
      <c r="I11" s="13" t="s">
        <v>45</v>
      </c>
      <c r="J11" s="13" t="s">
        <v>46</v>
      </c>
      <c r="K11" s="13" t="s">
        <v>100</v>
      </c>
      <c r="L11" s="44" t="s">
        <v>101</v>
      </c>
      <c r="M11" s="32">
        <v>7.3400000000000007E-2</v>
      </c>
      <c r="N11" s="33">
        <v>0.53500000000000003</v>
      </c>
      <c r="O11" s="33">
        <v>0.69499999999999995</v>
      </c>
      <c r="P11" s="33">
        <v>0.54900000000000004</v>
      </c>
      <c r="Q11" s="33">
        <v>0.53900000000000003</v>
      </c>
      <c r="R11" s="33">
        <v>0.57199999999999995</v>
      </c>
      <c r="S11" s="8"/>
      <c r="T11" s="8"/>
      <c r="U11" s="33">
        <v>0.14099999999999999</v>
      </c>
      <c r="V11" s="33">
        <v>9.9000000000000005E-2</v>
      </c>
      <c r="W11" s="33">
        <v>0.16300000000000001</v>
      </c>
      <c r="X11" s="33">
        <v>0.214</v>
      </c>
      <c r="Y11" s="35">
        <v>0.12</v>
      </c>
      <c r="Z11" s="8"/>
      <c r="AA11" s="8"/>
      <c r="AB11" s="33">
        <v>0.222</v>
      </c>
      <c r="AC11" s="33">
        <v>0.14399999999999999</v>
      </c>
      <c r="AD11" s="33">
        <v>0.223</v>
      </c>
      <c r="AE11" s="33">
        <v>0.182</v>
      </c>
      <c r="AF11" s="35">
        <v>0.28999999999999998</v>
      </c>
      <c r="AG11" s="8"/>
      <c r="AH11" s="8"/>
      <c r="AI11" s="35">
        <v>0.1</v>
      </c>
      <c r="AJ11" s="33">
        <v>5.0999999999999997E-2</v>
      </c>
      <c r="AK11" s="33">
        <v>5.1999999999999998E-2</v>
      </c>
      <c r="AL11" s="33">
        <v>6.2E-2</v>
      </c>
      <c r="AM11" s="33">
        <v>1.4999999999999999E-2</v>
      </c>
      <c r="AN11" s="8"/>
      <c r="AO11" s="8"/>
      <c r="AP11" s="33">
        <v>2E-3</v>
      </c>
      <c r="AQ11" s="33">
        <v>1.0999999999999999E-2</v>
      </c>
      <c r="AR11" s="33">
        <v>1.2999999999999999E-2</v>
      </c>
      <c r="AS11" s="33">
        <v>3.0000000000000001E-3</v>
      </c>
      <c r="AT11" s="33">
        <v>3.0000000000000001E-3</v>
      </c>
      <c r="AU11" s="8"/>
      <c r="AV11" s="8"/>
      <c r="AW11" s="28">
        <v>64.900000000000006</v>
      </c>
      <c r="AX11" s="28">
        <v>42.9</v>
      </c>
      <c r="AY11" s="28">
        <v>60.3</v>
      </c>
      <c r="AZ11" s="28">
        <v>64.599999999999994</v>
      </c>
      <c r="BA11" s="28">
        <v>46.9</v>
      </c>
      <c r="BB11" s="13"/>
      <c r="BC11" s="13"/>
      <c r="BD11" s="35">
        <v>0.43</v>
      </c>
      <c r="BE11" s="36">
        <v>0.73299999999999998</v>
      </c>
      <c r="BF11" s="40">
        <v>0.7</v>
      </c>
      <c r="BG11" s="36">
        <v>0.64900000000000002</v>
      </c>
      <c r="BH11" s="36">
        <v>0.67500000000000004</v>
      </c>
      <c r="BI11" s="8"/>
      <c r="BJ11" s="8"/>
      <c r="BK11" s="33">
        <v>0.50600000000000001</v>
      </c>
      <c r="BL11" s="36">
        <v>0.436</v>
      </c>
      <c r="BM11" s="36">
        <v>0.47599999999999998</v>
      </c>
      <c r="BN11" s="36">
        <v>0.49399999999999999</v>
      </c>
      <c r="BO11" s="36">
        <v>0.36599999999999999</v>
      </c>
      <c r="BP11" s="8"/>
      <c r="BQ11" s="8"/>
      <c r="BR11" s="33">
        <v>7.0999999999999994E-2</v>
      </c>
      <c r="BS11" s="36">
        <v>6.9000000000000006E-2</v>
      </c>
      <c r="BT11" s="36">
        <v>7.2999999999999995E-2</v>
      </c>
      <c r="BU11" s="36">
        <v>7.3999999999999996E-2</v>
      </c>
      <c r="BV11" s="36">
        <v>7.3999999999999996E-2</v>
      </c>
      <c r="BW11" s="8"/>
      <c r="BX11" s="8"/>
      <c r="BY11" s="28">
        <v>22</v>
      </c>
      <c r="BZ11" s="24">
        <v>20</v>
      </c>
      <c r="CA11" s="24">
        <v>16</v>
      </c>
      <c r="CB11" s="24">
        <v>28</v>
      </c>
      <c r="CC11" s="24">
        <v>10</v>
      </c>
      <c r="CD11" s="8"/>
      <c r="CE11" s="8"/>
      <c r="CF11" s="28" t="s">
        <v>102</v>
      </c>
      <c r="CG11" s="28" t="s">
        <v>103</v>
      </c>
      <c r="CH11" s="28" t="s">
        <v>512</v>
      </c>
      <c r="CI11" s="28" t="s">
        <v>671</v>
      </c>
      <c r="CJ11" s="24" t="s">
        <v>152</v>
      </c>
      <c r="CK11" s="8"/>
      <c r="CL11" s="8"/>
      <c r="CM11" s="28" t="s">
        <v>104</v>
      </c>
      <c r="CN11" s="28" t="s">
        <v>105</v>
      </c>
      <c r="CO11" s="28" t="s">
        <v>513</v>
      </c>
      <c r="CP11" s="28" t="s">
        <v>672</v>
      </c>
      <c r="CQ11" s="28"/>
      <c r="CR11" s="8"/>
      <c r="CS11" s="28" t="s">
        <v>673</v>
      </c>
      <c r="CT11" s="33">
        <v>7.3099999999999998E-2</v>
      </c>
      <c r="CU11" s="13"/>
      <c r="CV11" s="13"/>
      <c r="CW11" s="13"/>
      <c r="CX11" s="13"/>
      <c r="CY11" s="13"/>
      <c r="CZ11" s="13"/>
    </row>
    <row r="12" spans="1:105">
      <c r="A12" s="43">
        <v>46000</v>
      </c>
      <c r="B12" s="31" t="s">
        <v>674</v>
      </c>
      <c r="C12" s="28" t="s">
        <v>72</v>
      </c>
      <c r="D12" s="13" t="s">
        <v>107</v>
      </c>
      <c r="E12" s="13"/>
      <c r="F12" s="13" t="s">
        <v>108</v>
      </c>
      <c r="G12" s="13" t="s">
        <v>109</v>
      </c>
      <c r="H12" s="13" t="s">
        <v>72</v>
      </c>
      <c r="I12" s="13" t="s">
        <v>45</v>
      </c>
      <c r="J12" s="13" t="s">
        <v>46</v>
      </c>
      <c r="K12" s="13" t="s">
        <v>110</v>
      </c>
      <c r="L12" s="13" t="s">
        <v>101</v>
      </c>
      <c r="M12" s="32">
        <v>0.11600000000000001</v>
      </c>
      <c r="N12" s="33">
        <v>0.27500000000000002</v>
      </c>
      <c r="O12" s="33">
        <v>0.39300000000000002</v>
      </c>
      <c r="P12" s="33">
        <v>0.51</v>
      </c>
      <c r="Q12" s="33">
        <v>0.30399999999999999</v>
      </c>
      <c r="R12" s="33">
        <v>0.80600000000000005</v>
      </c>
      <c r="S12" s="36">
        <v>0.83499999999999996</v>
      </c>
      <c r="T12" s="8"/>
      <c r="U12" s="33">
        <v>0.55900000000000005</v>
      </c>
      <c r="V12" s="33">
        <v>0.29399999999999998</v>
      </c>
      <c r="W12" s="33">
        <v>0.156</v>
      </c>
      <c r="X12" s="33">
        <v>0.47699999999999998</v>
      </c>
      <c r="Y12" s="33">
        <v>8.9999999999999993E-3</v>
      </c>
      <c r="Z12" s="36">
        <v>3.0000000000000001E-3</v>
      </c>
      <c r="AA12" s="36"/>
      <c r="AB12" s="33">
        <v>0.16600000000000001</v>
      </c>
      <c r="AC12" s="33">
        <v>0.312</v>
      </c>
      <c r="AD12" s="33">
        <v>0.33200000000000002</v>
      </c>
      <c r="AE12" s="33">
        <v>0.21099999999999999</v>
      </c>
      <c r="AF12" s="33">
        <v>0.15</v>
      </c>
      <c r="AG12" s="36">
        <v>0.13800000000000001</v>
      </c>
      <c r="AH12" s="36"/>
      <c r="AI12" s="35">
        <v>0</v>
      </c>
      <c r="AJ12" s="33">
        <v>1E-3</v>
      </c>
      <c r="AK12" s="33">
        <v>2E-3</v>
      </c>
      <c r="AL12" s="33">
        <v>7.0000000000000001E-3</v>
      </c>
      <c r="AM12" s="28">
        <v>3.2</v>
      </c>
      <c r="AN12" s="36">
        <v>2.1999999999999999E-2</v>
      </c>
      <c r="AO12" s="36"/>
      <c r="AP12" s="35">
        <v>0</v>
      </c>
      <c r="AQ12" s="35">
        <v>0</v>
      </c>
      <c r="AR12" s="35">
        <v>0</v>
      </c>
      <c r="AS12" s="33">
        <v>1E-3</v>
      </c>
      <c r="AT12" s="28">
        <v>0.3</v>
      </c>
      <c r="AU12" s="36">
        <v>2E-3</v>
      </c>
      <c r="AV12" s="36"/>
      <c r="AW12" s="28">
        <v>102.7</v>
      </c>
      <c r="AX12" s="28">
        <v>72.2</v>
      </c>
      <c r="AY12" s="28">
        <v>52</v>
      </c>
      <c r="AZ12" s="28">
        <v>95.2</v>
      </c>
      <c r="BA12" s="28">
        <v>22</v>
      </c>
      <c r="BB12" s="28">
        <v>17.399999999999999</v>
      </c>
      <c r="BC12" s="28"/>
      <c r="BD12" s="33">
        <v>0.58599999999999997</v>
      </c>
      <c r="BE12" s="36">
        <v>0.41799999999999998</v>
      </c>
      <c r="BF12" s="36">
        <v>0.44500000000000001</v>
      </c>
      <c r="BG12" s="36">
        <v>0.52500000000000002</v>
      </c>
      <c r="BH12" s="36">
        <v>0.83299999999999996</v>
      </c>
      <c r="BI12" s="36">
        <v>0.93200000000000005</v>
      </c>
      <c r="BJ12" s="36"/>
      <c r="BK12" s="33">
        <v>0.378</v>
      </c>
      <c r="BL12" s="36">
        <v>0.373</v>
      </c>
      <c r="BM12" s="36">
        <v>0.33300000000000002</v>
      </c>
      <c r="BN12" s="36">
        <v>0.44400000000000001</v>
      </c>
      <c r="BO12" s="36">
        <v>0.34300000000000003</v>
      </c>
      <c r="BP12" s="36">
        <v>0.30599999999999999</v>
      </c>
      <c r="BQ12" s="36"/>
      <c r="BR12" s="28">
        <v>0</v>
      </c>
      <c r="BS12" s="36">
        <v>8.4000000000000005E-2</v>
      </c>
      <c r="BT12" s="24">
        <v>0</v>
      </c>
      <c r="BU12" s="36">
        <v>9.5000000000000001E-2</v>
      </c>
      <c r="BV12" s="36">
        <v>6.5000000000000002E-2</v>
      </c>
      <c r="BW12" s="36">
        <v>6.5000000000000002E-2</v>
      </c>
      <c r="BX12" s="36"/>
      <c r="BY12" s="28">
        <v>0</v>
      </c>
      <c r="BZ12" s="24">
        <v>0</v>
      </c>
      <c r="CA12" s="24">
        <v>0</v>
      </c>
      <c r="CB12" s="24">
        <v>3</v>
      </c>
      <c r="CC12" s="24">
        <v>15</v>
      </c>
      <c r="CD12" s="24">
        <v>15</v>
      </c>
      <c r="CE12" s="24"/>
      <c r="CF12" s="28" t="s">
        <v>112</v>
      </c>
      <c r="CG12" s="28" t="s">
        <v>112</v>
      </c>
      <c r="CH12" s="28" t="s">
        <v>112</v>
      </c>
      <c r="CI12" s="28" t="s">
        <v>122</v>
      </c>
      <c r="CJ12" s="24" t="s">
        <v>50</v>
      </c>
      <c r="CK12" s="24" t="s">
        <v>153</v>
      </c>
      <c r="CL12" s="24"/>
      <c r="CM12" s="28" t="s">
        <v>113</v>
      </c>
      <c r="CN12" s="28" t="s">
        <v>114</v>
      </c>
      <c r="CO12" s="28" t="s">
        <v>516</v>
      </c>
      <c r="CP12" s="28" t="s">
        <v>623</v>
      </c>
      <c r="CQ12" s="28" t="s">
        <v>675</v>
      </c>
      <c r="CR12" s="8"/>
      <c r="CS12" s="66" t="s">
        <v>676</v>
      </c>
      <c r="CT12" s="33">
        <v>9.8699999999999996E-2</v>
      </c>
      <c r="CU12" s="13"/>
      <c r="CV12" s="13"/>
      <c r="CW12" s="13"/>
      <c r="CX12" s="13"/>
      <c r="CY12" s="13"/>
      <c r="CZ12" s="13"/>
    </row>
    <row r="13" spans="1:105" ht="17.25" customHeight="1">
      <c r="A13" s="43">
        <v>46000</v>
      </c>
      <c r="B13" s="45" t="s">
        <v>677</v>
      </c>
      <c r="C13" s="60" t="s">
        <v>88</v>
      </c>
      <c r="D13" s="60" t="s">
        <v>117</v>
      </c>
      <c r="E13" s="13"/>
      <c r="F13" s="13" t="s">
        <v>118</v>
      </c>
      <c r="G13" s="13" t="s">
        <v>119</v>
      </c>
      <c r="H13" s="13" t="s">
        <v>88</v>
      </c>
      <c r="I13" s="13" t="s">
        <v>73</v>
      </c>
      <c r="J13" s="13" t="s">
        <v>46</v>
      </c>
      <c r="K13" s="13" t="s">
        <v>120</v>
      </c>
      <c r="L13" s="13">
        <v>6</v>
      </c>
      <c r="M13" s="46">
        <v>0.15</v>
      </c>
      <c r="N13" s="33">
        <v>0.82699999999999996</v>
      </c>
      <c r="O13" s="33">
        <v>0.83899999999999997</v>
      </c>
      <c r="P13" s="33">
        <v>0.92100000000000004</v>
      </c>
      <c r="Q13" s="33">
        <v>0.9</v>
      </c>
      <c r="R13" s="33">
        <v>0.94399999999999995</v>
      </c>
      <c r="S13" s="36">
        <v>0.91100000000000003</v>
      </c>
      <c r="T13" s="8"/>
      <c r="U13" s="33">
        <v>2.8000000000000001E-2</v>
      </c>
      <c r="V13" s="33">
        <v>2.3E-2</v>
      </c>
      <c r="W13" s="33">
        <v>0</v>
      </c>
      <c r="X13" s="33">
        <v>2.5000000000000001E-2</v>
      </c>
      <c r="Y13" s="33">
        <v>0</v>
      </c>
      <c r="Z13" s="36">
        <v>0</v>
      </c>
      <c r="AA13" s="36"/>
      <c r="AB13" s="33">
        <v>0.124</v>
      </c>
      <c r="AC13" s="33">
        <v>0.13600000000000001</v>
      </c>
      <c r="AD13" s="33">
        <v>7.0999999999999994E-2</v>
      </c>
      <c r="AE13" s="33">
        <v>6.2E-2</v>
      </c>
      <c r="AF13" s="33">
        <v>3.5000000000000003E-2</v>
      </c>
      <c r="AG13" s="36">
        <v>4.2000000000000003E-2</v>
      </c>
      <c r="AH13" s="36"/>
      <c r="AI13" s="33">
        <v>1.6E-2</v>
      </c>
      <c r="AJ13" s="33">
        <v>2E-3</v>
      </c>
      <c r="AK13" s="33">
        <v>8.0000000000000002E-3</v>
      </c>
      <c r="AL13" s="33">
        <v>1.0999999999999999E-2</v>
      </c>
      <c r="AM13" s="33">
        <v>2.1000000000000001E-2</v>
      </c>
      <c r="AN13" s="36">
        <v>4.4999999999999998E-2</v>
      </c>
      <c r="AO13" s="36"/>
      <c r="AP13" s="33">
        <v>5.0000000000000001E-3</v>
      </c>
      <c r="AQ13" s="33">
        <v>0</v>
      </c>
      <c r="AR13" s="33">
        <v>0</v>
      </c>
      <c r="AS13" s="33">
        <v>2E-3</v>
      </c>
      <c r="AT13" s="33">
        <v>0</v>
      </c>
      <c r="AU13" s="36">
        <v>2E-3</v>
      </c>
      <c r="AV13" s="36"/>
      <c r="AW13" s="28">
        <v>19.7</v>
      </c>
      <c r="AX13" s="28">
        <v>15</v>
      </c>
      <c r="AY13" s="28">
        <v>7.6</v>
      </c>
      <c r="AZ13" s="28">
        <v>12.2</v>
      </c>
      <c r="BA13" s="28">
        <v>7.8</v>
      </c>
      <c r="BB13" s="28">
        <v>14.8</v>
      </c>
      <c r="BC13" s="28"/>
      <c r="BD13" s="33">
        <v>0.25800000000000001</v>
      </c>
      <c r="BE13" s="36">
        <v>0.874</v>
      </c>
      <c r="BF13" s="40">
        <v>0.95</v>
      </c>
      <c r="BG13" s="36">
        <v>0.75900000000000001</v>
      </c>
      <c r="BH13" s="36">
        <v>0.97499999999999998</v>
      </c>
      <c r="BI13" s="36">
        <v>0.93500000000000005</v>
      </c>
      <c r="BJ13" s="36"/>
      <c r="BK13" s="33">
        <v>0.35099999999999998</v>
      </c>
      <c r="BL13" s="36">
        <v>0.30499999999999999</v>
      </c>
      <c r="BM13" s="36">
        <v>0.27300000000000002</v>
      </c>
      <c r="BN13" s="36">
        <v>0.32800000000000001</v>
      </c>
      <c r="BO13" s="36">
        <v>0.26700000000000002</v>
      </c>
      <c r="BP13" s="36">
        <v>0.29599999999999999</v>
      </c>
      <c r="BQ13" s="36"/>
      <c r="BR13" s="33">
        <v>6.5000000000000002E-2</v>
      </c>
      <c r="BS13" s="36">
        <v>6.7000000000000004E-2</v>
      </c>
      <c r="BT13" s="36">
        <v>6.2E-2</v>
      </c>
      <c r="BU13" s="36">
        <v>6.4000000000000001E-2</v>
      </c>
      <c r="BV13" s="36">
        <v>6.0999999999999999E-2</v>
      </c>
      <c r="BW13" s="36">
        <v>6.0999999999999999E-2</v>
      </c>
      <c r="BX13" s="36"/>
      <c r="BY13" s="28">
        <v>8</v>
      </c>
      <c r="BZ13" s="24">
        <v>1</v>
      </c>
      <c r="CA13" s="24">
        <v>3</v>
      </c>
      <c r="CB13" s="24">
        <v>7</v>
      </c>
      <c r="CC13" s="24">
        <v>10</v>
      </c>
      <c r="CD13" s="24">
        <v>14</v>
      </c>
      <c r="CE13" s="24"/>
      <c r="CF13" s="28" t="s">
        <v>121</v>
      </c>
      <c r="CG13" s="28" t="s">
        <v>122</v>
      </c>
      <c r="CH13" s="28" t="s">
        <v>208</v>
      </c>
      <c r="CI13" s="28" t="s">
        <v>76</v>
      </c>
      <c r="CJ13" s="24" t="s">
        <v>48</v>
      </c>
      <c r="CK13" s="24" t="s">
        <v>161</v>
      </c>
      <c r="CL13" s="24"/>
      <c r="CM13" s="28" t="s">
        <v>123</v>
      </c>
      <c r="CN13" s="28" t="s">
        <v>123</v>
      </c>
      <c r="CO13" s="28" t="s">
        <v>519</v>
      </c>
      <c r="CP13" s="28" t="s">
        <v>625</v>
      </c>
      <c r="CQ13" s="28" t="s">
        <v>678</v>
      </c>
      <c r="CR13" s="8"/>
      <c r="CS13" s="13"/>
      <c r="CT13" s="28" t="s">
        <v>679</v>
      </c>
      <c r="CU13" s="13"/>
      <c r="CV13" s="13"/>
      <c r="CW13" s="13"/>
      <c r="CX13" s="13"/>
      <c r="CY13" s="13"/>
      <c r="CZ13" s="13"/>
    </row>
    <row r="14" spans="1:105">
      <c r="A14" s="43">
        <v>46000</v>
      </c>
      <c r="B14" s="31" t="s">
        <v>680</v>
      </c>
      <c r="C14" s="28" t="s">
        <v>503</v>
      </c>
      <c r="D14" s="13" t="s">
        <v>125</v>
      </c>
      <c r="E14" s="13"/>
      <c r="F14" s="13" t="s">
        <v>126</v>
      </c>
      <c r="G14" s="13" t="s">
        <v>127</v>
      </c>
      <c r="H14" s="13" t="s">
        <v>128</v>
      </c>
      <c r="I14" s="13" t="s">
        <v>45</v>
      </c>
      <c r="J14" s="13" t="s">
        <v>46</v>
      </c>
      <c r="K14" s="13" t="s">
        <v>129</v>
      </c>
      <c r="L14" s="13">
        <v>3</v>
      </c>
      <c r="M14" s="32">
        <v>9.6699999999999994E-2</v>
      </c>
      <c r="N14" s="33">
        <v>0.29799999999999999</v>
      </c>
      <c r="O14" s="33">
        <v>0.16800000000000001</v>
      </c>
      <c r="P14" s="33">
        <v>0.83199999999999996</v>
      </c>
      <c r="Q14" s="33">
        <v>0.67800000000000005</v>
      </c>
      <c r="R14" s="33">
        <v>0.73199999999999998</v>
      </c>
      <c r="S14" s="36">
        <v>0.64100000000000001</v>
      </c>
      <c r="T14" s="8"/>
      <c r="U14" s="33">
        <v>0.442</v>
      </c>
      <c r="V14" s="33">
        <v>0.72399999999999998</v>
      </c>
      <c r="W14" s="33">
        <v>3.1E-2</v>
      </c>
      <c r="X14" s="33">
        <v>3.9E-2</v>
      </c>
      <c r="Y14" s="33">
        <v>1.4E-2</v>
      </c>
      <c r="Z14" s="36">
        <v>9.2999999999999999E-2</v>
      </c>
      <c r="AA14" s="36"/>
      <c r="AB14" s="33">
        <v>0.25600000000000001</v>
      </c>
      <c r="AC14" s="33">
        <v>0.107</v>
      </c>
      <c r="AD14" s="33">
        <v>0.129</v>
      </c>
      <c r="AE14" s="33">
        <v>0.14299999999999999</v>
      </c>
      <c r="AF14" s="33">
        <v>0.186</v>
      </c>
      <c r="AG14" s="36">
        <v>3.5999999999999997E-2</v>
      </c>
      <c r="AH14" s="36"/>
      <c r="AI14" s="33">
        <v>3.0000000000000001E-3</v>
      </c>
      <c r="AJ14" s="33">
        <v>1E-3</v>
      </c>
      <c r="AK14" s="33">
        <v>8.0000000000000002E-3</v>
      </c>
      <c r="AL14" s="33">
        <v>0.121</v>
      </c>
      <c r="AM14" s="33">
        <v>6.0999999999999999E-2</v>
      </c>
      <c r="AN14" s="36">
        <v>3.5999999999999997E-2</v>
      </c>
      <c r="AO14" s="36"/>
      <c r="AP14" s="33">
        <v>1E-3</v>
      </c>
      <c r="AQ14" s="33">
        <v>0</v>
      </c>
      <c r="AR14" s="35">
        <v>0</v>
      </c>
      <c r="AS14" s="33">
        <v>1.9E-2</v>
      </c>
      <c r="AT14" s="33">
        <v>7.0000000000000001E-3</v>
      </c>
      <c r="AU14" s="36">
        <v>5.0000000000000001E-3</v>
      </c>
      <c r="AV14" s="36"/>
      <c r="AW14" s="28">
        <v>92.2</v>
      </c>
      <c r="AX14" s="28">
        <v>124.6</v>
      </c>
      <c r="AY14" s="28">
        <v>17.2</v>
      </c>
      <c r="AZ14" s="28"/>
      <c r="BA14" s="28">
        <v>33.9</v>
      </c>
      <c r="BB14" s="28">
        <v>43</v>
      </c>
      <c r="BC14" s="28"/>
      <c r="BD14" s="33">
        <v>0.34899999999999998</v>
      </c>
      <c r="BE14" s="36">
        <v>0.35299999999999998</v>
      </c>
      <c r="BF14" s="36">
        <v>0.85599999999999998</v>
      </c>
      <c r="BG14" s="36">
        <v>0.54100000000000004</v>
      </c>
      <c r="BH14" s="36">
        <v>0.85399999999999998</v>
      </c>
      <c r="BI14" s="36">
        <v>0.88900000000000001</v>
      </c>
      <c r="BJ14" s="36"/>
      <c r="BK14" s="33">
        <v>0.40899999999999997</v>
      </c>
      <c r="BL14" s="36">
        <v>0.34899999999999998</v>
      </c>
      <c r="BM14" s="36">
        <v>0.36399999999999999</v>
      </c>
      <c r="BN14" s="36">
        <v>0.46800000000000003</v>
      </c>
      <c r="BO14" s="36">
        <v>0.36699999999999999</v>
      </c>
      <c r="BP14" s="36">
        <v>0.40500000000000003</v>
      </c>
      <c r="BQ14" s="36"/>
      <c r="BR14" s="33">
        <v>9.0999999999999998E-2</v>
      </c>
      <c r="BS14" s="36">
        <v>0.108</v>
      </c>
      <c r="BT14" s="24">
        <v>0</v>
      </c>
      <c r="BU14" s="36">
        <v>6.3E-2</v>
      </c>
      <c r="BV14" s="36">
        <v>6.6000000000000003E-2</v>
      </c>
      <c r="BW14" s="36">
        <v>7.0000000000000007E-2</v>
      </c>
      <c r="BX14" s="36"/>
      <c r="BY14" s="28">
        <v>1</v>
      </c>
      <c r="BZ14" s="24">
        <v>1</v>
      </c>
      <c r="CA14" s="24">
        <v>2</v>
      </c>
      <c r="CB14" s="24">
        <v>41</v>
      </c>
      <c r="CC14" s="24">
        <v>60</v>
      </c>
      <c r="CD14" s="24">
        <v>17</v>
      </c>
      <c r="CE14" s="24"/>
      <c r="CF14" s="28" t="s">
        <v>132</v>
      </c>
      <c r="CG14" s="28" t="s">
        <v>133</v>
      </c>
      <c r="CH14" s="28" t="s">
        <v>48</v>
      </c>
      <c r="CI14" s="28" t="s">
        <v>627</v>
      </c>
      <c r="CJ14" s="24" t="s">
        <v>541</v>
      </c>
      <c r="CK14" s="24" t="s">
        <v>122</v>
      </c>
      <c r="CL14" s="24"/>
      <c r="CM14" s="28" t="s">
        <v>134</v>
      </c>
      <c r="CN14" s="28" t="s">
        <v>135</v>
      </c>
      <c r="CO14" s="28" t="s">
        <v>135</v>
      </c>
      <c r="CP14" s="28" t="s">
        <v>628</v>
      </c>
      <c r="CQ14" s="28" t="s">
        <v>681</v>
      </c>
      <c r="CR14" s="13"/>
      <c r="CS14" s="28" t="s">
        <v>136</v>
      </c>
      <c r="CT14" s="33">
        <v>7.6700000000000004E-2</v>
      </c>
      <c r="CU14" s="13"/>
      <c r="CV14" s="13"/>
      <c r="CW14" s="13"/>
      <c r="CX14" s="13"/>
      <c r="CY14" s="13"/>
      <c r="CZ14" s="13"/>
    </row>
    <row r="15" spans="1:105" ht="17.25" customHeight="1">
      <c r="A15" s="47">
        <v>46001</v>
      </c>
      <c r="B15" s="48" t="s">
        <v>682</v>
      </c>
      <c r="C15" s="60" t="s">
        <v>522</v>
      </c>
      <c r="D15" s="60" t="s">
        <v>138</v>
      </c>
      <c r="E15" s="13" t="s">
        <v>139</v>
      </c>
      <c r="F15" s="13"/>
      <c r="G15" s="28" t="s">
        <v>140</v>
      </c>
      <c r="H15" s="13" t="s">
        <v>72</v>
      </c>
      <c r="I15" s="13" t="s">
        <v>45</v>
      </c>
      <c r="J15" s="13" t="s">
        <v>46</v>
      </c>
      <c r="K15" s="13" t="s">
        <v>141</v>
      </c>
      <c r="L15" s="13">
        <v>3</v>
      </c>
      <c r="M15" s="32">
        <v>7.3099999999999998E-2</v>
      </c>
      <c r="N15" s="33">
        <v>0.80600000000000005</v>
      </c>
      <c r="O15" s="33">
        <v>0.82899999999999996</v>
      </c>
      <c r="P15" s="33">
        <v>0.86799999999999999</v>
      </c>
      <c r="Q15" s="33">
        <v>0.83899999999999997</v>
      </c>
      <c r="R15" s="33">
        <v>0.80500000000000005</v>
      </c>
      <c r="S15" s="36">
        <v>0.80800000000000005</v>
      </c>
      <c r="T15" s="8"/>
      <c r="U15" s="33">
        <v>3.2000000000000001E-2</v>
      </c>
      <c r="V15" s="33">
        <v>2E-3</v>
      </c>
      <c r="W15" s="33">
        <v>2E-3</v>
      </c>
      <c r="X15" s="33">
        <v>6.0000000000000001E-3</v>
      </c>
      <c r="Y15" s="33">
        <v>2.7E-2</v>
      </c>
      <c r="Z15" s="36">
        <v>2.7E-2</v>
      </c>
      <c r="AA15" s="36"/>
      <c r="AB15" s="33">
        <v>0.113</v>
      </c>
      <c r="AC15" s="33">
        <v>7.6999999999999999E-2</v>
      </c>
      <c r="AD15" s="33">
        <v>9.7000000000000003E-2</v>
      </c>
      <c r="AE15" s="33">
        <v>0.13300000000000001</v>
      </c>
      <c r="AF15" s="33">
        <v>0.14399999999999999</v>
      </c>
      <c r="AG15" s="36">
        <v>0.14799999999999999</v>
      </c>
      <c r="AH15" s="36"/>
      <c r="AI15" s="33">
        <v>4.3999999999999997E-2</v>
      </c>
      <c r="AJ15" s="33">
        <v>8.5999999999999993E-2</v>
      </c>
      <c r="AK15" s="33">
        <v>3.1E-2</v>
      </c>
      <c r="AL15" s="33">
        <v>2.1000000000000001E-2</v>
      </c>
      <c r="AM15" s="33">
        <v>2.3E-2</v>
      </c>
      <c r="AN15" s="36">
        <v>1.7000000000000001E-2</v>
      </c>
      <c r="AO15" s="36"/>
      <c r="AP15" s="33">
        <v>5.0000000000000001E-3</v>
      </c>
      <c r="AQ15" s="33">
        <v>6.0000000000000001E-3</v>
      </c>
      <c r="AR15" s="33">
        <v>2E-3</v>
      </c>
      <c r="AS15" s="33">
        <v>1E-3</v>
      </c>
      <c r="AT15" s="33">
        <v>1E-3</v>
      </c>
      <c r="AU15" s="78">
        <v>0</v>
      </c>
      <c r="AV15" s="78"/>
      <c r="AW15" s="28">
        <v>26.2</v>
      </c>
      <c r="AX15" s="28">
        <v>28.9</v>
      </c>
      <c r="AY15" s="28">
        <v>16.100000000000001</v>
      </c>
      <c r="AZ15" s="28">
        <v>16.899999999999999</v>
      </c>
      <c r="BA15" s="28">
        <v>21.7</v>
      </c>
      <c r="BB15" s="28">
        <v>20.2</v>
      </c>
      <c r="BC15" s="28"/>
      <c r="BD15" s="33">
        <v>0.92500000000000004</v>
      </c>
      <c r="BE15" s="40">
        <v>0.93</v>
      </c>
      <c r="BF15" s="40">
        <v>0.94</v>
      </c>
      <c r="BG15" s="36">
        <v>0.95699999999999996</v>
      </c>
      <c r="BH15" s="36">
        <v>0.96299999999999997</v>
      </c>
      <c r="BI15" s="36">
        <v>0.97399999999999998</v>
      </c>
      <c r="BJ15" s="36"/>
      <c r="BK15" s="33">
        <v>0.40500000000000003</v>
      </c>
      <c r="BL15" s="36">
        <v>0.34699999999999998</v>
      </c>
      <c r="BM15" s="36">
        <v>0.30599999999999999</v>
      </c>
      <c r="BN15" s="36">
        <v>0.30399999999999999</v>
      </c>
      <c r="BO15" s="36">
        <v>0.33600000000000002</v>
      </c>
      <c r="BP15" s="36">
        <v>0.30599999999999999</v>
      </c>
      <c r="BQ15" s="36"/>
      <c r="BR15" s="33">
        <v>6.4000000000000001E-2</v>
      </c>
      <c r="BS15" s="36">
        <v>6.0999999999999999E-2</v>
      </c>
      <c r="BT15" s="36">
        <v>6.3E-2</v>
      </c>
      <c r="BU15" s="36">
        <v>6.5000000000000002E-2</v>
      </c>
      <c r="BV15" s="36">
        <v>6.6000000000000003E-2</v>
      </c>
      <c r="BW15" s="36">
        <v>6.8000000000000005E-2</v>
      </c>
      <c r="BX15" s="36"/>
      <c r="BY15" s="28">
        <v>18</v>
      </c>
      <c r="BZ15" s="24">
        <v>42</v>
      </c>
      <c r="CA15" s="24">
        <v>13</v>
      </c>
      <c r="CB15" s="24">
        <v>8</v>
      </c>
      <c r="CC15" s="24">
        <v>12</v>
      </c>
      <c r="CD15" s="24">
        <v>10</v>
      </c>
      <c r="CE15" s="24"/>
      <c r="CF15" s="28" t="s">
        <v>142</v>
      </c>
      <c r="CG15" s="28" t="s">
        <v>143</v>
      </c>
      <c r="CH15" s="28" t="s">
        <v>523</v>
      </c>
      <c r="CI15" s="28" t="s">
        <v>171</v>
      </c>
      <c r="CJ15" s="24" t="s">
        <v>50</v>
      </c>
      <c r="CK15" s="24" t="s">
        <v>78</v>
      </c>
      <c r="CL15" s="24"/>
      <c r="CM15" s="28" t="s">
        <v>144</v>
      </c>
      <c r="CN15" s="28" t="s">
        <v>145</v>
      </c>
      <c r="CO15" s="28" t="s">
        <v>524</v>
      </c>
      <c r="CP15" s="28" t="s">
        <v>630</v>
      </c>
      <c r="CQ15" s="28" t="s">
        <v>683</v>
      </c>
      <c r="CR15" s="8"/>
      <c r="CS15" s="13"/>
      <c r="CT15" s="33">
        <v>6.2199999999999998E-2</v>
      </c>
      <c r="CU15" s="13"/>
      <c r="CV15" s="13"/>
      <c r="CW15" s="13"/>
      <c r="CX15" s="13"/>
      <c r="CY15" s="13"/>
      <c r="CZ15" s="13"/>
    </row>
    <row r="16" spans="1:105">
      <c r="A16" s="49">
        <v>45972</v>
      </c>
      <c r="B16" s="42" t="s">
        <v>684</v>
      </c>
      <c r="C16" s="28" t="s">
        <v>150</v>
      </c>
      <c r="D16" s="13" t="s">
        <v>147</v>
      </c>
      <c r="E16" s="13" t="s">
        <v>148</v>
      </c>
      <c r="F16" s="13"/>
      <c r="G16" s="13" t="s">
        <v>149</v>
      </c>
      <c r="H16" s="13" t="s">
        <v>150</v>
      </c>
      <c r="I16" s="13" t="s">
        <v>45</v>
      </c>
      <c r="J16" s="13" t="s">
        <v>46</v>
      </c>
      <c r="K16" s="13" t="s">
        <v>151</v>
      </c>
      <c r="L16" s="13">
        <v>6</v>
      </c>
      <c r="M16" s="32">
        <v>0.10299999999999999</v>
      </c>
      <c r="N16" s="33">
        <v>0.94799999999999995</v>
      </c>
      <c r="O16" s="35">
        <v>0.93</v>
      </c>
      <c r="P16" s="33">
        <v>0.95199999999999996</v>
      </c>
      <c r="Q16" s="33">
        <v>0.96899999999999997</v>
      </c>
      <c r="R16" s="33">
        <v>0.874</v>
      </c>
      <c r="S16" s="33">
        <v>0.91200000000000003</v>
      </c>
      <c r="T16" s="8"/>
      <c r="U16" s="33">
        <v>2E-3</v>
      </c>
      <c r="V16" s="35">
        <v>0.01</v>
      </c>
      <c r="W16" s="35">
        <v>0</v>
      </c>
      <c r="X16" s="33">
        <v>0</v>
      </c>
      <c r="Y16" s="33">
        <v>5.0000000000000001E-3</v>
      </c>
      <c r="Z16" s="33">
        <v>0</v>
      </c>
      <c r="AA16" s="33"/>
      <c r="AB16" s="33">
        <v>2.5000000000000001E-2</v>
      </c>
      <c r="AC16" s="33">
        <v>5.0999999999999997E-2</v>
      </c>
      <c r="AD16" s="33">
        <v>3.1E-2</v>
      </c>
      <c r="AE16" s="33">
        <v>2.8000000000000001E-2</v>
      </c>
      <c r="AF16" s="33">
        <v>0.11600000000000001</v>
      </c>
      <c r="AG16" s="33">
        <v>8.6999999999999994E-2</v>
      </c>
      <c r="AH16" s="33"/>
      <c r="AI16" s="33">
        <v>2.5000000000000001E-2</v>
      </c>
      <c r="AJ16" s="28">
        <v>0</v>
      </c>
      <c r="AK16" s="33">
        <v>1.6E-2</v>
      </c>
      <c r="AL16" s="33">
        <v>3.0000000000000001E-3</v>
      </c>
      <c r="AM16" s="33">
        <v>1E-3</v>
      </c>
      <c r="AN16" s="33">
        <v>1E-3</v>
      </c>
      <c r="AO16" s="33"/>
      <c r="AP16" s="35">
        <v>0</v>
      </c>
      <c r="AQ16" s="33">
        <v>1E-3</v>
      </c>
      <c r="AR16" s="33">
        <v>1E-3</v>
      </c>
      <c r="AS16" s="33">
        <v>0</v>
      </c>
      <c r="AT16" s="33">
        <v>0</v>
      </c>
      <c r="AU16" s="33">
        <v>0</v>
      </c>
      <c r="AV16" s="33"/>
      <c r="AW16" s="28">
        <v>8.3000000000000007</v>
      </c>
      <c r="AX16" s="28">
        <v>7.9</v>
      </c>
      <c r="AY16" s="28">
        <v>6.6</v>
      </c>
      <c r="AZ16" s="28">
        <v>3</v>
      </c>
      <c r="BA16" s="28">
        <v>11.5</v>
      </c>
      <c r="BB16" s="28">
        <v>7.2</v>
      </c>
      <c r="BC16" s="28"/>
      <c r="BD16" s="33">
        <v>0.25900000000000001</v>
      </c>
      <c r="BE16" s="33">
        <v>0.26300000000000001</v>
      </c>
      <c r="BF16" s="33">
        <v>0.40500000000000003</v>
      </c>
      <c r="BG16" s="33">
        <v>0.54700000000000004</v>
      </c>
      <c r="BH16" s="33">
        <v>0.877</v>
      </c>
      <c r="BI16" s="33">
        <v>0.89800000000000002</v>
      </c>
      <c r="BJ16" s="33"/>
      <c r="BK16" s="33">
        <v>0.24299999999999999</v>
      </c>
      <c r="BL16" s="33">
        <v>0.28699999999999998</v>
      </c>
      <c r="BM16" s="33">
        <v>0.23899999999999999</v>
      </c>
      <c r="BN16" s="33">
        <v>0.19400000000000001</v>
      </c>
      <c r="BO16" s="33">
        <v>0.224</v>
      </c>
      <c r="BP16" s="33">
        <v>0.216</v>
      </c>
      <c r="BQ16" s="33"/>
      <c r="BR16" s="33">
        <v>0.06</v>
      </c>
      <c r="BS16" s="33">
        <v>6.2E-2</v>
      </c>
      <c r="BT16" s="33">
        <v>0.06</v>
      </c>
      <c r="BU16" s="33">
        <v>6.3E-2</v>
      </c>
      <c r="BV16" s="33">
        <v>6.7000000000000004E-2</v>
      </c>
      <c r="BW16" s="33">
        <v>6.5000000000000002E-2</v>
      </c>
      <c r="BX16" s="33"/>
      <c r="BY16" s="28">
        <v>14</v>
      </c>
      <c r="BZ16" s="28">
        <v>5</v>
      </c>
      <c r="CA16" s="28">
        <v>7</v>
      </c>
      <c r="CB16" s="28">
        <v>1</v>
      </c>
      <c r="CC16" s="28">
        <v>1</v>
      </c>
      <c r="CD16" s="28">
        <v>1</v>
      </c>
      <c r="CE16" s="28"/>
      <c r="CF16" s="28" t="s">
        <v>152</v>
      </c>
      <c r="CG16" s="28" t="s">
        <v>153</v>
      </c>
      <c r="CH16" s="28" t="s">
        <v>526</v>
      </c>
      <c r="CI16" s="28" t="s">
        <v>685</v>
      </c>
      <c r="CJ16" s="28" t="s">
        <v>90</v>
      </c>
      <c r="CK16" s="28" t="s">
        <v>76</v>
      </c>
      <c r="CL16" s="28"/>
      <c r="CM16" s="28" t="s">
        <v>154</v>
      </c>
      <c r="CN16" s="28" t="s">
        <v>155</v>
      </c>
      <c r="CO16" s="28" t="s">
        <v>527</v>
      </c>
      <c r="CP16" s="28" t="s">
        <v>527</v>
      </c>
      <c r="CQ16" s="28" t="s">
        <v>686</v>
      </c>
      <c r="CR16" s="24" t="s">
        <v>686</v>
      </c>
      <c r="CS16" s="13"/>
      <c r="CT16" s="33">
        <v>6.2100000000000002E-2</v>
      </c>
      <c r="CU16" s="13"/>
      <c r="CV16" s="13"/>
      <c r="CW16" s="13"/>
      <c r="CX16" s="13"/>
      <c r="CY16" s="13"/>
      <c r="CZ16" s="13"/>
    </row>
    <row r="17" spans="1:104">
      <c r="A17" s="49">
        <v>45972</v>
      </c>
      <c r="B17" s="42" t="s">
        <v>687</v>
      </c>
      <c r="C17" s="28" t="s">
        <v>88</v>
      </c>
      <c r="D17" s="13" t="s">
        <v>157</v>
      </c>
      <c r="E17" s="13" t="s">
        <v>158</v>
      </c>
      <c r="F17" s="13"/>
      <c r="G17" s="13" t="s">
        <v>159</v>
      </c>
      <c r="H17" s="13" t="s">
        <v>128</v>
      </c>
      <c r="I17" s="13" t="s">
        <v>45</v>
      </c>
      <c r="J17" s="13" t="s">
        <v>46</v>
      </c>
      <c r="K17" s="13" t="s">
        <v>160</v>
      </c>
      <c r="L17" s="13">
        <v>2</v>
      </c>
      <c r="M17" s="32">
        <v>5.5E-2</v>
      </c>
      <c r="N17" s="33">
        <v>0.94099999999999995</v>
      </c>
      <c r="O17" s="33">
        <v>0.97199999999999998</v>
      </c>
      <c r="P17" s="33">
        <v>0.94499999999999995</v>
      </c>
      <c r="Q17" s="33">
        <v>0.83099999999999996</v>
      </c>
      <c r="R17" s="33">
        <v>0.751</v>
      </c>
      <c r="S17" s="35">
        <v>0.87</v>
      </c>
      <c r="T17" s="8"/>
      <c r="U17" s="35">
        <v>0</v>
      </c>
      <c r="V17" s="35">
        <v>0</v>
      </c>
      <c r="W17" s="35">
        <v>0</v>
      </c>
      <c r="X17" s="33">
        <v>2.1999999999999999E-2</v>
      </c>
      <c r="Y17" s="33">
        <v>3.7999999999999999E-2</v>
      </c>
      <c r="Z17" s="33">
        <v>5.0000000000000001E-3</v>
      </c>
      <c r="AA17" s="33"/>
      <c r="AB17" s="33">
        <v>1.2E-2</v>
      </c>
      <c r="AC17" s="33">
        <v>1.7999999999999999E-2</v>
      </c>
      <c r="AD17" s="33">
        <v>3.1E-2</v>
      </c>
      <c r="AE17" s="33">
        <v>0.13100000000000001</v>
      </c>
      <c r="AF17" s="33">
        <v>0.19900000000000001</v>
      </c>
      <c r="AG17" s="33">
        <v>0.115</v>
      </c>
      <c r="AH17" s="33"/>
      <c r="AI17" s="33">
        <v>3.9E-2</v>
      </c>
      <c r="AJ17" s="33">
        <v>8.0000000000000002E-3</v>
      </c>
      <c r="AK17" s="33">
        <v>2.3E-2</v>
      </c>
      <c r="AL17" s="33">
        <v>1.2E-2</v>
      </c>
      <c r="AM17" s="33">
        <v>0.01</v>
      </c>
      <c r="AN17" s="33">
        <v>0.01</v>
      </c>
      <c r="AO17" s="33"/>
      <c r="AP17" s="35">
        <v>0</v>
      </c>
      <c r="AQ17" s="33">
        <v>2E-3</v>
      </c>
      <c r="AR17" s="33">
        <v>1E-3</v>
      </c>
      <c r="AS17" s="33">
        <v>4.0000000000000001E-3</v>
      </c>
      <c r="AT17" s="33">
        <v>2E-3</v>
      </c>
      <c r="AU17" s="33">
        <v>0</v>
      </c>
      <c r="AV17" s="33"/>
      <c r="AW17" s="28">
        <v>12.7</v>
      </c>
      <c r="AX17" s="28">
        <v>4</v>
      </c>
      <c r="AY17" s="28">
        <v>8.3000000000000007</v>
      </c>
      <c r="AZ17" s="28">
        <v>18.100000000000001</v>
      </c>
      <c r="BA17" s="28">
        <v>25</v>
      </c>
      <c r="BB17" s="28">
        <v>12.4</v>
      </c>
      <c r="BC17" s="28"/>
      <c r="BD17" s="33">
        <v>0.86499999999999999</v>
      </c>
      <c r="BE17" s="33">
        <v>0.91800000000000004</v>
      </c>
      <c r="BF17" s="33">
        <v>0.95899999999999996</v>
      </c>
      <c r="BG17" s="35">
        <v>0.92</v>
      </c>
      <c r="BH17" s="33">
        <v>0.91200000000000003</v>
      </c>
      <c r="BI17" s="33">
        <v>0.91600000000000004</v>
      </c>
      <c r="BJ17" s="33"/>
      <c r="BK17" s="33">
        <v>0.23100000000000001</v>
      </c>
      <c r="BL17" s="33">
        <v>0.21199999999999999</v>
      </c>
      <c r="BM17" s="33">
        <v>0.246</v>
      </c>
      <c r="BN17" s="33">
        <v>0.29599999999999999</v>
      </c>
      <c r="BO17" s="33">
        <v>0.30299999999999999</v>
      </c>
      <c r="BP17" s="33">
        <v>0.29199999999999998</v>
      </c>
      <c r="BQ17" s="33"/>
      <c r="BR17" s="33">
        <v>5.8999999999999997E-2</v>
      </c>
      <c r="BS17" s="33">
        <v>0.06</v>
      </c>
      <c r="BT17" s="33">
        <v>6.0999999999999999E-2</v>
      </c>
      <c r="BU17" s="33">
        <v>6.7000000000000004E-2</v>
      </c>
      <c r="BV17" s="33">
        <v>6.9000000000000006E-2</v>
      </c>
      <c r="BW17" s="33">
        <v>6.4000000000000001E-2</v>
      </c>
      <c r="BX17" s="33"/>
      <c r="BY17" s="28">
        <v>14</v>
      </c>
      <c r="BZ17" s="28">
        <v>6</v>
      </c>
      <c r="CA17" s="28">
        <v>11</v>
      </c>
      <c r="CB17" s="28">
        <v>5</v>
      </c>
      <c r="CC17" s="28">
        <v>4</v>
      </c>
      <c r="CD17" s="28">
        <v>8</v>
      </c>
      <c r="CE17" s="28"/>
      <c r="CF17" s="28" t="s">
        <v>161</v>
      </c>
      <c r="CG17" s="28" t="s">
        <v>162</v>
      </c>
      <c r="CH17" s="28" t="s">
        <v>271</v>
      </c>
      <c r="CI17" s="28" t="s">
        <v>161</v>
      </c>
      <c r="CJ17" s="28" t="s">
        <v>270</v>
      </c>
      <c r="CK17" s="28" t="s">
        <v>688</v>
      </c>
      <c r="CL17" s="28"/>
      <c r="CM17" s="28" t="s">
        <v>163</v>
      </c>
      <c r="CN17" s="28" t="s">
        <v>164</v>
      </c>
      <c r="CO17" s="28" t="s">
        <v>164</v>
      </c>
      <c r="CP17" s="28" t="s">
        <v>163</v>
      </c>
      <c r="CQ17" s="28" t="s">
        <v>689</v>
      </c>
      <c r="CR17" s="13"/>
      <c r="CS17" s="13"/>
      <c r="CT17" s="33">
        <v>5.4300000000000001E-2</v>
      </c>
      <c r="CU17" s="13"/>
      <c r="CV17" s="13"/>
      <c r="CW17" s="13"/>
      <c r="CX17" s="13"/>
      <c r="CY17" s="13"/>
      <c r="CZ17" s="13"/>
    </row>
    <row r="18" spans="1:104">
      <c r="A18" s="49">
        <v>45972</v>
      </c>
      <c r="B18" s="31" t="s">
        <v>690</v>
      </c>
      <c r="C18" s="28" t="s">
        <v>44</v>
      </c>
      <c r="D18" s="13" t="s">
        <v>166</v>
      </c>
      <c r="E18" s="13"/>
      <c r="F18" s="13" t="s">
        <v>167</v>
      </c>
      <c r="G18" s="13" t="s">
        <v>168</v>
      </c>
      <c r="H18" s="13" t="s">
        <v>128</v>
      </c>
      <c r="I18" s="13" t="s">
        <v>45</v>
      </c>
      <c r="J18" s="13" t="s">
        <v>46</v>
      </c>
      <c r="K18" s="13" t="s">
        <v>169</v>
      </c>
      <c r="L18" s="13">
        <v>4</v>
      </c>
      <c r="M18" s="32">
        <v>0.113</v>
      </c>
      <c r="N18" s="33">
        <v>0.80600000000000005</v>
      </c>
      <c r="O18" s="33">
        <v>0.77300000000000002</v>
      </c>
      <c r="P18" s="28">
        <v>0</v>
      </c>
      <c r="Q18" s="33">
        <v>0.61799999999999999</v>
      </c>
      <c r="R18" s="33">
        <v>0.66400000000000003</v>
      </c>
      <c r="S18" s="13"/>
      <c r="T18" s="8"/>
      <c r="U18" s="35">
        <v>0.01</v>
      </c>
      <c r="V18" s="33">
        <v>2.7E-2</v>
      </c>
      <c r="W18" s="28">
        <v>0</v>
      </c>
      <c r="X18" s="33">
        <v>4.5999999999999999E-2</v>
      </c>
      <c r="Y18" s="33">
        <v>4.3999999999999997E-2</v>
      </c>
      <c r="Z18" s="13"/>
      <c r="AA18" s="13"/>
      <c r="AB18" s="33">
        <v>8.2000000000000003E-2</v>
      </c>
      <c r="AC18" s="35">
        <v>0.13</v>
      </c>
      <c r="AD18" s="28">
        <v>0</v>
      </c>
      <c r="AE18" s="33">
        <v>0.24099999999999999</v>
      </c>
      <c r="AF18" s="35">
        <v>0.22</v>
      </c>
      <c r="AG18" s="13"/>
      <c r="AH18" s="13"/>
      <c r="AI18" s="33">
        <v>6.4000000000000001E-2</v>
      </c>
      <c r="AJ18" s="33">
        <v>6.9000000000000006E-2</v>
      </c>
      <c r="AK18" s="28">
        <v>0</v>
      </c>
      <c r="AL18" s="33">
        <v>8.8999999999999996E-2</v>
      </c>
      <c r="AM18" s="33">
        <v>7.0000000000000007E-2</v>
      </c>
      <c r="AN18" s="13"/>
      <c r="AO18" s="13"/>
      <c r="AP18" s="33">
        <v>3.7999999999999999E-2</v>
      </c>
      <c r="AQ18" s="33">
        <v>1E-3</v>
      </c>
      <c r="AR18" s="28">
        <v>0</v>
      </c>
      <c r="AS18" s="33">
        <v>6.0000000000000001E-3</v>
      </c>
      <c r="AT18" s="33">
        <v>2E-3</v>
      </c>
      <c r="AU18" s="13"/>
      <c r="AV18" s="13"/>
      <c r="AW18" s="28">
        <v>34.9</v>
      </c>
      <c r="AX18" s="28">
        <v>31.6</v>
      </c>
      <c r="AY18" s="28">
        <v>0</v>
      </c>
      <c r="AZ18" s="28">
        <v>49.8</v>
      </c>
      <c r="BA18" s="28">
        <v>42</v>
      </c>
      <c r="BB18" s="13"/>
      <c r="BC18" s="13"/>
      <c r="BD18" s="33">
        <v>0.94699999999999995</v>
      </c>
      <c r="BE18" s="33">
        <v>0.89700000000000002</v>
      </c>
      <c r="BF18" s="28">
        <v>0</v>
      </c>
      <c r="BG18" s="33">
        <v>0.94399999999999995</v>
      </c>
      <c r="BH18" s="33">
        <v>0.95599999999999996</v>
      </c>
      <c r="BI18" s="13"/>
      <c r="BJ18" s="13"/>
      <c r="BK18" s="33">
        <v>0.38600000000000001</v>
      </c>
      <c r="BL18" s="33">
        <v>0.377</v>
      </c>
      <c r="BM18" s="28">
        <v>0</v>
      </c>
      <c r="BN18" s="35">
        <v>0.42</v>
      </c>
      <c r="BO18" s="33">
        <v>0.41399999999999998</v>
      </c>
      <c r="BP18" s="13"/>
      <c r="BQ18" s="13"/>
      <c r="BR18" s="33">
        <v>0.06</v>
      </c>
      <c r="BS18" s="33">
        <v>6.4000000000000001E-2</v>
      </c>
      <c r="BT18" s="28">
        <v>0</v>
      </c>
      <c r="BU18" s="33">
        <v>6.7000000000000004E-2</v>
      </c>
      <c r="BV18" s="33">
        <v>6.7000000000000004E-2</v>
      </c>
      <c r="BW18" s="13"/>
      <c r="BX18" s="13"/>
      <c r="BY18" s="28">
        <v>28</v>
      </c>
      <c r="BZ18" s="28">
        <v>25</v>
      </c>
      <c r="CA18" s="28">
        <v>0</v>
      </c>
      <c r="CB18" s="28">
        <v>24</v>
      </c>
      <c r="CC18" s="28">
        <v>22</v>
      </c>
      <c r="CD18" s="13"/>
      <c r="CE18" s="13"/>
      <c r="CF18" s="28" t="s">
        <v>170</v>
      </c>
      <c r="CG18" s="28" t="s">
        <v>171</v>
      </c>
      <c r="CH18" s="28">
        <v>0</v>
      </c>
      <c r="CI18" s="28" t="s">
        <v>603</v>
      </c>
      <c r="CJ18" s="28" t="s">
        <v>253</v>
      </c>
      <c r="CK18" s="13"/>
      <c r="CL18" s="13"/>
      <c r="CM18" s="28" t="s">
        <v>172</v>
      </c>
      <c r="CN18" s="28" t="s">
        <v>173</v>
      </c>
      <c r="CO18" s="28" t="s">
        <v>531</v>
      </c>
      <c r="CP18" s="28" t="s">
        <v>691</v>
      </c>
      <c r="CQ18" s="28"/>
      <c r="CR18" s="8"/>
      <c r="CS18" s="28" t="s">
        <v>532</v>
      </c>
      <c r="CT18" s="33">
        <v>7.9100000000000004E-2</v>
      </c>
      <c r="CU18" s="13"/>
      <c r="CV18" s="13"/>
      <c r="CW18" s="13"/>
      <c r="CX18" s="13"/>
      <c r="CY18" s="13"/>
      <c r="CZ18" s="13"/>
    </row>
    <row r="19" spans="1:104" ht="14.25" customHeight="1">
      <c r="A19" s="49">
        <v>46003</v>
      </c>
      <c r="B19" s="50" t="s">
        <v>692</v>
      </c>
      <c r="C19" s="60" t="s">
        <v>88</v>
      </c>
      <c r="D19" s="60" t="s">
        <v>175</v>
      </c>
      <c r="E19" s="13" t="s">
        <v>176</v>
      </c>
      <c r="F19" s="13"/>
      <c r="G19" s="13" t="s">
        <v>177</v>
      </c>
      <c r="H19" s="13" t="s">
        <v>88</v>
      </c>
      <c r="I19" s="13" t="s">
        <v>45</v>
      </c>
      <c r="J19" s="13" t="s">
        <v>178</v>
      </c>
      <c r="K19" s="13" t="s">
        <v>179</v>
      </c>
      <c r="L19" s="13">
        <v>2</v>
      </c>
      <c r="M19" s="32">
        <v>9.1499999999999998E-2</v>
      </c>
      <c r="N19" s="33">
        <v>0.246</v>
      </c>
      <c r="O19" s="33">
        <v>0.51400000000000001</v>
      </c>
      <c r="P19" s="33">
        <v>0.90100000000000002</v>
      </c>
      <c r="Q19" s="33">
        <v>0.78500000000000003</v>
      </c>
      <c r="R19" s="35">
        <v>0.74</v>
      </c>
      <c r="S19" s="33">
        <v>0.86099999999999999</v>
      </c>
      <c r="T19" s="8"/>
      <c r="U19" s="33">
        <v>0.38900000000000001</v>
      </c>
      <c r="V19" s="33">
        <v>0.10199999999999999</v>
      </c>
      <c r="W19" s="33">
        <v>1E-3</v>
      </c>
      <c r="X19" s="33">
        <v>4.0000000000000001E-3</v>
      </c>
      <c r="Y19" s="33">
        <v>3.9E-2</v>
      </c>
      <c r="Z19" s="33">
        <v>2E-3</v>
      </c>
      <c r="AA19" s="33"/>
      <c r="AB19" s="33">
        <v>0.36499999999999999</v>
      </c>
      <c r="AC19" s="33">
        <v>0.376</v>
      </c>
      <c r="AD19" s="33">
        <v>9.8000000000000004E-2</v>
      </c>
      <c r="AE19" s="33">
        <v>6.4000000000000001E-2</v>
      </c>
      <c r="AF19" s="35">
        <v>0.21</v>
      </c>
      <c r="AG19" s="33">
        <v>0.125</v>
      </c>
      <c r="AH19" s="33"/>
      <c r="AI19" s="35">
        <v>0</v>
      </c>
      <c r="AJ19" s="35">
        <v>0</v>
      </c>
      <c r="AK19" s="35">
        <v>0</v>
      </c>
      <c r="AL19" s="33">
        <v>8.6999999999999994E-2</v>
      </c>
      <c r="AM19" s="33">
        <v>7.0000000000000001E-3</v>
      </c>
      <c r="AN19" s="33">
        <v>0.01</v>
      </c>
      <c r="AO19" s="33"/>
      <c r="AP19" s="35">
        <v>0</v>
      </c>
      <c r="AQ19" s="33">
        <v>8.0000000000000002E-3</v>
      </c>
      <c r="AR19" s="35">
        <v>0</v>
      </c>
      <c r="AS19" s="35">
        <v>0.06</v>
      </c>
      <c r="AT19" s="33">
        <v>4.0000000000000001E-3</v>
      </c>
      <c r="AU19" s="33">
        <v>2E-3</v>
      </c>
      <c r="AV19" s="33"/>
      <c r="AW19" s="28">
        <v>91.4</v>
      </c>
      <c r="AX19" s="28">
        <v>48.8</v>
      </c>
      <c r="AY19" s="28">
        <v>8</v>
      </c>
      <c r="AZ19" s="28">
        <v>44.6</v>
      </c>
      <c r="BA19" s="28">
        <v>25.9</v>
      </c>
      <c r="BB19" s="28">
        <v>13.3</v>
      </c>
      <c r="BC19" s="28"/>
      <c r="BD19" s="35">
        <v>0.55000000000000004</v>
      </c>
      <c r="BE19" s="33">
        <v>0.755</v>
      </c>
      <c r="BF19" s="33">
        <v>0.76600000000000001</v>
      </c>
      <c r="BG19" s="33">
        <v>0.73099999999999998</v>
      </c>
      <c r="BH19" s="33">
        <v>0.78200000000000003</v>
      </c>
      <c r="BI19" s="33">
        <v>0.71799999999999997</v>
      </c>
      <c r="BJ19" s="33"/>
      <c r="BK19" s="33">
        <v>0.26100000000000001</v>
      </c>
      <c r="BL19" s="35">
        <v>0.28000000000000003</v>
      </c>
      <c r="BM19" s="33">
        <v>0.25800000000000001</v>
      </c>
      <c r="BN19" s="33">
        <v>0.38200000000000001</v>
      </c>
      <c r="BO19" s="33">
        <v>0.316</v>
      </c>
      <c r="BP19" s="33">
        <v>0.28499999999999998</v>
      </c>
      <c r="BQ19" s="33"/>
      <c r="BR19" s="33">
        <v>8.7999999999999995E-2</v>
      </c>
      <c r="BS19" s="33">
        <v>7.6999999999999999E-2</v>
      </c>
      <c r="BT19" s="33">
        <v>6.5000000000000002E-2</v>
      </c>
      <c r="BU19" s="33">
        <v>5.8999999999999997E-2</v>
      </c>
      <c r="BV19" s="33">
        <v>6.9000000000000006E-2</v>
      </c>
      <c r="BW19" s="33">
        <v>6.6000000000000003E-2</v>
      </c>
      <c r="BX19" s="33"/>
      <c r="BY19" s="28">
        <v>0</v>
      </c>
      <c r="BZ19" s="28">
        <v>2</v>
      </c>
      <c r="CA19" s="28">
        <v>0</v>
      </c>
      <c r="CB19" s="28">
        <v>26</v>
      </c>
      <c r="CC19" s="28">
        <v>2</v>
      </c>
      <c r="CD19" s="28">
        <v>4</v>
      </c>
      <c r="CE19" s="28"/>
      <c r="CF19" s="28">
        <v>0</v>
      </c>
      <c r="CG19" s="28" t="s">
        <v>180</v>
      </c>
      <c r="CH19" s="28" t="s">
        <v>112</v>
      </c>
      <c r="CI19" s="28" t="s">
        <v>633</v>
      </c>
      <c r="CJ19" s="28" t="s">
        <v>693</v>
      </c>
      <c r="CK19" s="28" t="s">
        <v>316</v>
      </c>
      <c r="CL19" s="28"/>
      <c r="CM19" s="28" t="s">
        <v>181</v>
      </c>
      <c r="CN19" s="28" t="s">
        <v>181</v>
      </c>
      <c r="CO19" s="28" t="s">
        <v>181</v>
      </c>
      <c r="CP19" s="28" t="s">
        <v>634</v>
      </c>
      <c r="CQ19" s="28" t="s">
        <v>634</v>
      </c>
      <c r="CR19" s="8"/>
      <c r="CS19" s="28" t="s">
        <v>635</v>
      </c>
      <c r="CT19" s="33">
        <v>7.5700000000000003E-2</v>
      </c>
      <c r="CU19" s="13"/>
      <c r="CV19" s="13"/>
      <c r="CW19" s="13"/>
      <c r="CX19" s="13"/>
      <c r="CY19" s="13"/>
      <c r="CZ19" s="13"/>
    </row>
    <row r="20" spans="1:104">
      <c r="A20" s="47">
        <v>46006</v>
      </c>
      <c r="B20" s="31" t="s">
        <v>694</v>
      </c>
      <c r="C20" s="28" t="s">
        <v>44</v>
      </c>
      <c r="D20" s="28" t="s">
        <v>184</v>
      </c>
      <c r="E20" s="13"/>
      <c r="F20" s="28" t="s">
        <v>185</v>
      </c>
      <c r="G20" s="28" t="s">
        <v>186</v>
      </c>
      <c r="H20" s="28" t="s">
        <v>72</v>
      </c>
      <c r="I20" s="13" t="s">
        <v>73</v>
      </c>
      <c r="J20" s="28" t="s">
        <v>46</v>
      </c>
      <c r="K20" s="28" t="s">
        <v>187</v>
      </c>
      <c r="L20" s="51">
        <v>45718</v>
      </c>
      <c r="M20" s="33">
        <v>9.4E-2</v>
      </c>
      <c r="N20" s="33">
        <v>0.77300000000000002</v>
      </c>
      <c r="O20" s="33">
        <v>0.88600000000000001</v>
      </c>
      <c r="P20" s="33">
        <v>0.90400000000000003</v>
      </c>
      <c r="Q20" s="33">
        <v>0.84299999999999997</v>
      </c>
      <c r="R20" s="33">
        <v>0.85199999999999998</v>
      </c>
      <c r="S20" s="13"/>
      <c r="T20" s="13"/>
      <c r="U20" s="33">
        <v>4.2000000000000003E-2</v>
      </c>
      <c r="V20" s="33">
        <v>1.6E-2</v>
      </c>
      <c r="W20" s="33">
        <v>1.7000000000000001E-2</v>
      </c>
      <c r="X20" s="33">
        <v>2.1999999999999999E-2</v>
      </c>
      <c r="Y20" s="33">
        <v>3.5000000000000003E-2</v>
      </c>
      <c r="Z20" s="13"/>
      <c r="AA20" s="13"/>
      <c r="AB20" s="33">
        <v>0.16400000000000001</v>
      </c>
      <c r="AC20" s="33">
        <v>9.4E-2</v>
      </c>
      <c r="AD20" s="33">
        <v>7.2999999999999995E-2</v>
      </c>
      <c r="AE20" s="33">
        <v>0.125</v>
      </c>
      <c r="AF20" s="33">
        <v>0.111</v>
      </c>
      <c r="AG20" s="13"/>
      <c r="AH20" s="13"/>
      <c r="AI20" s="35">
        <v>0.02</v>
      </c>
      <c r="AJ20" s="33">
        <v>4.0000000000000001E-3</v>
      </c>
      <c r="AK20" s="33">
        <v>6.0000000000000001E-3</v>
      </c>
      <c r="AL20" s="33">
        <v>2E-3</v>
      </c>
      <c r="AM20" s="33">
        <v>2E-3</v>
      </c>
      <c r="AN20" s="13"/>
      <c r="AO20" s="13"/>
      <c r="AP20" s="33">
        <v>1E-3</v>
      </c>
      <c r="AQ20" s="35">
        <v>0</v>
      </c>
      <c r="AR20" s="35">
        <v>0</v>
      </c>
      <c r="AS20" s="33">
        <v>8.0000000000000002E-3</v>
      </c>
      <c r="AT20" s="33">
        <v>0</v>
      </c>
      <c r="AU20" s="13"/>
      <c r="AV20" s="13"/>
      <c r="AW20" s="28">
        <v>24.9</v>
      </c>
      <c r="AX20" s="28">
        <v>11</v>
      </c>
      <c r="AY20" s="28">
        <v>10</v>
      </c>
      <c r="AZ20" s="28">
        <v>16.399999999999999</v>
      </c>
      <c r="BA20" s="28">
        <v>15</v>
      </c>
      <c r="BB20" s="13"/>
      <c r="BC20" s="13"/>
      <c r="BD20" s="33">
        <v>0.96399999999999997</v>
      </c>
      <c r="BE20" s="33">
        <v>0.98199999999999998</v>
      </c>
      <c r="BF20" s="33">
        <v>0.96799999999999997</v>
      </c>
      <c r="BG20" s="33">
        <v>0.96499999999999997</v>
      </c>
      <c r="BH20" s="33">
        <v>0.96699999999999997</v>
      </c>
      <c r="BI20" s="13"/>
      <c r="BJ20" s="13"/>
      <c r="BK20" s="33">
        <v>0.33800000000000002</v>
      </c>
      <c r="BL20" s="33">
        <v>0.27600000000000002</v>
      </c>
      <c r="BM20" s="33">
        <v>0.27100000000000002</v>
      </c>
      <c r="BN20" s="33">
        <v>0.29099999999999998</v>
      </c>
      <c r="BO20" s="33">
        <v>0.34799999999999998</v>
      </c>
      <c r="BP20" s="13"/>
      <c r="BQ20" s="13"/>
      <c r="BR20" s="33">
        <v>6.8000000000000005E-2</v>
      </c>
      <c r="BS20" s="33">
        <v>6.5000000000000002E-2</v>
      </c>
      <c r="BT20" s="33">
        <v>6.5000000000000002E-2</v>
      </c>
      <c r="BU20" s="28">
        <v>0</v>
      </c>
      <c r="BV20" s="33">
        <v>6.6000000000000003E-2</v>
      </c>
      <c r="BW20" s="13"/>
      <c r="BX20" s="13"/>
      <c r="BY20" s="28">
        <v>8</v>
      </c>
      <c r="BZ20" s="28">
        <v>2</v>
      </c>
      <c r="CA20" s="28">
        <v>3</v>
      </c>
      <c r="CB20" s="28">
        <v>1</v>
      </c>
      <c r="CC20" s="28">
        <v>1</v>
      </c>
      <c r="CD20" s="13"/>
      <c r="CE20" s="13"/>
      <c r="CF20" s="28" t="s">
        <v>188</v>
      </c>
      <c r="CG20" s="28" t="s">
        <v>189</v>
      </c>
      <c r="CH20" s="28" t="s">
        <v>189</v>
      </c>
      <c r="CI20" s="28" t="s">
        <v>695</v>
      </c>
      <c r="CJ20" s="28" t="s">
        <v>271</v>
      </c>
      <c r="CK20" s="13"/>
      <c r="CL20" s="13"/>
      <c r="CM20" s="28" t="s">
        <v>190</v>
      </c>
      <c r="CN20" s="28" t="s">
        <v>191</v>
      </c>
      <c r="CO20" s="28" t="s">
        <v>190</v>
      </c>
      <c r="CP20" s="28" t="s">
        <v>696</v>
      </c>
      <c r="CQ20" s="28"/>
      <c r="CR20" s="8"/>
      <c r="CS20" s="28" t="s">
        <v>697</v>
      </c>
      <c r="CT20" s="33">
        <v>7.3899999999999993E-2</v>
      </c>
      <c r="CU20" s="13"/>
      <c r="CV20" s="13"/>
      <c r="CW20" s="13"/>
      <c r="CX20" s="13"/>
      <c r="CY20" s="13"/>
      <c r="CZ20" s="13"/>
    </row>
    <row r="21" spans="1:104">
      <c r="A21" s="52">
        <v>46006</v>
      </c>
      <c r="B21" s="31" t="s">
        <v>698</v>
      </c>
      <c r="C21" s="28" t="s">
        <v>215</v>
      </c>
      <c r="D21" s="28" t="s">
        <v>193</v>
      </c>
      <c r="E21" s="28" t="s">
        <v>194</v>
      </c>
      <c r="F21" s="13"/>
      <c r="G21" s="28" t="s">
        <v>195</v>
      </c>
      <c r="H21" s="28" t="s">
        <v>196</v>
      </c>
      <c r="I21" s="13" t="s">
        <v>45</v>
      </c>
      <c r="J21" s="28" t="s">
        <v>46</v>
      </c>
      <c r="K21" s="28" t="s">
        <v>197</v>
      </c>
      <c r="L21" s="28">
        <v>2</v>
      </c>
      <c r="M21" s="33">
        <v>8.6999999999999994E-2</v>
      </c>
      <c r="N21" s="33">
        <v>0.70599999999999996</v>
      </c>
      <c r="O21" s="35">
        <v>0.68</v>
      </c>
      <c r="P21" s="33">
        <v>0.74399999999999999</v>
      </c>
      <c r="Q21" s="33">
        <v>0.63300000000000001</v>
      </c>
      <c r="R21" s="13"/>
      <c r="S21" s="13"/>
      <c r="T21" s="13"/>
      <c r="U21" s="33">
        <v>8.3000000000000004E-2</v>
      </c>
      <c r="V21" s="33">
        <v>8.1000000000000003E-2</v>
      </c>
      <c r="W21" s="33">
        <v>1.0999999999999999E-2</v>
      </c>
      <c r="X21" s="33">
        <v>8.5999999999999993E-2</v>
      </c>
      <c r="Y21" s="13"/>
      <c r="Z21" s="13"/>
      <c r="AA21" s="13"/>
      <c r="AB21" s="33">
        <v>0.152</v>
      </c>
      <c r="AC21" s="33">
        <v>0.20599999999999999</v>
      </c>
      <c r="AD21" s="33">
        <v>0.192</v>
      </c>
      <c r="AE21" s="33">
        <v>0.248</v>
      </c>
      <c r="AF21" s="13"/>
      <c r="AG21" s="13"/>
      <c r="AH21" s="13"/>
      <c r="AI21" s="33">
        <v>5.8999999999999997E-2</v>
      </c>
      <c r="AJ21" s="33">
        <v>3.1E-2</v>
      </c>
      <c r="AK21" s="33">
        <v>4.2000000000000003E-2</v>
      </c>
      <c r="AL21" s="33">
        <v>1.7000000000000001E-2</v>
      </c>
      <c r="AM21" s="13"/>
      <c r="AN21" s="13"/>
      <c r="AO21" s="13"/>
      <c r="AP21" s="35">
        <v>0</v>
      </c>
      <c r="AQ21" s="33">
        <v>2E-3</v>
      </c>
      <c r="AR21" s="33">
        <v>1.0999999999999999E-2</v>
      </c>
      <c r="AS21" s="33">
        <v>1.6E-2</v>
      </c>
      <c r="AT21" s="13"/>
      <c r="AU21" s="13"/>
      <c r="AV21" s="13"/>
      <c r="AW21" s="28">
        <v>39.6</v>
      </c>
      <c r="AX21" s="28">
        <v>37.5</v>
      </c>
      <c r="AY21" s="28">
        <v>30.5</v>
      </c>
      <c r="AZ21" s="28">
        <v>42.5</v>
      </c>
      <c r="BA21" s="13"/>
      <c r="BB21" s="13"/>
      <c r="BC21" s="13"/>
      <c r="BD21" s="33">
        <v>0.753</v>
      </c>
      <c r="BE21" s="33">
        <v>0.80300000000000005</v>
      </c>
      <c r="BF21" s="33">
        <v>0.70399999999999996</v>
      </c>
      <c r="BG21" s="33">
        <v>0.85799999999999998</v>
      </c>
      <c r="BH21" s="13"/>
      <c r="BI21" s="13"/>
      <c r="BJ21" s="13"/>
      <c r="BK21" s="33">
        <v>0.441</v>
      </c>
      <c r="BL21" s="33">
        <v>0.376</v>
      </c>
      <c r="BM21" s="35">
        <v>0.37</v>
      </c>
      <c r="BN21" s="33">
        <v>0.36599999999999999</v>
      </c>
      <c r="BO21" s="13"/>
      <c r="BP21" s="13"/>
      <c r="BQ21" s="13"/>
      <c r="BR21" s="33">
        <v>6.8000000000000005E-2</v>
      </c>
      <c r="BS21" s="33">
        <v>7.0999999999999994E-2</v>
      </c>
      <c r="BT21" s="33">
        <v>6.5000000000000002E-2</v>
      </c>
      <c r="BU21" s="33">
        <v>7.1999999999999995E-2</v>
      </c>
      <c r="BV21" s="13"/>
      <c r="BW21" s="13"/>
      <c r="BX21" s="13"/>
      <c r="BY21" s="28">
        <v>24</v>
      </c>
      <c r="BZ21" s="28">
        <v>16</v>
      </c>
      <c r="CA21" s="28">
        <v>21</v>
      </c>
      <c r="CB21" s="28">
        <v>6</v>
      </c>
      <c r="CC21" s="13"/>
      <c r="CD21" s="13"/>
      <c r="CE21" s="13"/>
      <c r="CF21" s="28" t="s">
        <v>188</v>
      </c>
      <c r="CG21" s="28" t="s">
        <v>48</v>
      </c>
      <c r="CH21" s="28" t="s">
        <v>122</v>
      </c>
      <c r="CI21" s="28" t="s">
        <v>699</v>
      </c>
      <c r="CJ21" s="13"/>
      <c r="CK21" s="13"/>
      <c r="CL21" s="13"/>
      <c r="CM21" s="28" t="s">
        <v>198</v>
      </c>
      <c r="CN21" s="28" t="s">
        <v>199</v>
      </c>
      <c r="CO21" s="28" t="s">
        <v>199</v>
      </c>
      <c r="CP21" s="28"/>
      <c r="CQ21" s="28"/>
      <c r="CR21" s="8"/>
      <c r="CS21" s="28" t="s">
        <v>200</v>
      </c>
      <c r="CT21" s="33">
        <v>7.4099999999999999E-2</v>
      </c>
      <c r="CU21" s="13"/>
      <c r="CV21" s="13"/>
      <c r="CW21" s="13"/>
      <c r="CX21" s="13"/>
      <c r="CY21" s="13"/>
      <c r="CZ21" s="13"/>
    </row>
    <row r="22" spans="1:104">
      <c r="A22" s="47">
        <v>46006</v>
      </c>
      <c r="B22" s="31" t="s">
        <v>700</v>
      </c>
      <c r="C22" s="24" t="s">
        <v>587</v>
      </c>
      <c r="D22" s="24" t="s">
        <v>202</v>
      </c>
      <c r="E22" s="24" t="s">
        <v>203</v>
      </c>
      <c r="F22" s="8"/>
      <c r="G22" s="24" t="s">
        <v>204</v>
      </c>
      <c r="H22" s="24" t="s">
        <v>205</v>
      </c>
      <c r="I22" s="24" t="s">
        <v>45</v>
      </c>
      <c r="J22" s="24" t="s">
        <v>46</v>
      </c>
      <c r="K22" s="24" t="s">
        <v>206</v>
      </c>
      <c r="L22" s="24">
        <v>5</v>
      </c>
      <c r="M22" s="36">
        <v>0.107</v>
      </c>
      <c r="N22" s="33">
        <v>0.75700000000000001</v>
      </c>
      <c r="O22" s="33">
        <v>0.67100000000000004</v>
      </c>
      <c r="P22" s="33">
        <v>0.71899999999999997</v>
      </c>
      <c r="Q22" s="33">
        <v>0.60599999999999998</v>
      </c>
      <c r="R22" s="33">
        <v>0.752</v>
      </c>
      <c r="S22" s="13"/>
      <c r="T22" s="13"/>
      <c r="U22" s="33">
        <v>2.5999999999999999E-2</v>
      </c>
      <c r="V22" s="33">
        <v>5.5E-2</v>
      </c>
      <c r="W22" s="35">
        <v>0.04</v>
      </c>
      <c r="X22" s="33">
        <v>6.7000000000000004E-2</v>
      </c>
      <c r="Y22" s="33">
        <v>2.5000000000000001E-2</v>
      </c>
      <c r="Z22" s="13"/>
      <c r="AA22" s="13"/>
      <c r="AB22" s="33">
        <v>0.14899999999999999</v>
      </c>
      <c r="AC22" s="33">
        <v>0.20899999999999999</v>
      </c>
      <c r="AD22" s="33">
        <v>0.14599999999999999</v>
      </c>
      <c r="AE22" s="33">
        <v>0.156</v>
      </c>
      <c r="AF22" s="33">
        <v>0.10299999999999999</v>
      </c>
      <c r="AG22" s="13"/>
      <c r="AH22" s="13"/>
      <c r="AI22" s="33">
        <v>6.3E-2</v>
      </c>
      <c r="AJ22" s="33">
        <v>5.3999999999999999E-2</v>
      </c>
      <c r="AK22" s="35">
        <v>0.08</v>
      </c>
      <c r="AL22" s="33">
        <v>0.125</v>
      </c>
      <c r="AM22" s="35">
        <v>0.1</v>
      </c>
      <c r="AN22" s="13"/>
      <c r="AO22" s="13"/>
      <c r="AP22" s="33">
        <v>5.0000000000000001E-3</v>
      </c>
      <c r="AQ22" s="33">
        <v>1.0999999999999999E-2</v>
      </c>
      <c r="AR22" s="33">
        <v>1.4999999999999999E-2</v>
      </c>
      <c r="AS22" s="33">
        <v>4.5999999999999999E-2</v>
      </c>
      <c r="AT22" s="35">
        <v>0.02</v>
      </c>
      <c r="AU22" s="13"/>
      <c r="AV22" s="13"/>
      <c r="AW22" s="28">
        <v>32.700000000000003</v>
      </c>
      <c r="AX22" s="28">
        <v>41.8</v>
      </c>
      <c r="AY22" s="28">
        <v>41.8</v>
      </c>
      <c r="AZ22" s="28">
        <v>67</v>
      </c>
      <c r="BA22" s="28">
        <v>42.2</v>
      </c>
      <c r="BB22" s="13"/>
      <c r="BC22" s="13"/>
      <c r="BD22" s="33">
        <v>0.72599999999999998</v>
      </c>
      <c r="BE22" s="33">
        <v>0.88400000000000001</v>
      </c>
      <c r="BF22" s="33">
        <v>0.83699999999999997</v>
      </c>
      <c r="BG22" s="33">
        <v>0.76200000000000001</v>
      </c>
      <c r="BH22" s="33">
        <v>0.77200000000000002</v>
      </c>
      <c r="BI22" s="13"/>
      <c r="BJ22" s="13"/>
      <c r="BK22" s="33">
        <v>0.38900000000000001</v>
      </c>
      <c r="BL22" s="35">
        <v>0.4</v>
      </c>
      <c r="BM22" s="33">
        <v>0.432</v>
      </c>
      <c r="BN22" s="33">
        <v>0.50700000000000001</v>
      </c>
      <c r="BO22" s="33">
        <v>0.41499999999999998</v>
      </c>
      <c r="BP22" s="13"/>
      <c r="BQ22" s="13"/>
      <c r="BR22" s="33">
        <v>6.4000000000000001E-2</v>
      </c>
      <c r="BS22" s="33">
        <v>6.8000000000000005E-2</v>
      </c>
      <c r="BT22" s="33">
        <v>6.5000000000000002E-2</v>
      </c>
      <c r="BU22" s="33">
        <v>6.5000000000000002E-2</v>
      </c>
      <c r="BV22" s="33">
        <v>6.3E-2</v>
      </c>
      <c r="BW22" s="13"/>
      <c r="BX22" s="13"/>
      <c r="BY22" s="28">
        <v>37</v>
      </c>
      <c r="BZ22" s="28">
        <v>25</v>
      </c>
      <c r="CA22" s="28">
        <v>34</v>
      </c>
      <c r="CB22" s="28">
        <v>25</v>
      </c>
      <c r="CC22" s="28">
        <v>33</v>
      </c>
      <c r="CD22" s="13"/>
      <c r="CE22" s="13"/>
      <c r="CF22" s="28" t="s">
        <v>207</v>
      </c>
      <c r="CG22" s="28" t="s">
        <v>208</v>
      </c>
      <c r="CH22" s="28" t="s">
        <v>316</v>
      </c>
      <c r="CI22" s="28" t="s">
        <v>701</v>
      </c>
      <c r="CJ22" s="28" t="s">
        <v>702</v>
      </c>
      <c r="CK22" s="13"/>
      <c r="CL22" s="13"/>
      <c r="CM22" s="28" t="s">
        <v>209</v>
      </c>
      <c r="CN22" s="28" t="s">
        <v>210</v>
      </c>
      <c r="CO22" s="28" t="s">
        <v>588</v>
      </c>
      <c r="CP22" s="28" t="s">
        <v>703</v>
      </c>
      <c r="CQ22" s="28"/>
      <c r="CR22" s="8"/>
      <c r="CS22" s="13"/>
      <c r="CT22" s="33">
        <v>8.3599999999999994E-2</v>
      </c>
      <c r="CU22" s="13"/>
      <c r="CV22" s="13"/>
      <c r="CW22" s="13"/>
      <c r="CX22" s="13"/>
      <c r="CY22" s="13"/>
      <c r="CZ22" s="13"/>
    </row>
    <row r="23" spans="1:104" ht="15.75" customHeight="1">
      <c r="A23" s="47">
        <v>46008</v>
      </c>
      <c r="B23" s="41" t="s">
        <v>704</v>
      </c>
      <c r="C23" s="24" t="s">
        <v>205</v>
      </c>
      <c r="D23" s="24" t="s">
        <v>232</v>
      </c>
      <c r="E23" s="8"/>
      <c r="F23" s="24" t="s">
        <v>233</v>
      </c>
      <c r="G23" s="24" t="s">
        <v>234</v>
      </c>
      <c r="H23" s="24" t="s">
        <v>58</v>
      </c>
      <c r="I23" s="24" t="s">
        <v>225</v>
      </c>
      <c r="J23" s="24" t="s">
        <v>46</v>
      </c>
      <c r="K23" s="24" t="s">
        <v>235</v>
      </c>
      <c r="L23" s="24">
        <v>3</v>
      </c>
      <c r="M23" s="36">
        <v>0.13100000000000001</v>
      </c>
      <c r="N23" s="36">
        <v>0.67200000000000004</v>
      </c>
      <c r="O23" s="36">
        <v>0.71599999999999997</v>
      </c>
      <c r="P23" s="36">
        <v>0.747</v>
      </c>
      <c r="Q23" s="36">
        <v>0.70899999999999996</v>
      </c>
      <c r="R23" s="36">
        <v>0.79500000000000004</v>
      </c>
      <c r="S23" s="8"/>
      <c r="T23" s="8"/>
      <c r="U23" s="36">
        <v>5.3999999999999999E-2</v>
      </c>
      <c r="V23" s="36">
        <v>3.5000000000000003E-2</v>
      </c>
      <c r="W23" s="36">
        <v>4.4999999999999998E-2</v>
      </c>
      <c r="X23" s="36">
        <v>4.8000000000000001E-2</v>
      </c>
      <c r="Y23" s="36">
        <v>2.5999999999999999E-2</v>
      </c>
      <c r="Z23" s="8"/>
      <c r="AA23" s="8"/>
      <c r="AB23" s="36">
        <v>0.26100000000000001</v>
      </c>
      <c r="AC23" s="36">
        <v>0.19700000000000001</v>
      </c>
      <c r="AD23" s="36">
        <v>0.17699999999999999</v>
      </c>
      <c r="AE23" s="36">
        <v>0.21299999999999999</v>
      </c>
      <c r="AF23" s="36">
        <v>0.126</v>
      </c>
      <c r="AG23" s="8"/>
      <c r="AH23" s="8"/>
      <c r="AI23" s="36">
        <v>1.2999999999999999E-2</v>
      </c>
      <c r="AJ23" s="36">
        <v>2.9000000000000001E-2</v>
      </c>
      <c r="AK23" s="36">
        <v>2.9000000000000001E-2</v>
      </c>
      <c r="AL23" s="36">
        <v>2.5000000000000001E-2</v>
      </c>
      <c r="AM23" s="36">
        <v>4.8000000000000001E-2</v>
      </c>
      <c r="AN23" s="8"/>
      <c r="AO23" s="8"/>
      <c r="AP23" s="40">
        <v>0</v>
      </c>
      <c r="AQ23" s="36">
        <v>2.3E-2</v>
      </c>
      <c r="AR23" s="36">
        <v>2E-3</v>
      </c>
      <c r="AS23" s="36">
        <v>5.0000000000000001E-3</v>
      </c>
      <c r="AT23" s="36">
        <v>5.0000000000000001E-3</v>
      </c>
      <c r="AU23" s="8"/>
      <c r="AV23" s="8"/>
      <c r="AW23" s="24">
        <v>32.6</v>
      </c>
      <c r="AX23" s="24">
        <v>35.200000000000003</v>
      </c>
      <c r="AY23" s="24">
        <v>28.9</v>
      </c>
      <c r="AZ23" s="24">
        <v>32.200000000000003</v>
      </c>
      <c r="BA23" s="24">
        <v>27.3</v>
      </c>
      <c r="BB23" s="8"/>
      <c r="BC23" s="8"/>
      <c r="BD23" s="40">
        <v>0.94</v>
      </c>
      <c r="BE23" s="36">
        <v>0.95399999999999996</v>
      </c>
      <c r="BF23" s="40">
        <v>0.94</v>
      </c>
      <c r="BG23" s="36">
        <v>0.84399999999999997</v>
      </c>
      <c r="BH23" s="36">
        <v>0.9</v>
      </c>
      <c r="BI23" s="8"/>
      <c r="BJ23" s="8"/>
      <c r="BK23" s="40">
        <v>0.34</v>
      </c>
      <c r="BL23" s="40">
        <v>0.38</v>
      </c>
      <c r="BM23" s="36">
        <v>0.35099999999999998</v>
      </c>
      <c r="BN23" s="36">
        <v>0.374</v>
      </c>
      <c r="BO23" s="36">
        <v>0.35799999999999998</v>
      </c>
      <c r="BP23" s="8"/>
      <c r="BQ23" s="8"/>
      <c r="BR23" s="40">
        <v>7.0000000000000007E-2</v>
      </c>
      <c r="BS23" s="24">
        <v>0</v>
      </c>
      <c r="BT23" s="36">
        <v>6.9000000000000006E-2</v>
      </c>
      <c r="BU23" s="36">
        <v>6.8000000000000005E-2</v>
      </c>
      <c r="BV23" s="36">
        <v>6.5000000000000002E-2</v>
      </c>
      <c r="BW23" s="8"/>
      <c r="BX23" s="8"/>
      <c r="BY23" s="24">
        <v>4</v>
      </c>
      <c r="BZ23" s="24">
        <v>7</v>
      </c>
      <c r="CA23" s="24">
        <v>6</v>
      </c>
      <c r="CB23" s="24">
        <v>11</v>
      </c>
      <c r="CC23" s="24">
        <v>14</v>
      </c>
      <c r="CD23" s="8"/>
      <c r="CE23" s="8"/>
      <c r="CF23" s="24" t="s">
        <v>237</v>
      </c>
      <c r="CG23" s="24" t="s">
        <v>238</v>
      </c>
      <c r="CH23" s="24" t="s">
        <v>590</v>
      </c>
      <c r="CI23" s="24" t="s">
        <v>705</v>
      </c>
      <c r="CJ23" s="24" t="s">
        <v>706</v>
      </c>
      <c r="CK23" s="8"/>
      <c r="CL23" s="8"/>
      <c r="CM23" s="24" t="s">
        <v>239</v>
      </c>
      <c r="CN23" s="24" t="s">
        <v>239</v>
      </c>
      <c r="CO23" s="24" t="s">
        <v>591</v>
      </c>
      <c r="CP23" s="24" t="s">
        <v>707</v>
      </c>
      <c r="CQ23" s="8"/>
      <c r="CR23" s="8"/>
      <c r="CS23" s="24" t="s">
        <v>708</v>
      </c>
      <c r="CT23" s="36">
        <v>8.6999999999999994E-2</v>
      </c>
      <c r="CU23" s="8"/>
      <c r="CV23" s="8"/>
      <c r="CW23" s="8"/>
      <c r="CX23" s="8"/>
      <c r="CY23" s="8"/>
      <c r="CZ23" s="8"/>
    </row>
    <row r="24" spans="1:104" ht="15.75" customHeight="1">
      <c r="A24" s="47">
        <v>46008</v>
      </c>
      <c r="B24" s="42" t="s">
        <v>709</v>
      </c>
      <c r="C24" s="24" t="s">
        <v>205</v>
      </c>
      <c r="D24" s="24" t="s">
        <v>241</v>
      </c>
      <c r="E24" s="8"/>
      <c r="F24" s="24" t="s">
        <v>242</v>
      </c>
      <c r="G24" s="24" t="s">
        <v>243</v>
      </c>
      <c r="H24" s="24" t="s">
        <v>58</v>
      </c>
      <c r="I24" s="24" t="s">
        <v>45</v>
      </c>
      <c r="J24" s="24" t="s">
        <v>46</v>
      </c>
      <c r="K24" s="24" t="s">
        <v>244</v>
      </c>
      <c r="L24" s="24">
        <v>3</v>
      </c>
      <c r="M24" s="36">
        <v>9.7000000000000003E-2</v>
      </c>
      <c r="N24" s="36">
        <v>0.78300000000000003</v>
      </c>
      <c r="O24" s="36">
        <v>0.77600000000000002</v>
      </c>
      <c r="P24" s="36">
        <v>0.83399999999999996</v>
      </c>
      <c r="Q24" s="36">
        <v>0.79300000000000004</v>
      </c>
      <c r="R24" s="36">
        <v>0.879</v>
      </c>
      <c r="S24" s="8"/>
      <c r="T24" s="8"/>
      <c r="U24" s="36">
        <v>4.5999999999999999E-2</v>
      </c>
      <c r="V24" s="36">
        <v>5.0999999999999997E-2</v>
      </c>
      <c r="W24" s="36">
        <v>1.2999999999999999E-2</v>
      </c>
      <c r="X24" s="36">
        <v>4.2000000000000003E-2</v>
      </c>
      <c r="Y24" s="40">
        <v>0</v>
      </c>
      <c r="Z24" s="8"/>
      <c r="AA24" s="8"/>
      <c r="AB24" s="36">
        <v>0.14699999999999999</v>
      </c>
      <c r="AC24" s="36">
        <v>9.9000000000000005E-2</v>
      </c>
      <c r="AD24" s="36">
        <v>0.10299999999999999</v>
      </c>
      <c r="AE24" s="36">
        <v>0.14599999999999999</v>
      </c>
      <c r="AF24" s="36">
        <v>7.6999999999999999E-2</v>
      </c>
      <c r="AG24" s="8"/>
      <c r="AH24" s="8"/>
      <c r="AI24" s="36">
        <v>2.3E-2</v>
      </c>
      <c r="AJ24" s="36">
        <v>4.2000000000000003E-2</v>
      </c>
      <c r="AK24" s="36">
        <v>4.9000000000000002E-2</v>
      </c>
      <c r="AL24" s="36">
        <v>1.9E-2</v>
      </c>
      <c r="AM24" s="36">
        <v>4.3999999999999997E-2</v>
      </c>
      <c r="AN24" s="8"/>
      <c r="AO24" s="8"/>
      <c r="AP24" s="36">
        <v>1E-3</v>
      </c>
      <c r="AQ24" s="36">
        <v>3.2000000000000001E-2</v>
      </c>
      <c r="AR24" s="36">
        <v>1E-3</v>
      </c>
      <c r="AS24" s="36">
        <v>0</v>
      </c>
      <c r="AT24" s="36">
        <v>0</v>
      </c>
      <c r="AU24" s="8"/>
      <c r="AV24" s="8"/>
      <c r="AW24" s="24">
        <v>24.9</v>
      </c>
      <c r="AX24" s="24">
        <v>35.799999999999997</v>
      </c>
      <c r="AY24" s="24">
        <v>22.4</v>
      </c>
      <c r="AZ24" s="24">
        <v>23</v>
      </c>
      <c r="BA24" s="24">
        <v>16.7</v>
      </c>
      <c r="BB24" s="8"/>
      <c r="BC24" s="8"/>
      <c r="BD24" s="40">
        <v>0.98</v>
      </c>
      <c r="BE24" s="36">
        <v>0.98799999999999999</v>
      </c>
      <c r="BF24" s="36">
        <v>0.95599999999999996</v>
      </c>
      <c r="BG24" s="36">
        <v>0.94699999999999995</v>
      </c>
      <c r="BH24" s="40">
        <v>0.96</v>
      </c>
      <c r="BI24" s="8"/>
      <c r="BJ24" s="8"/>
      <c r="BK24" s="36">
        <v>0.377</v>
      </c>
      <c r="BL24" s="36">
        <v>0.433</v>
      </c>
      <c r="BM24" s="36">
        <v>0.39500000000000002</v>
      </c>
      <c r="BN24" s="36">
        <v>0.36699999999999999</v>
      </c>
      <c r="BO24" s="36">
        <v>0.33</v>
      </c>
      <c r="BP24" s="8"/>
      <c r="BQ24" s="8"/>
      <c r="BR24" s="36">
        <v>6.6000000000000003E-2</v>
      </c>
      <c r="BS24" s="24">
        <v>0</v>
      </c>
      <c r="BT24" s="36">
        <v>6.2E-2</v>
      </c>
      <c r="BU24" s="36">
        <v>6.6000000000000003E-2</v>
      </c>
      <c r="BV24" s="36">
        <v>6.0999999999999999E-2</v>
      </c>
      <c r="BW24" s="8"/>
      <c r="BX24" s="8"/>
      <c r="BY24" s="24">
        <v>9</v>
      </c>
      <c r="BZ24" s="24">
        <v>11</v>
      </c>
      <c r="CA24" s="24">
        <v>20</v>
      </c>
      <c r="CB24" s="24">
        <v>10</v>
      </c>
      <c r="CC24" s="24">
        <v>15</v>
      </c>
      <c r="CD24" s="8"/>
      <c r="CE24" s="8"/>
      <c r="CF24" s="24" t="s">
        <v>142</v>
      </c>
      <c r="CG24" s="24" t="s">
        <v>245</v>
      </c>
      <c r="CH24" s="24" t="s">
        <v>122</v>
      </c>
      <c r="CI24" s="24" t="s">
        <v>710</v>
      </c>
      <c r="CJ24" s="24" t="s">
        <v>245</v>
      </c>
      <c r="CK24" s="8"/>
      <c r="CL24" s="8"/>
      <c r="CM24" s="24" t="s">
        <v>246</v>
      </c>
      <c r="CN24" s="24" t="s">
        <v>247</v>
      </c>
      <c r="CO24" s="24" t="s">
        <v>593</v>
      </c>
      <c r="CP24" s="24" t="s">
        <v>239</v>
      </c>
      <c r="CQ24" s="8"/>
      <c r="CR24" s="8"/>
      <c r="CS24" s="8"/>
      <c r="CT24" s="24" t="s">
        <v>711</v>
      </c>
      <c r="CU24" s="8"/>
      <c r="CV24" s="8"/>
      <c r="CW24" s="8"/>
      <c r="CX24" s="8"/>
      <c r="CY24" s="8"/>
      <c r="CZ24" s="8"/>
    </row>
    <row r="25" spans="1:104" ht="18" customHeight="1">
      <c r="A25" s="47">
        <v>6693422</v>
      </c>
      <c r="B25" s="42" t="s">
        <v>712</v>
      </c>
      <c r="C25" s="60" t="s">
        <v>522</v>
      </c>
      <c r="D25" s="60" t="s">
        <v>249</v>
      </c>
      <c r="E25" s="8"/>
      <c r="F25" s="24" t="s">
        <v>250</v>
      </c>
      <c r="G25" s="24" t="s">
        <v>251</v>
      </c>
      <c r="H25" s="24" t="s">
        <v>205</v>
      </c>
      <c r="I25" s="24" t="s">
        <v>225</v>
      </c>
      <c r="J25" s="24" t="s">
        <v>46</v>
      </c>
      <c r="K25" s="24" t="s">
        <v>252</v>
      </c>
      <c r="L25" s="24">
        <v>3</v>
      </c>
      <c r="M25" s="36">
        <v>0.114</v>
      </c>
      <c r="N25" s="40">
        <v>0.45</v>
      </c>
      <c r="O25" s="36">
        <v>0.621</v>
      </c>
      <c r="P25" s="36">
        <v>0.77700000000000002</v>
      </c>
      <c r="Q25" s="36">
        <v>0.55500000000000005</v>
      </c>
      <c r="R25" s="8"/>
      <c r="S25" s="8"/>
      <c r="T25" s="8"/>
      <c r="U25" s="36">
        <v>0.223</v>
      </c>
      <c r="V25" s="36">
        <v>9.5000000000000001E-2</v>
      </c>
      <c r="W25" s="36">
        <v>1.7999999999999999E-2</v>
      </c>
      <c r="X25" s="36">
        <v>8.6999999999999994E-2</v>
      </c>
      <c r="Y25" s="8"/>
      <c r="Z25" s="8"/>
      <c r="AA25" s="8"/>
      <c r="AB25" s="36">
        <v>0.251</v>
      </c>
      <c r="AC25" s="36">
        <v>0.20399999999999999</v>
      </c>
      <c r="AD25" s="36">
        <v>0.122</v>
      </c>
      <c r="AE25" s="36">
        <v>0.23799999999999999</v>
      </c>
      <c r="AF25" s="8"/>
      <c r="AG25" s="8"/>
      <c r="AH25" s="8"/>
      <c r="AI25" s="36">
        <v>6.0999999999999999E-2</v>
      </c>
      <c r="AJ25" s="36">
        <v>5.6000000000000001E-2</v>
      </c>
      <c r="AK25" s="36">
        <v>7.6999999999999999E-2</v>
      </c>
      <c r="AL25" s="36">
        <v>6.7000000000000004E-2</v>
      </c>
      <c r="AM25" s="8"/>
      <c r="AN25" s="8"/>
      <c r="AO25" s="8"/>
      <c r="AP25" s="36">
        <v>1.4999999999999999E-2</v>
      </c>
      <c r="AQ25" s="36">
        <v>2.4E-2</v>
      </c>
      <c r="AR25" s="36">
        <v>6.0000000000000001E-3</v>
      </c>
      <c r="AS25" s="36">
        <v>5.2999999999999999E-2</v>
      </c>
      <c r="AT25" s="8"/>
      <c r="AU25" s="8"/>
      <c r="AV25" s="8"/>
      <c r="AW25" s="24">
        <v>74.900000000000006</v>
      </c>
      <c r="AX25" s="24">
        <v>52.2</v>
      </c>
      <c r="AY25" s="24">
        <v>32.9</v>
      </c>
      <c r="AZ25" s="24">
        <v>64.900000000000006</v>
      </c>
      <c r="BA25" s="8"/>
      <c r="BB25" s="8"/>
      <c r="BC25" s="8"/>
      <c r="BD25" s="36">
        <v>0.61299999999999999</v>
      </c>
      <c r="BE25" s="36">
        <v>0.871</v>
      </c>
      <c r="BF25" s="36">
        <v>0.88300000000000001</v>
      </c>
      <c r="BG25" s="36">
        <v>0.91700000000000004</v>
      </c>
      <c r="BH25" s="8"/>
      <c r="BI25" s="8"/>
      <c r="BJ25" s="8"/>
      <c r="BK25" s="36">
        <v>0.48599999999999999</v>
      </c>
      <c r="BL25" s="36">
        <v>0.46400000000000002</v>
      </c>
      <c r="BM25" s="36">
        <v>0.38400000000000001</v>
      </c>
      <c r="BN25" s="40">
        <v>0.5</v>
      </c>
      <c r="BO25" s="8"/>
      <c r="BP25" s="8"/>
      <c r="BQ25" s="8"/>
      <c r="BR25" s="36">
        <v>7.6999999999999999E-2</v>
      </c>
      <c r="BS25" s="36">
        <v>7.0000000000000007E-2</v>
      </c>
      <c r="BT25" s="24">
        <v>0</v>
      </c>
      <c r="BU25" s="24">
        <v>0</v>
      </c>
      <c r="BV25" s="8"/>
      <c r="BW25" s="8"/>
      <c r="BX25" s="8"/>
      <c r="BY25" s="24">
        <v>19</v>
      </c>
      <c r="BZ25" s="24">
        <v>23</v>
      </c>
      <c r="CA25" s="24">
        <v>13</v>
      </c>
      <c r="CB25" s="24">
        <v>24</v>
      </c>
      <c r="CC25" s="8"/>
      <c r="CD25" s="8"/>
      <c r="CE25" s="8"/>
      <c r="CF25" s="24" t="s">
        <v>253</v>
      </c>
      <c r="CG25" s="24" t="s">
        <v>595</v>
      </c>
      <c r="CH25" s="24" t="s">
        <v>659</v>
      </c>
      <c r="CI25" s="24" t="s">
        <v>237</v>
      </c>
      <c r="CJ25" s="8"/>
      <c r="CK25" s="8"/>
      <c r="CL25" s="8"/>
      <c r="CM25" s="24" t="s">
        <v>254</v>
      </c>
      <c r="CN25" s="24" t="s">
        <v>596</v>
      </c>
      <c r="CO25" s="24" t="s">
        <v>713</v>
      </c>
      <c r="CP25" s="8"/>
      <c r="CQ25" s="8"/>
      <c r="CR25" s="8"/>
      <c r="CS25" s="24" t="s">
        <v>255</v>
      </c>
      <c r="CT25" s="24" t="s">
        <v>714</v>
      </c>
      <c r="CU25" s="8"/>
      <c r="CV25" s="8"/>
      <c r="CW25" s="8"/>
      <c r="CX25" s="8"/>
      <c r="CY25" s="8"/>
      <c r="CZ25" s="8"/>
    </row>
    <row r="26" spans="1:104" ht="15.75" customHeight="1">
      <c r="A26" s="47">
        <v>46009</v>
      </c>
      <c r="B26" s="42" t="s">
        <v>715</v>
      </c>
      <c r="C26" s="24" t="s">
        <v>99</v>
      </c>
      <c r="D26" s="24" t="s">
        <v>257</v>
      </c>
      <c r="E26" s="8"/>
      <c r="F26" s="24" t="s">
        <v>258</v>
      </c>
      <c r="G26" s="24" t="s">
        <v>259</v>
      </c>
      <c r="H26" s="24" t="s">
        <v>196</v>
      </c>
      <c r="I26" s="24" t="s">
        <v>225</v>
      </c>
      <c r="J26" s="24" t="s">
        <v>46</v>
      </c>
      <c r="K26" s="24" t="s">
        <v>260</v>
      </c>
      <c r="L26" s="24">
        <v>3</v>
      </c>
      <c r="M26" s="36">
        <v>9.3700000000000006E-2</v>
      </c>
      <c r="N26" s="36">
        <v>0.51100000000000001</v>
      </c>
      <c r="O26" s="36">
        <v>0.50800000000000001</v>
      </c>
      <c r="P26" s="36">
        <v>0.59899999999999998</v>
      </c>
      <c r="Q26" s="36">
        <v>0.55600000000000005</v>
      </c>
      <c r="R26" s="36">
        <v>0.54400000000000004</v>
      </c>
      <c r="S26" s="8"/>
      <c r="T26" s="8"/>
      <c r="U26" s="36">
        <v>7.5999999999999998E-2</v>
      </c>
      <c r="V26" s="40">
        <v>0.22</v>
      </c>
      <c r="W26" s="36">
        <v>0.122</v>
      </c>
      <c r="X26" s="36">
        <v>0.17100000000000001</v>
      </c>
      <c r="Y26" s="36">
        <v>0.188</v>
      </c>
      <c r="Z26" s="8"/>
      <c r="AA26" s="8"/>
      <c r="AB26" s="36">
        <v>0.20499999999999999</v>
      </c>
      <c r="AC26" s="36">
        <v>0.20100000000000001</v>
      </c>
      <c r="AD26" s="36">
        <v>0.20300000000000001</v>
      </c>
      <c r="AE26" s="36">
        <v>0.23799999999999999</v>
      </c>
      <c r="AF26" s="36">
        <v>0.20499999999999999</v>
      </c>
      <c r="AG26" s="8"/>
      <c r="AH26" s="8"/>
      <c r="AI26" s="36">
        <v>0.14899999999999999</v>
      </c>
      <c r="AJ26" s="36">
        <v>4.4999999999999998E-2</v>
      </c>
      <c r="AK26" s="36">
        <v>6.8000000000000005E-2</v>
      </c>
      <c r="AL26" s="36">
        <v>3.5000000000000003E-2</v>
      </c>
      <c r="AM26" s="36">
        <v>5.0999999999999997E-2</v>
      </c>
      <c r="AN26" s="8"/>
      <c r="AO26" s="8"/>
      <c r="AP26" s="36">
        <v>5.8999999999999997E-2</v>
      </c>
      <c r="AQ26" s="36">
        <v>2.5999999999999999E-2</v>
      </c>
      <c r="AR26" s="36">
        <v>8.0000000000000002E-3</v>
      </c>
      <c r="AS26" s="40">
        <v>0</v>
      </c>
      <c r="AT26" s="36">
        <v>1.2E-2</v>
      </c>
      <c r="AU26" s="8"/>
      <c r="AV26" s="8"/>
      <c r="AW26" s="24">
        <v>82</v>
      </c>
      <c r="AX26" s="24">
        <v>69.900000000000006</v>
      </c>
      <c r="AY26" s="24">
        <v>54.5</v>
      </c>
      <c r="AZ26" s="24">
        <v>54.8</v>
      </c>
      <c r="BA26" s="24">
        <v>62.3</v>
      </c>
      <c r="BB26" s="8"/>
      <c r="BC26" s="8"/>
      <c r="BD26" s="36">
        <v>0.996</v>
      </c>
      <c r="BE26" s="36">
        <v>0.91700000000000004</v>
      </c>
      <c r="BF26" s="36">
        <v>0.94599999999999995</v>
      </c>
      <c r="BG26" s="36">
        <v>0.93899999999999995</v>
      </c>
      <c r="BH26" s="36">
        <v>0.93300000000000005</v>
      </c>
      <c r="BI26" s="8"/>
      <c r="BJ26" s="8"/>
      <c r="BK26" s="24">
        <v>0</v>
      </c>
      <c r="BL26" s="36">
        <v>0.50600000000000001</v>
      </c>
      <c r="BM26" s="36">
        <v>0.48099999999999998</v>
      </c>
      <c r="BN26" s="36">
        <v>0.497</v>
      </c>
      <c r="BO26" s="36">
        <v>0.49399999999999999</v>
      </c>
      <c r="BP26" s="8"/>
      <c r="BQ26" s="8"/>
      <c r="BR26" s="24">
        <v>0</v>
      </c>
      <c r="BS26" s="36">
        <v>7.3999999999999996E-2</v>
      </c>
      <c r="BT26" s="36">
        <v>7.0999999999999994E-2</v>
      </c>
      <c r="BU26" s="36">
        <v>7.2999999999999995E-2</v>
      </c>
      <c r="BV26" s="36">
        <v>7.4999999999999997E-2</v>
      </c>
      <c r="BW26" s="8"/>
      <c r="BX26" s="8"/>
      <c r="BY26" s="24">
        <v>6</v>
      </c>
      <c r="BZ26" s="24">
        <v>14</v>
      </c>
      <c r="CA26" s="24">
        <v>26</v>
      </c>
      <c r="CB26" s="24">
        <v>19</v>
      </c>
      <c r="CC26" s="24">
        <v>18</v>
      </c>
      <c r="CD26" s="8"/>
      <c r="CE26" s="8"/>
      <c r="CF26" s="24" t="s">
        <v>262</v>
      </c>
      <c r="CG26" s="24" t="s">
        <v>535</v>
      </c>
      <c r="CH26" s="24" t="s">
        <v>325</v>
      </c>
      <c r="CI26" s="24" t="s">
        <v>716</v>
      </c>
      <c r="CJ26" s="24" t="s">
        <v>608</v>
      </c>
      <c r="CK26" s="8"/>
      <c r="CL26" s="8"/>
      <c r="CM26" s="24" t="s">
        <v>263</v>
      </c>
      <c r="CN26" s="24" t="s">
        <v>536</v>
      </c>
      <c r="CO26" s="66" t="s">
        <v>598</v>
      </c>
      <c r="CP26" s="24" t="s">
        <v>717</v>
      </c>
      <c r="CQ26" s="8"/>
      <c r="CR26" s="8"/>
      <c r="CS26" s="24" t="s">
        <v>264</v>
      </c>
      <c r="CT26" s="36">
        <v>7.5999999999999998E-2</v>
      </c>
      <c r="CU26" s="8"/>
      <c r="CV26" s="8"/>
      <c r="CW26" s="8"/>
      <c r="CX26" s="8"/>
      <c r="CY26" s="8"/>
      <c r="CZ26" s="8"/>
    </row>
    <row r="27" spans="1:104" ht="15.75" customHeight="1">
      <c r="A27" s="47">
        <v>46009</v>
      </c>
      <c r="B27" s="42" t="s">
        <v>718</v>
      </c>
      <c r="C27" s="24" t="s">
        <v>215</v>
      </c>
      <c r="D27" s="24" t="s">
        <v>266</v>
      </c>
      <c r="E27" s="8"/>
      <c r="F27" s="24" t="s">
        <v>267</v>
      </c>
      <c r="G27" s="24" t="s">
        <v>268</v>
      </c>
      <c r="H27" s="24" t="s">
        <v>150</v>
      </c>
      <c r="I27" s="24" t="s">
        <v>225</v>
      </c>
      <c r="J27" s="24" t="s">
        <v>46</v>
      </c>
      <c r="K27" s="24" t="s">
        <v>269</v>
      </c>
      <c r="L27" s="24">
        <v>3</v>
      </c>
      <c r="M27" s="36">
        <v>0.107</v>
      </c>
      <c r="N27" s="36">
        <v>0.63500000000000001</v>
      </c>
      <c r="O27" s="36">
        <v>0.65800000000000003</v>
      </c>
      <c r="P27" s="36">
        <v>0.78500000000000003</v>
      </c>
      <c r="Q27" s="36">
        <v>0.91400000000000003</v>
      </c>
      <c r="R27" s="36">
        <v>0.83299999999999996</v>
      </c>
      <c r="S27" s="8"/>
      <c r="T27" s="8"/>
      <c r="U27" s="40">
        <v>0.11</v>
      </c>
      <c r="V27" s="36">
        <v>3.2000000000000001E-2</v>
      </c>
      <c r="W27" s="36">
        <v>2.4E-2</v>
      </c>
      <c r="X27" s="36">
        <v>3.0000000000000001E-3</v>
      </c>
      <c r="Y27" s="36">
        <v>8.9999999999999993E-3</v>
      </c>
      <c r="Z27" s="8"/>
      <c r="AA27" s="8"/>
      <c r="AB27" s="36">
        <v>0.16400000000000001</v>
      </c>
      <c r="AC27" s="40">
        <v>0.28999999999999998</v>
      </c>
      <c r="AD27" s="36">
        <v>0.16200000000000001</v>
      </c>
      <c r="AE27" s="36">
        <v>3.5000000000000003E-2</v>
      </c>
      <c r="AF27" s="36">
        <v>0.14299999999999999</v>
      </c>
      <c r="AG27" s="8"/>
      <c r="AH27" s="8"/>
      <c r="AI27" s="40">
        <v>0.09</v>
      </c>
      <c r="AJ27" s="36">
        <v>1.9E-2</v>
      </c>
      <c r="AK27" s="36">
        <v>2.8000000000000001E-2</v>
      </c>
      <c r="AL27" s="36">
        <v>4.2999999999999997E-2</v>
      </c>
      <c r="AM27" s="36">
        <v>1.2999999999999999E-2</v>
      </c>
      <c r="AN27" s="8"/>
      <c r="AO27" s="8"/>
      <c r="AP27" s="40">
        <v>0.01</v>
      </c>
      <c r="AQ27" s="36">
        <v>1E-3</v>
      </c>
      <c r="AR27" s="36">
        <v>1E-3</v>
      </c>
      <c r="AS27" s="36">
        <v>5.0000000000000001E-3</v>
      </c>
      <c r="AT27" s="36">
        <v>2E-3</v>
      </c>
      <c r="AU27" s="8"/>
      <c r="AV27" s="8"/>
      <c r="AW27" s="24">
        <v>52.6</v>
      </c>
      <c r="AX27" s="24">
        <v>33.200000000000003</v>
      </c>
      <c r="AY27" s="24">
        <v>23.8</v>
      </c>
      <c r="AZ27" s="24">
        <v>15.1</v>
      </c>
      <c r="BA27" s="24">
        <v>16.600000000000001</v>
      </c>
      <c r="BB27" s="8"/>
      <c r="BC27" s="8"/>
      <c r="BD27" s="36">
        <v>0.79900000000000004</v>
      </c>
      <c r="BE27" s="36">
        <v>0.871</v>
      </c>
      <c r="BF27" s="36">
        <v>0.86399999999999999</v>
      </c>
      <c r="BG27" s="36">
        <v>0.89500000000000002</v>
      </c>
      <c r="BH27" s="36">
        <v>0.96899999999999997</v>
      </c>
      <c r="BI27" s="8"/>
      <c r="BJ27" s="8"/>
      <c r="BK27" s="36">
        <v>0.503</v>
      </c>
      <c r="BL27" s="36">
        <v>0.32700000000000001</v>
      </c>
      <c r="BM27" s="36">
        <v>0.36799999999999999</v>
      </c>
      <c r="BN27" s="36">
        <v>0.28100000000000003</v>
      </c>
      <c r="BO27" s="36">
        <v>0.31900000000000001</v>
      </c>
      <c r="BP27" s="8"/>
      <c r="BQ27" s="8"/>
      <c r="BR27" s="36">
        <v>6.9000000000000006E-2</v>
      </c>
      <c r="BS27" s="36">
        <v>7.0000000000000007E-2</v>
      </c>
      <c r="BT27" s="36">
        <v>6.6000000000000003E-2</v>
      </c>
      <c r="BU27" s="24">
        <v>0</v>
      </c>
      <c r="BV27" s="36">
        <v>6.5000000000000002E-2</v>
      </c>
      <c r="BW27" s="8"/>
      <c r="BX27" s="8"/>
      <c r="BY27" s="24">
        <v>28</v>
      </c>
      <c r="BZ27" s="24">
        <v>9</v>
      </c>
      <c r="CA27" s="24">
        <v>11</v>
      </c>
      <c r="CB27" s="24">
        <v>6</v>
      </c>
      <c r="CC27" s="24">
        <v>6</v>
      </c>
      <c r="CD27" s="8"/>
      <c r="CE27" s="8"/>
      <c r="CF27" s="24" t="s">
        <v>270</v>
      </c>
      <c r="CG27" s="24" t="s">
        <v>271</v>
      </c>
      <c r="CH27" s="24" t="s">
        <v>208</v>
      </c>
      <c r="CI27" s="24" t="s">
        <v>719</v>
      </c>
      <c r="CJ27" s="24" t="s">
        <v>121</v>
      </c>
      <c r="CK27" s="8"/>
      <c r="CL27" s="8"/>
      <c r="CM27" s="24" t="s">
        <v>272</v>
      </c>
      <c r="CN27" s="24" t="s">
        <v>272</v>
      </c>
      <c r="CO27" s="24" t="s">
        <v>600</v>
      </c>
      <c r="CP27" s="24" t="s">
        <v>720</v>
      </c>
      <c r="CQ27" s="8"/>
      <c r="CR27" s="8"/>
      <c r="CS27" s="8"/>
      <c r="CT27" s="36">
        <v>7.1199999999999999E-2</v>
      </c>
      <c r="CU27" s="8"/>
      <c r="CV27" s="8"/>
      <c r="CW27" s="8"/>
      <c r="CX27" s="8"/>
      <c r="CY27" s="8"/>
      <c r="CZ27" s="8"/>
    </row>
    <row r="28" spans="1:104" ht="16.5" customHeight="1">
      <c r="A28" s="47">
        <v>46009</v>
      </c>
      <c r="B28" s="42" t="s">
        <v>721</v>
      </c>
      <c r="C28" s="24" t="s">
        <v>196</v>
      </c>
      <c r="D28" s="24" t="s">
        <v>274</v>
      </c>
      <c r="E28" s="8"/>
      <c r="F28" s="24" t="s">
        <v>275</v>
      </c>
      <c r="G28" s="24" t="s">
        <v>276</v>
      </c>
      <c r="H28" s="24" t="s">
        <v>150</v>
      </c>
      <c r="I28" s="24" t="s">
        <v>45</v>
      </c>
      <c r="J28" s="24" t="s">
        <v>46</v>
      </c>
      <c r="K28" s="24" t="s">
        <v>277</v>
      </c>
      <c r="L28" s="61">
        <v>45718</v>
      </c>
      <c r="M28" s="36">
        <v>8.8999999999999996E-2</v>
      </c>
      <c r="N28" s="40">
        <v>0.64</v>
      </c>
      <c r="O28" s="36">
        <v>0.78700000000000003</v>
      </c>
      <c r="P28" s="36">
        <v>0.84199999999999997</v>
      </c>
      <c r="Q28" s="36">
        <v>0.70199999999999996</v>
      </c>
      <c r="R28" s="36">
        <v>0.80400000000000005</v>
      </c>
      <c r="S28" s="8"/>
      <c r="T28" s="8"/>
      <c r="U28" s="40">
        <v>0.1</v>
      </c>
      <c r="V28" s="40">
        <v>0.03</v>
      </c>
      <c r="W28" s="36">
        <v>2.1999999999999999E-2</v>
      </c>
      <c r="X28" s="36">
        <v>0.11700000000000001</v>
      </c>
      <c r="Y28" s="36">
        <v>2.7E-2</v>
      </c>
      <c r="Z28" s="8"/>
      <c r="AA28" s="8"/>
      <c r="AB28" s="40">
        <v>0.26</v>
      </c>
      <c r="AC28" s="36">
        <v>0.17599999999999999</v>
      </c>
      <c r="AD28" s="36">
        <v>0.13600000000000001</v>
      </c>
      <c r="AE28" s="36">
        <v>0.18099999999999999</v>
      </c>
      <c r="AF28" s="36">
        <v>0.13900000000000001</v>
      </c>
      <c r="AG28" s="8"/>
      <c r="AH28" s="8"/>
      <c r="AI28" s="40">
        <v>0</v>
      </c>
      <c r="AJ28" s="36">
        <v>7.0000000000000001E-3</v>
      </c>
      <c r="AK28" s="40">
        <v>0</v>
      </c>
      <c r="AL28" s="40">
        <v>0</v>
      </c>
      <c r="AM28" s="36">
        <v>2.5999999999999999E-2</v>
      </c>
      <c r="AN28" s="8"/>
      <c r="AO28" s="8"/>
      <c r="AP28" s="40">
        <v>0</v>
      </c>
      <c r="AQ28" s="40">
        <v>0</v>
      </c>
      <c r="AR28" s="40">
        <v>0</v>
      </c>
      <c r="AS28" s="40">
        <v>0</v>
      </c>
      <c r="AT28" s="36">
        <v>4.0000000000000001E-3</v>
      </c>
      <c r="AU28" s="8"/>
      <c r="AV28" s="8"/>
      <c r="AW28" s="24">
        <v>36.799999999999997</v>
      </c>
      <c r="AX28" s="24">
        <v>20.6</v>
      </c>
      <c r="AY28" s="24">
        <v>14.4</v>
      </c>
      <c r="AZ28" s="24">
        <v>33.200000000000003</v>
      </c>
      <c r="BA28" s="24">
        <v>22.9</v>
      </c>
      <c r="BB28" s="8"/>
      <c r="BC28" s="8"/>
      <c r="BD28" s="36">
        <v>0.75900000000000001</v>
      </c>
      <c r="BE28" s="36">
        <v>0.875</v>
      </c>
      <c r="BF28" s="36">
        <v>0.76900000000000002</v>
      </c>
      <c r="BG28" s="36">
        <v>0.85199999999999998</v>
      </c>
      <c r="BH28" s="40">
        <v>0.89</v>
      </c>
      <c r="BI28" s="8"/>
      <c r="BJ28" s="8"/>
      <c r="BK28" s="36">
        <v>0.38400000000000001</v>
      </c>
      <c r="BL28" s="36">
        <v>0.35699999999999998</v>
      </c>
      <c r="BM28" s="36">
        <v>0.309</v>
      </c>
      <c r="BN28" s="36">
        <v>0.39100000000000001</v>
      </c>
      <c r="BO28" s="36">
        <v>0.378</v>
      </c>
      <c r="BP28" s="8"/>
      <c r="BQ28" s="8"/>
      <c r="BR28" s="36">
        <v>7.1999999999999995E-2</v>
      </c>
      <c r="BS28" s="36">
        <v>6.7000000000000004E-2</v>
      </c>
      <c r="BT28" s="36">
        <v>6.6000000000000003E-2</v>
      </c>
      <c r="BU28" s="36">
        <v>7.1999999999999995E-2</v>
      </c>
      <c r="BV28" s="36">
        <v>6.5000000000000002E-2</v>
      </c>
      <c r="BW28" s="8"/>
      <c r="BX28" s="8"/>
      <c r="BY28" s="24">
        <v>0</v>
      </c>
      <c r="BZ28" s="24">
        <v>2</v>
      </c>
      <c r="CA28" s="24">
        <v>0</v>
      </c>
      <c r="CB28" s="24">
        <v>0</v>
      </c>
      <c r="CC28" s="24">
        <v>11</v>
      </c>
      <c r="CD28" s="8"/>
      <c r="CE28" s="8"/>
      <c r="CF28" s="24" t="s">
        <v>112</v>
      </c>
      <c r="CG28" s="24" t="s">
        <v>161</v>
      </c>
      <c r="CH28" s="24" t="s">
        <v>112</v>
      </c>
      <c r="CI28" s="24" t="s">
        <v>554</v>
      </c>
      <c r="CJ28" s="24" t="s">
        <v>171</v>
      </c>
      <c r="CK28" s="8"/>
      <c r="CL28" s="8"/>
      <c r="CM28" s="24" t="s">
        <v>278</v>
      </c>
      <c r="CN28" s="24" t="s">
        <v>278</v>
      </c>
      <c r="CO28" s="24" t="s">
        <v>278</v>
      </c>
      <c r="CP28" s="24" t="s">
        <v>722</v>
      </c>
      <c r="CQ28" s="8"/>
      <c r="CR28" s="8"/>
      <c r="CS28" s="8"/>
      <c r="CT28" s="36">
        <v>7.7299999999999994E-2</v>
      </c>
      <c r="CU28" s="8"/>
      <c r="CV28" s="8"/>
      <c r="CW28" s="8"/>
      <c r="CX28" s="8"/>
      <c r="CY28" s="8"/>
      <c r="CZ28" s="8"/>
    </row>
    <row r="29" spans="1:104" ht="15.75" customHeight="1">
      <c r="A29" s="47">
        <v>46015</v>
      </c>
      <c r="B29" s="42" t="s">
        <v>723</v>
      </c>
      <c r="C29" s="24" t="s">
        <v>72</v>
      </c>
      <c r="D29" s="24" t="s">
        <v>280</v>
      </c>
      <c r="E29" s="24" t="s">
        <v>281</v>
      </c>
      <c r="F29" s="8"/>
      <c r="G29" s="24" t="s">
        <v>282</v>
      </c>
      <c r="H29" s="24" t="s">
        <v>72</v>
      </c>
      <c r="I29" s="24" t="s">
        <v>45</v>
      </c>
      <c r="J29" s="24" t="s">
        <v>46</v>
      </c>
      <c r="K29" s="24" t="s">
        <v>283</v>
      </c>
      <c r="L29" s="24">
        <v>6</v>
      </c>
      <c r="M29" s="36">
        <v>6.8400000000000002E-2</v>
      </c>
      <c r="N29" s="36">
        <v>0.85799999999999998</v>
      </c>
      <c r="O29" s="36">
        <v>0.745</v>
      </c>
      <c r="P29" s="36">
        <v>0.83299999999999996</v>
      </c>
      <c r="Q29" s="36">
        <v>0.67400000000000004</v>
      </c>
      <c r="R29" s="36">
        <v>0.66200000000000003</v>
      </c>
      <c r="S29" s="8"/>
      <c r="T29" s="8"/>
      <c r="U29" s="36">
        <v>1.7000000000000001E-2</v>
      </c>
      <c r="V29" s="36">
        <v>3.5999999999999997E-2</v>
      </c>
      <c r="W29" s="36">
        <v>1.6E-2</v>
      </c>
      <c r="X29" s="36">
        <v>6.4000000000000001E-2</v>
      </c>
      <c r="Y29" s="36">
        <v>0.10100000000000001</v>
      </c>
      <c r="Z29" s="8"/>
      <c r="AA29" s="8"/>
      <c r="AB29" s="36">
        <v>9.7000000000000003E-2</v>
      </c>
      <c r="AC29" s="36">
        <v>0.20899999999999999</v>
      </c>
      <c r="AD29" s="36">
        <v>8.4000000000000005E-2</v>
      </c>
      <c r="AE29" s="36">
        <v>0.20599999999999999</v>
      </c>
      <c r="AF29" s="36">
        <v>0.216</v>
      </c>
      <c r="AG29" s="8"/>
      <c r="AH29" s="8"/>
      <c r="AI29" s="36">
        <v>2.8000000000000001E-2</v>
      </c>
      <c r="AJ29" s="40">
        <v>0.01</v>
      </c>
      <c r="AK29" s="36">
        <v>5.2999999999999999E-2</v>
      </c>
      <c r="AL29" s="36">
        <v>5.2999999999999999E-2</v>
      </c>
      <c r="AM29" s="36">
        <v>1.9E-2</v>
      </c>
      <c r="AN29" s="8"/>
      <c r="AO29" s="8"/>
      <c r="AP29" s="40">
        <v>0</v>
      </c>
      <c r="AQ29" s="40">
        <v>0</v>
      </c>
      <c r="AR29" s="36">
        <v>1.4E-2</v>
      </c>
      <c r="AS29" s="36">
        <v>3.0000000000000001E-3</v>
      </c>
      <c r="AT29" s="36">
        <v>2E-3</v>
      </c>
      <c r="AU29" s="8"/>
      <c r="AV29" s="8"/>
      <c r="AW29" s="24">
        <v>17.2</v>
      </c>
      <c r="AX29" s="24">
        <v>24.9</v>
      </c>
      <c r="AY29" s="24">
        <v>26.2</v>
      </c>
      <c r="AZ29" s="24">
        <v>40.299999999999997</v>
      </c>
      <c r="BA29" s="24">
        <v>38.6</v>
      </c>
      <c r="BB29" s="8"/>
      <c r="BC29" s="8"/>
      <c r="BD29" s="36">
        <v>0.69499999999999995</v>
      </c>
      <c r="BE29" s="40">
        <v>0.91</v>
      </c>
      <c r="BF29" s="36">
        <v>0.92700000000000005</v>
      </c>
      <c r="BG29" s="36">
        <v>0.98099999999999998</v>
      </c>
      <c r="BH29" s="36">
        <v>0.94099999999999995</v>
      </c>
      <c r="BI29" s="8"/>
      <c r="BJ29" s="8"/>
      <c r="BK29" s="36">
        <v>0.34100000000000003</v>
      </c>
      <c r="BL29" s="36">
        <v>0.32500000000000001</v>
      </c>
      <c r="BM29" s="36">
        <v>0.36599999999999999</v>
      </c>
      <c r="BN29" s="36">
        <v>0.39900000000000002</v>
      </c>
      <c r="BO29" s="36">
        <v>0.38800000000000001</v>
      </c>
      <c r="BP29" s="8"/>
      <c r="BQ29" s="8"/>
      <c r="BR29" s="36">
        <v>6.3E-2</v>
      </c>
      <c r="BS29" s="36">
        <v>6.9000000000000006E-2</v>
      </c>
      <c r="BT29" s="36">
        <v>6.3E-2</v>
      </c>
      <c r="BU29" s="36">
        <v>6.9000000000000006E-2</v>
      </c>
      <c r="BV29" s="36">
        <v>7.0999999999999994E-2</v>
      </c>
      <c r="BW29" s="8"/>
      <c r="BX29" s="8"/>
      <c r="BY29" s="24">
        <v>18</v>
      </c>
      <c r="BZ29" s="24">
        <v>6</v>
      </c>
      <c r="CA29" s="24">
        <v>25</v>
      </c>
      <c r="CB29" s="24">
        <v>20</v>
      </c>
      <c r="CC29" s="24">
        <v>11</v>
      </c>
      <c r="CD29" s="8"/>
      <c r="CE29" s="8"/>
      <c r="CF29" s="24" t="s">
        <v>284</v>
      </c>
      <c r="CG29" s="24" t="s">
        <v>538</v>
      </c>
      <c r="CH29" s="24" t="s">
        <v>142</v>
      </c>
      <c r="CI29" s="24" t="s">
        <v>171</v>
      </c>
      <c r="CJ29" s="24" t="s">
        <v>547</v>
      </c>
      <c r="CK29" s="8"/>
      <c r="CL29" s="8"/>
      <c r="CM29" s="24" t="s">
        <v>285</v>
      </c>
      <c r="CN29" s="24" t="s">
        <v>539</v>
      </c>
      <c r="CO29" s="24" t="s">
        <v>724</v>
      </c>
      <c r="CP29" s="8"/>
      <c r="CQ29" s="8"/>
      <c r="CR29" s="8"/>
      <c r="CS29" s="24" t="s">
        <v>286</v>
      </c>
      <c r="CT29" s="36">
        <v>6.0900000000000003E-2</v>
      </c>
      <c r="CU29" s="8"/>
      <c r="CV29" s="8"/>
      <c r="CW29" s="8"/>
      <c r="CX29" s="8"/>
      <c r="CY29" s="8"/>
      <c r="CZ29" s="8"/>
    </row>
    <row r="30" spans="1:104" ht="15.75" customHeight="1">
      <c r="A30" s="52">
        <v>46013</v>
      </c>
      <c r="B30" s="42" t="s">
        <v>725</v>
      </c>
      <c r="C30" s="24" t="s">
        <v>72</v>
      </c>
      <c r="D30" s="24" t="s">
        <v>288</v>
      </c>
      <c r="E30" s="24" t="s">
        <v>289</v>
      </c>
      <c r="F30" s="8"/>
      <c r="G30" s="24" t="s">
        <v>290</v>
      </c>
      <c r="H30" s="24" t="s">
        <v>128</v>
      </c>
      <c r="I30" s="24" t="s">
        <v>45</v>
      </c>
      <c r="J30" s="24" t="s">
        <v>46</v>
      </c>
      <c r="K30" s="24" t="s">
        <v>291</v>
      </c>
      <c r="L30" s="61">
        <v>45718</v>
      </c>
      <c r="M30" s="36">
        <v>9.6699999999999994E-2</v>
      </c>
      <c r="N30" s="40">
        <v>0.56999999999999995</v>
      </c>
      <c r="O30" s="36">
        <v>0.76700000000000002</v>
      </c>
      <c r="P30" s="36">
        <v>0.73299999999999998</v>
      </c>
      <c r="Q30" s="36">
        <v>0.68600000000000005</v>
      </c>
      <c r="R30" s="8"/>
      <c r="S30" s="8"/>
      <c r="T30" s="8"/>
      <c r="U30" s="36">
        <v>8.5999999999999993E-2</v>
      </c>
      <c r="V30" s="36">
        <v>6.0000000000000001E-3</v>
      </c>
      <c r="W30" s="36">
        <v>4.1000000000000002E-2</v>
      </c>
      <c r="X30" s="36">
        <v>8.5000000000000006E-2</v>
      </c>
      <c r="Y30" s="8"/>
      <c r="Z30" s="8"/>
      <c r="AA30" s="8"/>
      <c r="AB30" s="36">
        <v>0.14899999999999999</v>
      </c>
      <c r="AC30" s="36">
        <v>0.187</v>
      </c>
      <c r="AD30" s="36">
        <v>0.216</v>
      </c>
      <c r="AE30" s="36">
        <v>0.219</v>
      </c>
      <c r="AF30" s="8"/>
      <c r="AG30" s="8"/>
      <c r="AH30" s="8"/>
      <c r="AI30" s="36">
        <v>4.0000000000000001E-3</v>
      </c>
      <c r="AJ30" s="40">
        <v>0.04</v>
      </c>
      <c r="AK30" s="40">
        <v>0.01</v>
      </c>
      <c r="AL30" s="40">
        <v>0.01</v>
      </c>
      <c r="AM30" s="8"/>
      <c r="AN30" s="8"/>
      <c r="AO30" s="8"/>
      <c r="AP30" s="36">
        <v>0.191</v>
      </c>
      <c r="AQ30" s="40">
        <v>0</v>
      </c>
      <c r="AR30" s="40">
        <v>0</v>
      </c>
      <c r="AS30" s="36">
        <v>0</v>
      </c>
      <c r="AT30" s="8"/>
      <c r="AU30" s="8"/>
      <c r="AV30" s="8"/>
      <c r="AW30" s="24">
        <v>83.9</v>
      </c>
      <c r="AX30" s="24">
        <v>25.5</v>
      </c>
      <c r="AY30" s="24">
        <v>26.2</v>
      </c>
      <c r="AZ30" s="24">
        <v>33.5</v>
      </c>
      <c r="BA30" s="8"/>
      <c r="BB30" s="8"/>
      <c r="BC30" s="8"/>
      <c r="BD30" s="36">
        <v>0.79900000000000004</v>
      </c>
      <c r="BE30" s="40">
        <v>0.94</v>
      </c>
      <c r="BF30" s="36">
        <v>0.97599999999999998</v>
      </c>
      <c r="BG30" s="36">
        <v>0.93500000000000005</v>
      </c>
      <c r="BH30" s="8"/>
      <c r="BI30" s="8"/>
      <c r="BJ30" s="8"/>
      <c r="BK30" s="36">
        <v>0.55600000000000005</v>
      </c>
      <c r="BL30" s="36">
        <v>0.36099999999999999</v>
      </c>
      <c r="BM30" s="36">
        <v>0.34899999999999998</v>
      </c>
      <c r="BN30" s="36">
        <v>0.39</v>
      </c>
      <c r="BO30" s="8"/>
      <c r="BP30" s="8"/>
      <c r="BQ30" s="8"/>
      <c r="BR30" s="36">
        <v>6.5000000000000002E-2</v>
      </c>
      <c r="BS30" s="36">
        <v>6.5000000000000002E-2</v>
      </c>
      <c r="BT30" s="36">
        <v>6.9000000000000006E-2</v>
      </c>
      <c r="BU30" s="36">
        <v>7.0000000000000007E-2</v>
      </c>
      <c r="BV30" s="8"/>
      <c r="BW30" s="8"/>
      <c r="BX30" s="8"/>
      <c r="BY30" s="24">
        <v>2</v>
      </c>
      <c r="BZ30" s="24">
        <v>17</v>
      </c>
      <c r="CA30" s="24">
        <v>4</v>
      </c>
      <c r="CB30" s="24">
        <v>3</v>
      </c>
      <c r="CC30" s="8"/>
      <c r="CD30" s="8"/>
      <c r="CE30" s="8"/>
      <c r="CF30" s="24" t="s">
        <v>292</v>
      </c>
      <c r="CG30" s="24" t="s">
        <v>541</v>
      </c>
      <c r="CH30" s="24" t="s">
        <v>526</v>
      </c>
      <c r="CI30" s="24" t="s">
        <v>237</v>
      </c>
      <c r="CJ30" s="8"/>
      <c r="CK30" s="8"/>
      <c r="CL30" s="8"/>
      <c r="CM30" s="24" t="s">
        <v>293</v>
      </c>
      <c r="CN30" s="24" t="s">
        <v>542</v>
      </c>
      <c r="CO30" s="24" t="s">
        <v>726</v>
      </c>
      <c r="CP30" s="8"/>
      <c r="CQ30" s="8"/>
      <c r="CR30" s="8"/>
      <c r="CS30" s="24" t="s">
        <v>294</v>
      </c>
      <c r="CT30" s="36">
        <v>6.9699999999999998E-2</v>
      </c>
      <c r="CU30" s="8"/>
      <c r="CV30" s="8"/>
      <c r="CW30" s="8"/>
      <c r="CX30" s="8"/>
      <c r="CY30" s="8"/>
      <c r="CZ30" s="8"/>
    </row>
    <row r="31" spans="1:104" ht="15.75" customHeight="1">
      <c r="A31" s="52">
        <v>46013</v>
      </c>
      <c r="B31" s="42" t="s">
        <v>727</v>
      </c>
      <c r="C31" s="24" t="s">
        <v>88</v>
      </c>
      <c r="D31" s="24" t="s">
        <v>296</v>
      </c>
      <c r="E31" s="8"/>
      <c r="F31" s="24" t="s">
        <v>297</v>
      </c>
      <c r="G31" s="24" t="s">
        <v>298</v>
      </c>
      <c r="H31" s="24" t="s">
        <v>88</v>
      </c>
      <c r="I31" s="24" t="s">
        <v>225</v>
      </c>
      <c r="J31" s="24" t="s">
        <v>46</v>
      </c>
      <c r="K31" s="24" t="s">
        <v>299</v>
      </c>
      <c r="L31" s="24">
        <v>6</v>
      </c>
      <c r="M31" s="36">
        <v>0.127</v>
      </c>
      <c r="N31" s="36">
        <v>0.51300000000000001</v>
      </c>
      <c r="O31" s="36">
        <v>0.94499999999999995</v>
      </c>
      <c r="P31" s="36">
        <v>0.98599999999999999</v>
      </c>
      <c r="Q31" s="36">
        <v>0.998</v>
      </c>
      <c r="R31" s="36">
        <v>0.99099999999999999</v>
      </c>
      <c r="S31" s="8"/>
      <c r="T31" s="8"/>
      <c r="U31" s="36">
        <v>0.122</v>
      </c>
      <c r="V31" s="40">
        <v>0</v>
      </c>
      <c r="W31" s="40">
        <v>0</v>
      </c>
      <c r="X31" s="36">
        <v>0</v>
      </c>
      <c r="Y31" s="36">
        <v>0</v>
      </c>
      <c r="Z31" s="8"/>
      <c r="AA31" s="8"/>
      <c r="AB31" s="36">
        <v>0.36499999999999999</v>
      </c>
      <c r="AC31" s="36">
        <v>5.2999999999999999E-2</v>
      </c>
      <c r="AD31" s="40">
        <v>0.01</v>
      </c>
      <c r="AE31" s="36">
        <v>1E-3</v>
      </c>
      <c r="AF31" s="36">
        <v>0</v>
      </c>
      <c r="AG31" s="8"/>
      <c r="AH31" s="8"/>
      <c r="AI31" s="36">
        <v>0</v>
      </c>
      <c r="AJ31" s="36">
        <v>2E-3</v>
      </c>
      <c r="AK31" s="36">
        <v>4.0000000000000001E-3</v>
      </c>
      <c r="AL31" s="36">
        <v>1E-3</v>
      </c>
      <c r="AM31" s="36">
        <v>7.0000000000000001E-3</v>
      </c>
      <c r="AN31" s="8"/>
      <c r="AO31" s="8"/>
      <c r="AP31" s="40">
        <v>0</v>
      </c>
      <c r="AQ31" s="40">
        <v>0</v>
      </c>
      <c r="AR31" s="40">
        <v>0</v>
      </c>
      <c r="AS31" s="40">
        <v>0</v>
      </c>
      <c r="AT31" s="36">
        <v>2E-3</v>
      </c>
      <c r="AU31" s="8"/>
      <c r="AV31" s="8"/>
      <c r="AW31" s="24">
        <v>48.7</v>
      </c>
      <c r="AX31" s="24">
        <v>4.7</v>
      </c>
      <c r="AY31" s="24">
        <v>1.8</v>
      </c>
      <c r="AZ31" s="24">
        <v>0.3</v>
      </c>
      <c r="BA31" s="24">
        <v>2.2999999999999998</v>
      </c>
      <c r="BB31" s="8"/>
      <c r="BC31" s="8"/>
      <c r="BD31" s="36">
        <v>0.81899999999999995</v>
      </c>
      <c r="BE31" s="36">
        <v>0.53900000000000003</v>
      </c>
      <c r="BF31" s="36">
        <v>0.65100000000000002</v>
      </c>
      <c r="BG31" s="36">
        <v>0.67500000000000004</v>
      </c>
      <c r="BH31" s="36">
        <v>0.623</v>
      </c>
      <c r="BI31" s="8"/>
      <c r="BJ31" s="8"/>
      <c r="BK31" s="36">
        <v>0.311</v>
      </c>
      <c r="BL31" s="36">
        <v>0.24199999999999999</v>
      </c>
      <c r="BM31" s="36">
        <v>0.214</v>
      </c>
      <c r="BN31" s="36">
        <v>0.17299999999999999</v>
      </c>
      <c r="BO31" s="36">
        <v>0.18099999999999999</v>
      </c>
      <c r="BP31" s="8"/>
      <c r="BQ31" s="8"/>
      <c r="BR31" s="36">
        <v>7.6999999999999999E-2</v>
      </c>
      <c r="BS31" s="36">
        <v>6.2E-2</v>
      </c>
      <c r="BT31" s="40">
        <v>0.06</v>
      </c>
      <c r="BU31" s="36">
        <v>5.8000000000000003E-2</v>
      </c>
      <c r="BV31" s="36">
        <v>5.8000000000000003E-2</v>
      </c>
      <c r="BW31" s="8"/>
      <c r="BX31" s="8"/>
      <c r="BY31" s="24">
        <v>0</v>
      </c>
      <c r="BZ31" s="24">
        <v>2</v>
      </c>
      <c r="CA31" s="24">
        <v>1</v>
      </c>
      <c r="CB31" s="24">
        <v>0</v>
      </c>
      <c r="CC31" s="24">
        <v>4</v>
      </c>
      <c r="CD31" s="8"/>
      <c r="CE31" s="8"/>
      <c r="CF31" s="24" t="s">
        <v>112</v>
      </c>
      <c r="CG31" s="24" t="s">
        <v>544</v>
      </c>
      <c r="CH31" s="24" t="s">
        <v>603</v>
      </c>
      <c r="CI31" s="24" t="s">
        <v>554</v>
      </c>
      <c r="CJ31" s="24" t="s">
        <v>142</v>
      </c>
      <c r="CK31" s="8"/>
      <c r="CL31" s="8"/>
      <c r="CM31" s="24" t="s">
        <v>300</v>
      </c>
      <c r="CN31" s="24" t="s">
        <v>604</v>
      </c>
      <c r="CO31" s="24" t="s">
        <v>605</v>
      </c>
      <c r="CP31" s="24" t="s">
        <v>728</v>
      </c>
      <c r="CQ31" s="8"/>
      <c r="CR31" s="8"/>
      <c r="CS31" s="24" t="s">
        <v>301</v>
      </c>
      <c r="CT31" s="36">
        <v>6.93E-2</v>
      </c>
      <c r="CU31" s="8"/>
      <c r="CV31" s="8"/>
      <c r="CW31" s="8"/>
      <c r="CX31" s="8"/>
      <c r="CY31" s="8"/>
      <c r="CZ31" s="8"/>
    </row>
    <row r="32" spans="1:104" ht="15.75" customHeight="1">
      <c r="A32" s="52">
        <v>46013</v>
      </c>
      <c r="B32" s="42" t="s">
        <v>729</v>
      </c>
      <c r="C32" s="24" t="s">
        <v>205</v>
      </c>
      <c r="D32" s="24" t="s">
        <v>303</v>
      </c>
      <c r="E32" s="8"/>
      <c r="F32" s="24" t="s">
        <v>304</v>
      </c>
      <c r="G32" s="24" t="s">
        <v>305</v>
      </c>
      <c r="H32" s="24" t="s">
        <v>128</v>
      </c>
      <c r="I32" s="24" t="s">
        <v>45</v>
      </c>
      <c r="J32" s="24" t="s">
        <v>46</v>
      </c>
      <c r="K32" s="24" t="s">
        <v>306</v>
      </c>
      <c r="L32" s="24">
        <v>2</v>
      </c>
      <c r="M32" s="36">
        <v>0.112</v>
      </c>
      <c r="N32" s="36">
        <v>0.68600000000000005</v>
      </c>
      <c r="O32" s="36">
        <v>0.86399999999999999</v>
      </c>
      <c r="P32" s="36">
        <v>0.92800000000000005</v>
      </c>
      <c r="Q32" s="36">
        <v>0.88600000000000001</v>
      </c>
      <c r="R32" s="36">
        <v>0.84299999999999997</v>
      </c>
      <c r="S32" s="36">
        <v>0.77200000000000002</v>
      </c>
      <c r="U32" s="36">
        <v>8.1000000000000003E-2</v>
      </c>
      <c r="V32" s="40">
        <v>0.03</v>
      </c>
      <c r="W32" s="36">
        <v>3.0000000000000001E-3</v>
      </c>
      <c r="X32" s="36">
        <v>1.4999999999999999E-2</v>
      </c>
      <c r="Y32" s="36">
        <v>1E-3</v>
      </c>
      <c r="Z32" s="36">
        <v>1.0999999999999999E-2</v>
      </c>
      <c r="AA32" s="36"/>
      <c r="AB32" s="36">
        <v>0.217</v>
      </c>
      <c r="AC32" s="40">
        <v>0.1</v>
      </c>
      <c r="AD32" s="36">
        <v>3.2000000000000001E-2</v>
      </c>
      <c r="AE32" s="36">
        <v>8.5999999999999993E-2</v>
      </c>
      <c r="AF32" s="36">
        <v>7.5999999999999998E-2</v>
      </c>
      <c r="AG32" s="36">
        <v>0.18099999999999999</v>
      </c>
      <c r="AH32" s="36"/>
      <c r="AI32" s="36">
        <v>1.2999999999999999E-2</v>
      </c>
      <c r="AJ32" s="36">
        <v>6.0000000000000001E-3</v>
      </c>
      <c r="AK32" s="36">
        <v>3.5999999999999997E-2</v>
      </c>
      <c r="AL32" s="36">
        <v>1.2999999999999999E-2</v>
      </c>
      <c r="AM32" s="36">
        <v>6.5000000000000002E-2</v>
      </c>
      <c r="AN32" s="36">
        <v>3.2000000000000001E-2</v>
      </c>
      <c r="AO32" s="36"/>
      <c r="AP32" s="36">
        <v>3.0000000000000001E-3</v>
      </c>
      <c r="AQ32" s="40">
        <v>0</v>
      </c>
      <c r="AR32" s="36">
        <v>1E-3</v>
      </c>
      <c r="AS32" s="36">
        <v>0</v>
      </c>
      <c r="AT32" s="36">
        <v>1.4999999999999999E-2</v>
      </c>
      <c r="AU32" s="36">
        <v>2E-3</v>
      </c>
      <c r="AV32" s="36"/>
      <c r="AW32" s="24">
        <v>34.299999999999997</v>
      </c>
      <c r="AX32" s="24">
        <v>14.2</v>
      </c>
      <c r="AY32" s="24">
        <v>12</v>
      </c>
      <c r="AZ32" s="24">
        <v>12.4</v>
      </c>
      <c r="BA32" s="24">
        <v>26.3</v>
      </c>
      <c r="BB32" s="24">
        <v>25.1</v>
      </c>
      <c r="BC32" s="24"/>
      <c r="BD32" s="36">
        <v>0.185</v>
      </c>
      <c r="BE32" s="40">
        <v>0.2</v>
      </c>
      <c r="BF32" s="36">
        <v>0.20300000000000001</v>
      </c>
      <c r="BG32" s="40">
        <v>0.83</v>
      </c>
      <c r="BH32" s="36">
        <v>0.93700000000000006</v>
      </c>
      <c r="BI32" s="36">
        <v>0.83199999999999996</v>
      </c>
      <c r="BJ32" s="36"/>
      <c r="BK32" s="36">
        <v>0.38800000000000001</v>
      </c>
      <c r="BL32" s="36">
        <v>0.307</v>
      </c>
      <c r="BM32" s="36">
        <v>0.26500000000000001</v>
      </c>
      <c r="BN32" s="36">
        <v>0.28899999999999998</v>
      </c>
      <c r="BO32" s="36">
        <v>0.34799999999999998</v>
      </c>
      <c r="BP32" s="36">
        <v>0.34100000000000003</v>
      </c>
      <c r="BQ32" s="36"/>
      <c r="BR32" s="36">
        <v>6.9000000000000006E-2</v>
      </c>
      <c r="BS32" s="36">
        <v>6.7000000000000004E-2</v>
      </c>
      <c r="BT32" s="36">
        <v>0.06</v>
      </c>
      <c r="BU32" s="36">
        <v>6.5000000000000002E-2</v>
      </c>
      <c r="BV32" s="36">
        <v>0.06</v>
      </c>
      <c r="BW32" s="36">
        <v>6.6000000000000003E-2</v>
      </c>
      <c r="BX32" s="36"/>
      <c r="BY32" s="24">
        <v>5</v>
      </c>
      <c r="BZ32" s="24">
        <v>3</v>
      </c>
      <c r="CA32" s="24">
        <v>12</v>
      </c>
      <c r="CB32" s="24">
        <v>6</v>
      </c>
      <c r="CC32" s="24">
        <v>24</v>
      </c>
      <c r="CD32" s="24">
        <v>17</v>
      </c>
      <c r="CE32" s="24"/>
      <c r="CF32" s="24" t="s">
        <v>307</v>
      </c>
      <c r="CG32" s="24" t="s">
        <v>547</v>
      </c>
      <c r="CH32" s="24" t="s">
        <v>270</v>
      </c>
      <c r="CI32" s="24" t="s">
        <v>730</v>
      </c>
      <c r="CJ32" s="24" t="s">
        <v>627</v>
      </c>
      <c r="CK32" s="24" t="s">
        <v>143</v>
      </c>
      <c r="CL32" s="24"/>
      <c r="CM32" s="24" t="s">
        <v>308</v>
      </c>
      <c r="CN32" s="24" t="s">
        <v>308</v>
      </c>
      <c r="CO32" s="24" t="s">
        <v>308</v>
      </c>
      <c r="CP32" s="24" t="s">
        <v>731</v>
      </c>
      <c r="CQ32" s="8"/>
      <c r="CR32" s="8"/>
      <c r="CS32" s="24" t="s">
        <v>548</v>
      </c>
      <c r="CT32" s="36">
        <v>7.0999999999999994E-2</v>
      </c>
      <c r="CU32" s="8"/>
      <c r="CV32" s="8"/>
      <c r="CW32" s="8"/>
      <c r="CX32" s="24" t="s">
        <v>549</v>
      </c>
      <c r="CY32" s="8"/>
      <c r="CZ32" s="8"/>
    </row>
    <row r="33" spans="1:104" ht="15.75" customHeight="1">
      <c r="A33" s="47">
        <v>46014</v>
      </c>
      <c r="B33" s="42" t="s">
        <v>732</v>
      </c>
      <c r="C33" s="24" t="s">
        <v>99</v>
      </c>
      <c r="D33" s="24" t="s">
        <v>311</v>
      </c>
      <c r="E33" s="8"/>
      <c r="F33" s="24" t="s">
        <v>312</v>
      </c>
      <c r="G33" s="24" t="s">
        <v>313</v>
      </c>
      <c r="H33" s="24" t="s">
        <v>314</v>
      </c>
      <c r="I33" s="24" t="s">
        <v>45</v>
      </c>
      <c r="J33" s="24" t="s">
        <v>46</v>
      </c>
      <c r="K33" s="24" t="s">
        <v>315</v>
      </c>
      <c r="L33" s="61">
        <v>45718</v>
      </c>
      <c r="M33" s="36">
        <v>9.3299999999999994E-2</v>
      </c>
      <c r="N33" s="36">
        <v>0.68700000000000006</v>
      </c>
      <c r="O33" s="36">
        <v>0.78200000000000003</v>
      </c>
      <c r="P33" s="36">
        <v>0.76100000000000001</v>
      </c>
      <c r="Q33" s="36">
        <v>0.82399999999999995</v>
      </c>
      <c r="R33" s="36">
        <v>0.76100000000000001</v>
      </c>
      <c r="S33" s="8"/>
      <c r="T33" s="8"/>
      <c r="U33" s="36">
        <v>6.9000000000000006E-2</v>
      </c>
      <c r="V33" s="36">
        <v>2.1000000000000001E-2</v>
      </c>
      <c r="W33" s="36">
        <v>3.1E-2</v>
      </c>
      <c r="X33" s="36">
        <v>1.7999999999999999E-2</v>
      </c>
      <c r="Y33" s="36">
        <v>4.1000000000000002E-2</v>
      </c>
      <c r="Z33" s="8"/>
      <c r="AA33" s="8"/>
      <c r="AB33" s="36">
        <v>0.221</v>
      </c>
      <c r="AC33" s="36">
        <v>0.18099999999999999</v>
      </c>
      <c r="AD33" s="36">
        <v>0.191</v>
      </c>
      <c r="AE33" s="36">
        <v>0.13800000000000001</v>
      </c>
      <c r="AF33" s="36">
        <v>0.16900000000000001</v>
      </c>
      <c r="AG33" s="8"/>
      <c r="AH33" s="8"/>
      <c r="AI33" s="36">
        <v>1.2999999999999999E-2</v>
      </c>
      <c r="AJ33" s="36">
        <v>1.4999999999999999E-2</v>
      </c>
      <c r="AK33" s="36">
        <v>1.7000000000000001E-2</v>
      </c>
      <c r="AL33" s="36">
        <v>1.7000000000000001E-2</v>
      </c>
      <c r="AM33" s="36">
        <v>2.9000000000000001E-2</v>
      </c>
      <c r="AN33" s="8"/>
      <c r="AO33" s="8"/>
      <c r="AP33" s="40">
        <v>0.01</v>
      </c>
      <c r="AQ33" s="36">
        <v>1E-3</v>
      </c>
      <c r="AR33" s="36">
        <v>0</v>
      </c>
      <c r="AS33" s="36">
        <v>3.0000000000000001E-3</v>
      </c>
      <c r="AT33" s="36">
        <v>0</v>
      </c>
      <c r="AU33" s="8"/>
      <c r="AV33" s="8"/>
      <c r="AW33" s="24">
        <v>34.799999999999997</v>
      </c>
      <c r="AX33" s="24">
        <v>21.7</v>
      </c>
      <c r="AY33" s="24">
        <v>24.3</v>
      </c>
      <c r="AZ33" s="24">
        <v>18.899999999999999</v>
      </c>
      <c r="BA33" s="24">
        <v>27</v>
      </c>
      <c r="BB33" s="8"/>
      <c r="BC33" s="8"/>
      <c r="BD33" s="36">
        <v>0.97099999999999997</v>
      </c>
      <c r="BE33" s="36">
        <v>0.97299999999999998</v>
      </c>
      <c r="BF33" s="36">
        <v>0.98699999999999999</v>
      </c>
      <c r="BG33" s="36">
        <v>0.98599999999999999</v>
      </c>
      <c r="BH33" s="36">
        <v>0.98499999999999999</v>
      </c>
      <c r="BI33" s="8"/>
      <c r="BJ33" s="8"/>
      <c r="BK33" s="40">
        <v>0.39</v>
      </c>
      <c r="BL33" s="36">
        <v>0.317</v>
      </c>
      <c r="BM33" s="36">
        <v>0.34499999999999997</v>
      </c>
      <c r="BN33" s="36">
        <v>0.34100000000000003</v>
      </c>
      <c r="BO33" s="36">
        <v>0.38600000000000001</v>
      </c>
      <c r="BP33" s="8"/>
      <c r="BQ33" s="8"/>
      <c r="BR33" s="40">
        <v>7.0000000000000007E-2</v>
      </c>
      <c r="BS33" s="36">
        <v>6.8000000000000005E-2</v>
      </c>
      <c r="BT33" s="36">
        <v>6.8000000000000005E-2</v>
      </c>
      <c r="BU33" s="36">
        <v>6.5000000000000002E-2</v>
      </c>
      <c r="BV33" s="36">
        <v>6.7000000000000004E-2</v>
      </c>
      <c r="BW33" s="8"/>
      <c r="BX33" s="8"/>
      <c r="BY33" s="24">
        <v>8</v>
      </c>
      <c r="BZ33" s="24">
        <v>6</v>
      </c>
      <c r="CA33" s="24">
        <v>10</v>
      </c>
      <c r="CB33" s="24">
        <v>9</v>
      </c>
      <c r="CC33" s="24">
        <v>15</v>
      </c>
      <c r="CD33" s="8"/>
      <c r="CE33" s="8"/>
      <c r="CF33" s="24" t="s">
        <v>316</v>
      </c>
      <c r="CG33" s="24" t="s">
        <v>316</v>
      </c>
      <c r="CH33" s="24" t="s">
        <v>152</v>
      </c>
      <c r="CI33" s="24" t="s">
        <v>143</v>
      </c>
      <c r="CJ33" s="24" t="s">
        <v>189</v>
      </c>
      <c r="CK33" s="8"/>
      <c r="CL33" s="8"/>
      <c r="CM33" s="24" t="s">
        <v>317</v>
      </c>
      <c r="CN33" s="24" t="s">
        <v>551</v>
      </c>
      <c r="CO33" s="24" t="s">
        <v>638</v>
      </c>
      <c r="CP33" s="24" t="s">
        <v>733</v>
      </c>
      <c r="CQ33" s="8"/>
      <c r="CR33" s="8"/>
      <c r="CS33" s="24" t="s">
        <v>318</v>
      </c>
      <c r="CT33" s="36">
        <v>6.7000000000000004E-2</v>
      </c>
      <c r="CU33" s="8"/>
      <c r="CV33" s="8"/>
      <c r="CW33" s="8"/>
      <c r="CX33" s="8"/>
      <c r="CY33" s="8"/>
      <c r="CZ33" s="8"/>
    </row>
    <row r="34" spans="1:104" ht="15.75" customHeight="1">
      <c r="A34" s="47">
        <v>46015</v>
      </c>
      <c r="B34" s="42" t="s">
        <v>734</v>
      </c>
      <c r="C34" s="24" t="s">
        <v>553</v>
      </c>
      <c r="D34" s="24" t="s">
        <v>320</v>
      </c>
      <c r="E34" s="8"/>
      <c r="F34" s="24" t="s">
        <v>321</v>
      </c>
      <c r="G34" s="24" t="s">
        <v>322</v>
      </c>
      <c r="H34" s="24" t="s">
        <v>323</v>
      </c>
      <c r="I34" s="24" t="s">
        <v>45</v>
      </c>
      <c r="J34" s="24" t="s">
        <v>46</v>
      </c>
      <c r="K34" s="24" t="s">
        <v>324</v>
      </c>
      <c r="L34" s="61">
        <v>45718</v>
      </c>
      <c r="M34" s="36">
        <v>0.109</v>
      </c>
      <c r="N34" s="36">
        <v>0.54300000000000004</v>
      </c>
      <c r="O34" s="36">
        <v>0.745</v>
      </c>
      <c r="P34" s="36">
        <v>6.3E-2</v>
      </c>
      <c r="Q34" s="36">
        <v>0.46500000000000002</v>
      </c>
      <c r="R34" s="8"/>
      <c r="S34" s="8"/>
      <c r="T34" s="8"/>
      <c r="U34" s="40">
        <v>0.11</v>
      </c>
      <c r="V34" s="36">
        <v>1.4E-2</v>
      </c>
      <c r="W34" s="36">
        <v>0.61199999999999999</v>
      </c>
      <c r="X34" s="36">
        <v>0.11600000000000001</v>
      </c>
      <c r="Y34" s="8"/>
      <c r="Z34" s="8"/>
      <c r="AA34" s="8"/>
      <c r="AB34" s="36">
        <v>0.34399999999999997</v>
      </c>
      <c r="AC34" s="36">
        <v>0.24099999999999999</v>
      </c>
      <c r="AD34" s="36">
        <v>0.32500000000000001</v>
      </c>
      <c r="AE34" s="36">
        <v>0.41899999999999998</v>
      </c>
      <c r="AF34" s="8"/>
      <c r="AG34" s="8"/>
      <c r="AH34" s="8"/>
      <c r="AI34" s="36">
        <v>3.0000000000000001E-3</v>
      </c>
      <c r="AJ34" s="40">
        <v>0</v>
      </c>
      <c r="AK34" s="36">
        <v>0</v>
      </c>
      <c r="AL34" s="36">
        <v>0</v>
      </c>
      <c r="AM34" s="8"/>
      <c r="AN34" s="8"/>
      <c r="AO34" s="8"/>
      <c r="AP34" s="40">
        <v>0</v>
      </c>
      <c r="AQ34" s="40">
        <v>0</v>
      </c>
      <c r="AR34" s="36">
        <v>0</v>
      </c>
      <c r="AS34" s="36">
        <v>0</v>
      </c>
      <c r="AT34" s="8"/>
      <c r="AU34" s="8"/>
      <c r="AV34" s="8"/>
      <c r="AW34" s="24">
        <v>45.8</v>
      </c>
      <c r="AX34" s="24">
        <v>21.5</v>
      </c>
      <c r="AY34" s="24">
        <v>123.9</v>
      </c>
      <c r="AZ34" s="24">
        <v>52.1</v>
      </c>
      <c r="BA34" s="8"/>
      <c r="BB34" s="8"/>
      <c r="BC34" s="8"/>
      <c r="BD34" s="36">
        <v>0.98199999999999998</v>
      </c>
      <c r="BE34" s="36">
        <v>0.99399999999999999</v>
      </c>
      <c r="BF34" s="36">
        <v>0.90800000000000003</v>
      </c>
      <c r="BG34" s="36">
        <v>0.97799999999999998</v>
      </c>
      <c r="BH34" s="8"/>
      <c r="BI34" s="8"/>
      <c r="BJ34" s="8"/>
      <c r="BK34" s="36">
        <v>0.28599999999999998</v>
      </c>
      <c r="BL34" s="36">
        <v>0.25</v>
      </c>
      <c r="BM34" s="36">
        <v>0.19400000000000001</v>
      </c>
      <c r="BN34" s="36">
        <v>0.27400000000000002</v>
      </c>
      <c r="BO34" s="8"/>
      <c r="BP34" s="8"/>
      <c r="BQ34" s="8"/>
      <c r="BR34" s="36">
        <v>7.6999999999999999E-2</v>
      </c>
      <c r="BS34" s="36">
        <v>7.0000000000000007E-2</v>
      </c>
      <c r="BT34" s="36">
        <v>9.6000000000000002E-2</v>
      </c>
      <c r="BU34" s="36">
        <v>7.9000000000000001E-2</v>
      </c>
      <c r="BV34" s="8"/>
      <c r="BW34" s="8"/>
      <c r="BX34" s="8"/>
      <c r="BY34" s="24">
        <v>1</v>
      </c>
      <c r="BZ34" s="24">
        <v>0</v>
      </c>
      <c r="CA34" s="24">
        <v>0</v>
      </c>
      <c r="CB34" s="24">
        <v>0</v>
      </c>
      <c r="CC34" s="8"/>
      <c r="CD34" s="8"/>
      <c r="CE34" s="8"/>
      <c r="CF34" s="24" t="s">
        <v>325</v>
      </c>
      <c r="CG34" s="24" t="s">
        <v>554</v>
      </c>
      <c r="CH34" s="24" t="s">
        <v>112</v>
      </c>
      <c r="CI34" s="24" t="s">
        <v>112</v>
      </c>
      <c r="CJ34" s="8"/>
      <c r="CK34" s="8"/>
      <c r="CL34" s="8"/>
      <c r="CM34" s="24" t="s">
        <v>326</v>
      </c>
      <c r="CN34" s="24" t="s">
        <v>326</v>
      </c>
      <c r="CO34" s="24" t="s">
        <v>735</v>
      </c>
      <c r="CP34" s="8"/>
      <c r="CQ34" s="8"/>
      <c r="CR34" s="8"/>
      <c r="CS34" s="24" t="s">
        <v>327</v>
      </c>
      <c r="CT34" s="36">
        <v>0.10100000000000001</v>
      </c>
      <c r="CU34" s="8"/>
      <c r="CV34" s="8"/>
      <c r="CW34" s="8"/>
      <c r="CX34" s="8"/>
      <c r="CY34" s="8"/>
      <c r="CZ34" s="8"/>
    </row>
    <row r="35" spans="1:104" ht="15.75" customHeight="1">
      <c r="A35" s="47">
        <v>46017</v>
      </c>
      <c r="B35" s="42" t="s">
        <v>736</v>
      </c>
      <c r="C35" s="24" t="s">
        <v>88</v>
      </c>
      <c r="D35" s="24" t="s">
        <v>329</v>
      </c>
      <c r="E35" s="24" t="s">
        <v>330</v>
      </c>
      <c r="F35" s="8"/>
      <c r="G35" s="24" t="s">
        <v>331</v>
      </c>
      <c r="H35" s="24" t="s">
        <v>88</v>
      </c>
      <c r="I35" s="24" t="s">
        <v>332</v>
      </c>
      <c r="J35" s="24" t="s">
        <v>46</v>
      </c>
      <c r="K35" s="24" t="s">
        <v>333</v>
      </c>
      <c r="L35" s="61">
        <v>46083</v>
      </c>
      <c r="M35" s="36">
        <v>9.4E-2</v>
      </c>
      <c r="N35" s="36">
        <v>0.89400000000000002</v>
      </c>
      <c r="O35" s="24">
        <v>85.8</v>
      </c>
      <c r="P35" s="40">
        <v>0.83</v>
      </c>
      <c r="Q35" s="24">
        <v>84.25</v>
      </c>
      <c r="R35" s="8"/>
      <c r="S35" s="8"/>
      <c r="T35" s="8"/>
      <c r="U35" s="36">
        <v>3.0000000000000001E-3</v>
      </c>
      <c r="V35" s="36">
        <v>7.0000000000000001E-3</v>
      </c>
      <c r="W35" s="36">
        <v>1E-3</v>
      </c>
      <c r="X35" s="36">
        <v>0</v>
      </c>
      <c r="Y35" s="8"/>
      <c r="Z35" s="8"/>
      <c r="AA35" s="8"/>
      <c r="AB35" s="40">
        <v>7.0000000000000007E-2</v>
      </c>
      <c r="AC35" s="40">
        <v>6.4000000000000001E-2</v>
      </c>
      <c r="AD35" s="36">
        <v>4.7E-2</v>
      </c>
      <c r="AE35" s="36">
        <v>4.3999999999999997E-2</v>
      </c>
      <c r="AF35" s="8"/>
      <c r="AG35" s="8"/>
      <c r="AH35" s="8"/>
      <c r="AI35" s="36">
        <v>2.8000000000000001E-2</v>
      </c>
      <c r="AJ35" s="36">
        <v>6.2E-2</v>
      </c>
      <c r="AK35" s="36">
        <v>7.8E-2</v>
      </c>
      <c r="AL35" s="36">
        <v>9.0999999999999998E-2</v>
      </c>
      <c r="AM35" s="8"/>
      <c r="AN35" s="8"/>
      <c r="AO35" s="8"/>
      <c r="AP35" s="36">
        <v>5.0000000000000001E-3</v>
      </c>
      <c r="AQ35" s="36">
        <v>8.9999999999999993E-3</v>
      </c>
      <c r="AR35" s="36">
        <v>4.3999999999999997E-2</v>
      </c>
      <c r="AS35" s="36">
        <v>2.3E-2</v>
      </c>
      <c r="AT35" s="8"/>
      <c r="AU35" s="8"/>
      <c r="AV35" s="8"/>
      <c r="AW35" s="24">
        <v>14.3</v>
      </c>
      <c r="AX35" s="24">
        <v>23.8</v>
      </c>
      <c r="AY35" s="24">
        <v>35.799999999999997</v>
      </c>
      <c r="AZ35" s="24">
        <v>32.299999999999997</v>
      </c>
      <c r="BA35" s="8"/>
      <c r="BB35" s="8"/>
      <c r="BC35" s="8"/>
      <c r="BD35" s="40">
        <v>0.26</v>
      </c>
      <c r="BE35" s="36">
        <v>0.39600000000000002</v>
      </c>
      <c r="BF35" s="36">
        <v>0.60599999999999998</v>
      </c>
      <c r="BG35" s="36">
        <v>0.79300000000000004</v>
      </c>
      <c r="BH35" s="8"/>
      <c r="BI35" s="8"/>
      <c r="BJ35" s="8"/>
      <c r="BK35" s="36">
        <v>0.28699999999999998</v>
      </c>
      <c r="BL35" s="36">
        <v>0.32200000000000001</v>
      </c>
      <c r="BM35" s="36">
        <v>0.34200000000000003</v>
      </c>
      <c r="BN35" s="36">
        <v>0.32400000000000001</v>
      </c>
      <c r="BO35" s="8"/>
      <c r="BP35" s="8"/>
      <c r="BQ35" s="8"/>
      <c r="BR35" s="36">
        <v>6.2E-2</v>
      </c>
      <c r="BS35" s="24">
        <v>0</v>
      </c>
      <c r="BT35" s="36">
        <v>0.06</v>
      </c>
      <c r="BU35" s="36">
        <v>5.8999999999999997E-2</v>
      </c>
      <c r="BV35" s="8"/>
      <c r="BW35" s="8"/>
      <c r="BX35" s="8"/>
      <c r="BY35" s="24">
        <v>11</v>
      </c>
      <c r="BZ35" s="24">
        <v>12</v>
      </c>
      <c r="CA35" s="24">
        <v>25</v>
      </c>
      <c r="CB35" s="24">
        <v>26</v>
      </c>
      <c r="CC35" s="8"/>
      <c r="CD35" s="8"/>
      <c r="CE35" s="8"/>
      <c r="CF35" s="24" t="s">
        <v>325</v>
      </c>
      <c r="CG35" s="24" t="s">
        <v>608</v>
      </c>
      <c r="CH35" s="24" t="s">
        <v>737</v>
      </c>
      <c r="CI35" s="24" t="s">
        <v>738</v>
      </c>
      <c r="CJ35" s="8"/>
      <c r="CK35" s="8"/>
      <c r="CL35" s="8"/>
      <c r="CM35" s="24" t="s">
        <v>334</v>
      </c>
      <c r="CN35" s="24" t="s">
        <v>609</v>
      </c>
      <c r="CO35" s="24" t="s">
        <v>739</v>
      </c>
      <c r="CP35" s="8"/>
      <c r="CQ35" s="8"/>
      <c r="CR35" s="8"/>
      <c r="CS35" s="24" t="s">
        <v>610</v>
      </c>
      <c r="CT35" s="36">
        <v>7.0499999999999993E-2</v>
      </c>
      <c r="CU35" s="8"/>
      <c r="CV35" s="8"/>
      <c r="CW35" s="8"/>
      <c r="CX35" s="8"/>
      <c r="CY35" s="8"/>
      <c r="CZ35" s="8"/>
    </row>
    <row r="36" spans="1:104" ht="15.75" customHeight="1">
      <c r="A36" s="24" t="s">
        <v>335</v>
      </c>
      <c r="B36" s="42" t="s">
        <v>740</v>
      </c>
      <c r="C36" s="24" t="s">
        <v>205</v>
      </c>
      <c r="D36" s="24" t="s">
        <v>337</v>
      </c>
      <c r="E36" s="24" t="s">
        <v>338</v>
      </c>
      <c r="F36" s="8"/>
      <c r="G36" s="24" t="s">
        <v>339</v>
      </c>
      <c r="H36" s="24" t="s">
        <v>58</v>
      </c>
      <c r="I36" s="24" t="s">
        <v>73</v>
      </c>
      <c r="J36" s="24" t="s">
        <v>340</v>
      </c>
      <c r="K36" s="24" t="s">
        <v>341</v>
      </c>
      <c r="L36" s="61">
        <v>46083</v>
      </c>
      <c r="M36" s="36">
        <v>0.109</v>
      </c>
      <c r="N36" s="36">
        <v>0.41399999999999998</v>
      </c>
      <c r="O36" s="36">
        <v>0.66500000000000004</v>
      </c>
      <c r="P36" s="36">
        <v>0.65100000000000002</v>
      </c>
      <c r="Q36" s="36">
        <v>0.90200000000000002</v>
      </c>
      <c r="R36" s="8"/>
      <c r="S36" s="8"/>
      <c r="T36" s="8"/>
      <c r="U36" s="36">
        <v>0.27700000000000002</v>
      </c>
      <c r="V36" s="36">
        <v>0.14799999999999999</v>
      </c>
      <c r="W36" s="36">
        <v>0.17799999999999999</v>
      </c>
      <c r="X36" s="36">
        <v>1.4999999999999999E-2</v>
      </c>
      <c r="Y36" s="8"/>
      <c r="Z36" s="8"/>
      <c r="AA36" s="8"/>
      <c r="AB36" s="36">
        <v>0.28899999999999998</v>
      </c>
      <c r="AC36" s="36">
        <v>0.17199999999999999</v>
      </c>
      <c r="AD36" s="36">
        <v>0.13500000000000001</v>
      </c>
      <c r="AE36" s="36">
        <v>5.7000000000000002E-2</v>
      </c>
      <c r="AF36" s="8"/>
      <c r="AG36" s="8"/>
      <c r="AH36" s="8"/>
      <c r="AI36" s="40">
        <v>0.02</v>
      </c>
      <c r="AJ36" s="36">
        <v>1.4999999999999999E-2</v>
      </c>
      <c r="AK36" s="36">
        <v>2E-3</v>
      </c>
      <c r="AL36" s="36">
        <v>0.01</v>
      </c>
      <c r="AM36" s="8"/>
      <c r="AN36" s="8"/>
      <c r="AO36" s="8"/>
      <c r="AP36" s="40">
        <v>0</v>
      </c>
      <c r="AQ36" s="40">
        <v>0</v>
      </c>
      <c r="AR36" s="36">
        <v>3.4000000000000002E-2</v>
      </c>
      <c r="AS36" s="36">
        <v>1.6E-2</v>
      </c>
      <c r="AT36" s="8"/>
      <c r="AU36" s="8"/>
      <c r="AV36" s="8"/>
      <c r="AW36" s="24">
        <v>72.2</v>
      </c>
      <c r="AX36" s="24">
        <v>41</v>
      </c>
      <c r="AY36" s="24">
        <v>50</v>
      </c>
      <c r="AZ36" s="24">
        <v>14.2</v>
      </c>
      <c r="BA36" s="8"/>
      <c r="BB36" s="8"/>
      <c r="BC36" s="8"/>
      <c r="BD36" s="36">
        <v>0.72699999999999998</v>
      </c>
      <c r="BE36" s="36">
        <v>0.73699999999999999</v>
      </c>
      <c r="BF36" s="36">
        <v>0.63700000000000001</v>
      </c>
      <c r="BG36" s="36">
        <v>0.77600000000000002</v>
      </c>
      <c r="BH36" s="8"/>
      <c r="BI36" s="8"/>
      <c r="BJ36" s="8"/>
      <c r="BK36" s="36">
        <v>0.41599999999999998</v>
      </c>
      <c r="BL36" s="36">
        <v>0.48799999999999999</v>
      </c>
      <c r="BM36" s="36">
        <v>0.54300000000000004</v>
      </c>
      <c r="BN36" s="36">
        <v>0.32200000000000001</v>
      </c>
      <c r="BO36" s="8"/>
      <c r="BP36" s="8"/>
      <c r="BQ36" s="8"/>
      <c r="BR36" s="36">
        <v>0.08</v>
      </c>
      <c r="BS36" s="36">
        <v>7.2999999999999995E-2</v>
      </c>
      <c r="BT36" s="36">
        <v>7.1999999999999995E-2</v>
      </c>
      <c r="BU36" s="36">
        <v>6.0999999999999999E-2</v>
      </c>
      <c r="BV36" s="8"/>
      <c r="BW36" s="8"/>
      <c r="BX36" s="8"/>
      <c r="BY36" s="24">
        <v>7</v>
      </c>
      <c r="BZ36" s="24">
        <v>7</v>
      </c>
      <c r="CA36" s="24">
        <v>2</v>
      </c>
      <c r="CB36" s="24">
        <v>6</v>
      </c>
      <c r="CC36" s="8"/>
      <c r="CD36" s="8"/>
      <c r="CE36" s="8"/>
      <c r="CF36" s="24" t="s">
        <v>316</v>
      </c>
      <c r="CG36" s="24" t="s">
        <v>143</v>
      </c>
      <c r="CH36" s="24" t="s">
        <v>741</v>
      </c>
      <c r="CI36" s="24" t="s">
        <v>742</v>
      </c>
      <c r="CJ36" s="8"/>
      <c r="CK36" s="8"/>
      <c r="CL36" s="8"/>
      <c r="CM36" s="24" t="s">
        <v>342</v>
      </c>
      <c r="CN36" s="24" t="s">
        <v>343</v>
      </c>
      <c r="CO36" s="24" t="s">
        <v>612</v>
      </c>
      <c r="CP36" s="24" t="s">
        <v>743</v>
      </c>
      <c r="CQ36" s="8"/>
      <c r="CR36" s="8"/>
      <c r="CS36" s="8"/>
      <c r="CT36" s="24" t="s">
        <v>661</v>
      </c>
      <c r="CU36" s="8"/>
      <c r="CV36" s="8"/>
      <c r="CW36" s="8"/>
      <c r="CX36" s="8"/>
      <c r="CY36" s="8"/>
      <c r="CZ36" s="8"/>
    </row>
    <row r="37" spans="1:104" ht="15.75" customHeight="1">
      <c r="A37" s="63">
        <v>46036</v>
      </c>
      <c r="B37" s="65" t="s">
        <v>744</v>
      </c>
      <c r="C37" s="24" t="s">
        <v>553</v>
      </c>
      <c r="D37" s="24" t="s">
        <v>349</v>
      </c>
      <c r="E37" s="8"/>
      <c r="F37" s="24" t="s">
        <v>350</v>
      </c>
      <c r="G37" s="24" t="s">
        <v>351</v>
      </c>
      <c r="H37" s="24" t="s">
        <v>323</v>
      </c>
      <c r="I37" s="24" t="s">
        <v>73</v>
      </c>
      <c r="J37" s="24" t="s">
        <v>340</v>
      </c>
      <c r="K37" s="24" t="s">
        <v>352</v>
      </c>
      <c r="L37" s="61">
        <v>46083</v>
      </c>
      <c r="M37" s="36">
        <v>0.13100000000000001</v>
      </c>
      <c r="N37" s="36">
        <v>0.51900000000000002</v>
      </c>
      <c r="O37" s="40">
        <v>0.65</v>
      </c>
      <c r="P37" s="36">
        <v>0.85499999999999998</v>
      </c>
      <c r="Q37" s="36">
        <v>0.86799999999999999</v>
      </c>
      <c r="R37" s="8"/>
      <c r="S37" s="8"/>
      <c r="T37" s="8"/>
      <c r="U37" s="36">
        <v>0.20899999999999999</v>
      </c>
      <c r="V37" s="36">
        <v>0.19600000000000001</v>
      </c>
      <c r="W37" s="40">
        <v>0.02</v>
      </c>
      <c r="X37" s="36">
        <v>1.7000000000000001E-2</v>
      </c>
      <c r="Y37" s="8"/>
      <c r="Z37" s="8"/>
      <c r="AA37" s="8"/>
      <c r="AB37" s="36">
        <v>0.27200000000000002</v>
      </c>
      <c r="AC37" s="36">
        <v>0.153</v>
      </c>
      <c r="AD37" s="36">
        <v>0.108</v>
      </c>
      <c r="AE37" s="36">
        <v>0.09</v>
      </c>
      <c r="AF37" s="8"/>
      <c r="AG37" s="8"/>
      <c r="AH37" s="8"/>
      <c r="AI37" s="40">
        <v>0</v>
      </c>
      <c r="AJ37" s="36">
        <v>1E-3</v>
      </c>
      <c r="AK37" s="36">
        <v>1.6E-2</v>
      </c>
      <c r="AL37" s="36">
        <v>2.5000000000000001E-2</v>
      </c>
      <c r="AM37" s="8"/>
      <c r="AN37" s="8"/>
      <c r="AO37" s="8"/>
      <c r="AP37" s="40">
        <v>0</v>
      </c>
      <c r="AQ37" s="40">
        <v>0</v>
      </c>
      <c r="AR37" s="36">
        <v>1E-3</v>
      </c>
      <c r="AS37" s="36">
        <v>0</v>
      </c>
      <c r="AT37" s="8"/>
      <c r="AU37" s="8"/>
      <c r="AV37" s="8"/>
      <c r="AW37" s="24">
        <v>55.2</v>
      </c>
      <c r="AX37" s="24">
        <v>43.8</v>
      </c>
      <c r="AY37" s="24">
        <v>16</v>
      </c>
      <c r="AZ37" s="24">
        <v>15.9</v>
      </c>
      <c r="BA37" s="8"/>
      <c r="BB37" s="8"/>
      <c r="BC37" s="8"/>
      <c r="BD37" s="40">
        <v>0.6</v>
      </c>
      <c r="BE37" s="40">
        <v>0.52</v>
      </c>
      <c r="BF37" s="36">
        <v>0.63100000000000001</v>
      </c>
      <c r="BG37" s="36">
        <v>0.68100000000000005</v>
      </c>
      <c r="BH37" s="8"/>
      <c r="BI37" s="8"/>
      <c r="BJ37" s="8"/>
      <c r="BK37" s="36">
        <v>0.38400000000000001</v>
      </c>
      <c r="BL37" s="36">
        <v>0.40799999999999997</v>
      </c>
      <c r="BM37" s="36">
        <v>0.35399999999999998</v>
      </c>
      <c r="BN37" s="36">
        <v>0.35799999999999998</v>
      </c>
      <c r="BO37" s="8"/>
      <c r="BP37" s="8"/>
      <c r="BQ37" s="8"/>
      <c r="BR37" s="36">
        <v>7.9000000000000001E-2</v>
      </c>
      <c r="BS37" s="36">
        <v>7.4999999999999997E-2</v>
      </c>
      <c r="BT37" s="36">
        <v>6.3E-2</v>
      </c>
      <c r="BU37" s="36">
        <v>6.3E-2</v>
      </c>
      <c r="BV37" s="8"/>
      <c r="BW37" s="8"/>
      <c r="BX37" s="8"/>
      <c r="BY37" s="24">
        <v>0</v>
      </c>
      <c r="BZ37" s="24">
        <v>0</v>
      </c>
      <c r="CA37" s="24">
        <v>6</v>
      </c>
      <c r="CB37" s="24">
        <v>8</v>
      </c>
      <c r="CC37" s="8"/>
      <c r="CD37" s="8"/>
      <c r="CE37" s="8"/>
      <c r="CF37" s="24" t="s">
        <v>112</v>
      </c>
      <c r="CG37" s="24" t="s">
        <v>112</v>
      </c>
      <c r="CH37" s="24" t="s">
        <v>171</v>
      </c>
      <c r="CI37" s="24" t="s">
        <v>270</v>
      </c>
      <c r="CJ37" s="8"/>
      <c r="CK37" s="8"/>
      <c r="CL37" s="8"/>
      <c r="CM37" s="24" t="s">
        <v>556</v>
      </c>
      <c r="CN37" s="24" t="s">
        <v>640</v>
      </c>
      <c r="CO37" s="24" t="s">
        <v>745</v>
      </c>
      <c r="CP37" s="8"/>
      <c r="CQ37" s="8"/>
      <c r="CR37" s="8"/>
      <c r="CS37" s="24" t="s">
        <v>641</v>
      </c>
      <c r="CT37" s="24" t="s">
        <v>679</v>
      </c>
      <c r="CU37" s="8"/>
      <c r="CV37" s="8"/>
      <c r="CW37" s="8"/>
      <c r="CX37" s="8"/>
      <c r="CY37" s="8"/>
      <c r="CZ37" s="8"/>
    </row>
    <row r="38" spans="1:104" ht="15.75" customHeight="1">
      <c r="A38" s="63">
        <v>46037</v>
      </c>
      <c r="B38" s="31" t="s">
        <v>746</v>
      </c>
      <c r="C38" s="24" t="s">
        <v>128</v>
      </c>
      <c r="D38" s="24" t="s">
        <v>354</v>
      </c>
      <c r="E38" s="8"/>
      <c r="F38" s="24" t="s">
        <v>355</v>
      </c>
      <c r="G38" s="24" t="s">
        <v>356</v>
      </c>
      <c r="H38" s="24" t="s">
        <v>58</v>
      </c>
      <c r="I38" s="24" t="s">
        <v>73</v>
      </c>
      <c r="J38" s="24" t="s">
        <v>46</v>
      </c>
      <c r="K38" s="24" t="s">
        <v>357</v>
      </c>
      <c r="L38" s="24">
        <v>6</v>
      </c>
      <c r="M38" s="36">
        <v>0.11600000000000001</v>
      </c>
      <c r="N38" s="36">
        <v>0.72299999999999998</v>
      </c>
      <c r="O38" s="40">
        <v>0.79</v>
      </c>
      <c r="P38" s="8"/>
      <c r="Q38" s="8"/>
      <c r="R38" s="8"/>
      <c r="S38" s="8"/>
      <c r="T38" s="8"/>
      <c r="U38" s="36">
        <v>5.6000000000000001E-2</v>
      </c>
      <c r="V38" s="36">
        <v>3.5000000000000003E-2</v>
      </c>
      <c r="W38" s="8"/>
      <c r="X38" s="8"/>
      <c r="Y38" s="8"/>
      <c r="Z38" s="8"/>
      <c r="AA38" s="8"/>
      <c r="AB38" s="36">
        <v>0.20799999999999999</v>
      </c>
      <c r="AC38" s="36">
        <v>0.16300000000000001</v>
      </c>
      <c r="AD38" s="8"/>
      <c r="AE38" s="8"/>
      <c r="AF38" s="8"/>
      <c r="AG38" s="8"/>
      <c r="AH38" s="8"/>
      <c r="AI38" s="36">
        <v>8.9999999999999993E-3</v>
      </c>
      <c r="AJ38" s="36">
        <v>1.2E-2</v>
      </c>
      <c r="AK38" s="8"/>
      <c r="AL38" s="8"/>
      <c r="AM38" s="8"/>
      <c r="AN38" s="8"/>
      <c r="AO38" s="8"/>
      <c r="AP38" s="36">
        <v>4.0000000000000001E-3</v>
      </c>
      <c r="AQ38" s="36">
        <v>0</v>
      </c>
      <c r="AR38" s="8"/>
      <c r="AS38" s="8"/>
      <c r="AT38" s="8"/>
      <c r="AU38" s="8"/>
      <c r="AV38" s="8"/>
      <c r="AW38" s="24">
        <v>29</v>
      </c>
      <c r="AX38" s="24">
        <v>21.5</v>
      </c>
      <c r="AY38" s="8"/>
      <c r="AZ38" s="8"/>
      <c r="BA38" s="8"/>
      <c r="BB38" s="8"/>
      <c r="BC38" s="8"/>
      <c r="BD38" s="36">
        <v>0.56200000000000006</v>
      </c>
      <c r="BE38" s="36">
        <v>0.77500000000000002</v>
      </c>
      <c r="BF38" s="8"/>
      <c r="BG38" s="8"/>
      <c r="BH38" s="8"/>
      <c r="BI38" s="8"/>
      <c r="BJ38" s="8"/>
      <c r="BK38" s="36">
        <v>0.35499999999999998</v>
      </c>
      <c r="BL38" s="36">
        <v>0.34499999999999997</v>
      </c>
      <c r="BM38" s="8"/>
      <c r="BN38" s="8"/>
      <c r="BO38" s="8"/>
      <c r="BP38" s="8"/>
      <c r="BQ38" s="8"/>
      <c r="BR38" s="36">
        <v>6.9000000000000006E-2</v>
      </c>
      <c r="BS38" s="36">
        <v>6.7000000000000004E-2</v>
      </c>
      <c r="BT38" s="8"/>
      <c r="BU38" s="8"/>
      <c r="BV38" s="8"/>
      <c r="BW38" s="8"/>
      <c r="BX38" s="8"/>
      <c r="BY38" s="24">
        <v>5</v>
      </c>
      <c r="BZ38" s="24">
        <v>4</v>
      </c>
      <c r="CA38" s="8"/>
      <c r="CB38" s="8"/>
      <c r="CC38" s="8"/>
      <c r="CD38" s="8"/>
      <c r="CE38" s="8"/>
      <c r="CF38" s="24" t="s">
        <v>558</v>
      </c>
      <c r="CG38" s="24" t="s">
        <v>747</v>
      </c>
      <c r="CH38" s="8"/>
      <c r="CI38" s="8"/>
      <c r="CJ38" s="8"/>
      <c r="CK38" s="8"/>
      <c r="CL38" s="8"/>
      <c r="CM38" s="24" t="s">
        <v>559</v>
      </c>
      <c r="CN38" s="8"/>
      <c r="CO38" s="8"/>
      <c r="CP38" s="8"/>
      <c r="CQ38" s="8"/>
      <c r="CR38" s="8"/>
      <c r="CS38" s="8"/>
      <c r="CT38" s="24" t="s">
        <v>679</v>
      </c>
      <c r="CU38" s="8"/>
      <c r="CV38" s="8"/>
      <c r="CW38" s="8"/>
      <c r="CX38" s="8"/>
      <c r="CY38" s="8"/>
      <c r="CZ38" s="8"/>
    </row>
    <row r="39" spans="1:104" ht="18.75" customHeight="1">
      <c r="A39" s="63">
        <v>46050</v>
      </c>
      <c r="B39" s="28" t="s">
        <v>748</v>
      </c>
      <c r="C39" s="24" t="s">
        <v>215</v>
      </c>
      <c r="D39" s="24" t="s">
        <v>560</v>
      </c>
      <c r="E39" s="24" t="s">
        <v>561</v>
      </c>
      <c r="F39" s="8"/>
      <c r="G39" s="24" t="s">
        <v>562</v>
      </c>
      <c r="H39" s="24" t="s">
        <v>499</v>
      </c>
      <c r="I39" s="24" t="s">
        <v>73</v>
      </c>
      <c r="J39" s="24" t="s">
        <v>563</v>
      </c>
      <c r="K39" s="24" t="s">
        <v>749</v>
      </c>
      <c r="L39" s="24">
        <v>3</v>
      </c>
      <c r="M39" s="36">
        <v>6.9900000000000004E-2</v>
      </c>
      <c r="N39" s="36">
        <v>0.89600000000000002</v>
      </c>
      <c r="O39" s="36">
        <v>0.85599999999999998</v>
      </c>
      <c r="P39" s="36">
        <v>0.89600000000000002</v>
      </c>
      <c r="Q39" s="8"/>
      <c r="R39" s="8"/>
      <c r="S39" s="8"/>
      <c r="T39" s="8"/>
      <c r="U39" s="40">
        <v>0</v>
      </c>
      <c r="V39" s="36">
        <v>1.4999999999999999E-2</v>
      </c>
      <c r="W39" s="36">
        <v>8.0000000000000002E-3</v>
      </c>
      <c r="X39" s="8"/>
      <c r="Y39" s="8"/>
      <c r="Z39" s="8"/>
      <c r="AA39" s="8"/>
      <c r="AB39" s="36">
        <v>9.0999999999999998E-2</v>
      </c>
      <c r="AC39" s="36">
        <v>0.11899999999999999</v>
      </c>
      <c r="AD39" s="36">
        <v>8.1000000000000003E-2</v>
      </c>
      <c r="AE39" s="8"/>
      <c r="AF39" s="8"/>
      <c r="AG39" s="8"/>
      <c r="AH39" s="8"/>
      <c r="AI39" s="36">
        <v>1.2999999999999999E-2</v>
      </c>
      <c r="AJ39" s="36">
        <v>0.01</v>
      </c>
      <c r="AK39" s="36">
        <v>1.4999999999999999E-2</v>
      </c>
      <c r="AL39" s="8"/>
      <c r="AM39" s="8"/>
      <c r="AN39" s="8"/>
      <c r="AO39" s="8"/>
      <c r="AP39" s="36">
        <v>0</v>
      </c>
      <c r="AQ39" s="36">
        <v>0</v>
      </c>
      <c r="AR39" s="36">
        <v>0</v>
      </c>
      <c r="AS39" s="8"/>
      <c r="AT39" s="8"/>
      <c r="AU39" s="8"/>
      <c r="AV39" s="8"/>
      <c r="AW39" s="24">
        <v>10.4</v>
      </c>
      <c r="AX39" s="24">
        <v>14.3</v>
      </c>
      <c r="AY39" s="24">
        <v>11.4</v>
      </c>
      <c r="AZ39" s="8"/>
      <c r="BA39" s="8"/>
      <c r="BB39" s="8"/>
      <c r="BC39" s="8"/>
      <c r="BD39" s="36">
        <v>0.90300000000000002</v>
      </c>
      <c r="BE39" s="36">
        <v>0.96799999999999997</v>
      </c>
      <c r="BF39" s="36">
        <v>0.96399999999999997</v>
      </c>
      <c r="BG39" s="8"/>
      <c r="BH39" s="8"/>
      <c r="BI39" s="8"/>
      <c r="BJ39" s="8"/>
      <c r="BK39" s="36">
        <v>0.28999999999999998</v>
      </c>
      <c r="BL39" s="36">
        <v>0.313</v>
      </c>
      <c r="BM39" s="36">
        <v>0.29099999999999998</v>
      </c>
      <c r="BN39" s="8"/>
      <c r="BO39" s="8"/>
      <c r="BP39" s="8"/>
      <c r="BQ39" s="8"/>
      <c r="BR39" s="36">
        <v>6.3E-2</v>
      </c>
      <c r="BS39" s="36">
        <v>6.5000000000000002E-2</v>
      </c>
      <c r="BT39" s="36">
        <v>6.3E-2</v>
      </c>
      <c r="BU39" s="8"/>
      <c r="BV39" s="8"/>
      <c r="BW39" s="8"/>
      <c r="BX39" s="8"/>
      <c r="BY39" s="24">
        <v>6</v>
      </c>
      <c r="BZ39" s="24">
        <v>4</v>
      </c>
      <c r="CA39" s="24">
        <v>9</v>
      </c>
      <c r="CB39" s="8"/>
      <c r="CC39" s="8"/>
      <c r="CD39" s="8"/>
      <c r="CE39" s="8"/>
      <c r="CF39" s="24" t="s">
        <v>48</v>
      </c>
      <c r="CG39" s="24" t="s">
        <v>188</v>
      </c>
      <c r="CH39" s="24" t="s">
        <v>750</v>
      </c>
      <c r="CI39" s="8"/>
      <c r="CJ39" s="8"/>
      <c r="CK39" s="8"/>
      <c r="CL39" s="8"/>
      <c r="CM39" s="24" t="s">
        <v>643</v>
      </c>
      <c r="CN39" s="24" t="s">
        <v>751</v>
      </c>
      <c r="CO39" s="8"/>
      <c r="CP39" s="8"/>
      <c r="CQ39" s="8"/>
      <c r="CR39" s="8"/>
      <c r="CS39" s="8"/>
      <c r="CT39" s="24" t="s">
        <v>752</v>
      </c>
      <c r="CU39" s="8"/>
      <c r="CV39" s="8"/>
      <c r="CW39" s="8"/>
      <c r="CX39" s="8"/>
      <c r="CY39" s="8"/>
      <c r="CZ39" s="8"/>
    </row>
    <row r="40" spans="1:104" ht="15.75" customHeight="1">
      <c r="A40" s="74">
        <v>46052</v>
      </c>
      <c r="B40" s="28" t="s">
        <v>753</v>
      </c>
      <c r="C40" s="24" t="s">
        <v>88</v>
      </c>
      <c r="D40" s="24" t="s">
        <v>565</v>
      </c>
      <c r="E40" s="8"/>
      <c r="F40" s="24" t="s">
        <v>566</v>
      </c>
      <c r="G40" s="24" t="s">
        <v>567</v>
      </c>
      <c r="H40" s="24" t="s">
        <v>88</v>
      </c>
      <c r="I40" s="24" t="s">
        <v>45</v>
      </c>
      <c r="J40" s="24" t="s">
        <v>563</v>
      </c>
      <c r="K40" s="24" t="s">
        <v>568</v>
      </c>
      <c r="L40" s="24">
        <v>6</v>
      </c>
      <c r="M40" s="36">
        <v>0.13800000000000001</v>
      </c>
      <c r="N40" s="36">
        <v>0.47199999999999998</v>
      </c>
      <c r="O40" s="36">
        <v>0.96499999999999997</v>
      </c>
      <c r="P40" s="8"/>
      <c r="Q40" s="8"/>
      <c r="R40" s="8"/>
      <c r="S40" s="8"/>
      <c r="T40" s="8"/>
      <c r="U40" s="36">
        <v>0.25600000000000001</v>
      </c>
      <c r="V40" s="36">
        <v>0</v>
      </c>
      <c r="W40" s="8"/>
      <c r="X40" s="8"/>
      <c r="Y40" s="8"/>
      <c r="Z40" s="8"/>
      <c r="AA40" s="8"/>
      <c r="AB40" s="36">
        <v>0.27200000000000002</v>
      </c>
      <c r="AC40" s="36">
        <v>3.3000000000000002E-2</v>
      </c>
      <c r="AD40" s="8"/>
      <c r="AE40" s="8"/>
      <c r="AF40" s="8"/>
      <c r="AG40" s="8"/>
      <c r="AH40" s="8"/>
      <c r="AI40" s="40">
        <v>0</v>
      </c>
      <c r="AJ40" s="36">
        <v>2E-3</v>
      </c>
      <c r="AK40" s="8"/>
      <c r="AL40" s="8"/>
      <c r="AM40" s="8"/>
      <c r="AN40" s="8"/>
      <c r="AO40" s="8"/>
      <c r="AP40" s="40">
        <v>0</v>
      </c>
      <c r="AQ40" s="36">
        <v>0</v>
      </c>
      <c r="AR40" s="8"/>
      <c r="AS40" s="8"/>
      <c r="AT40" s="8"/>
      <c r="AU40" s="8"/>
      <c r="AV40" s="8"/>
      <c r="AW40" s="24">
        <v>62.7</v>
      </c>
      <c r="AX40" s="24">
        <v>3.1</v>
      </c>
      <c r="AY40" s="8"/>
      <c r="AZ40" s="8"/>
      <c r="BA40" s="8"/>
      <c r="BB40" s="8"/>
      <c r="BC40" s="8"/>
      <c r="BD40" s="36">
        <v>0.81899999999999995</v>
      </c>
      <c r="BE40" s="36">
        <v>0.82</v>
      </c>
      <c r="BF40" s="8"/>
      <c r="BG40" s="8"/>
      <c r="BH40" s="8"/>
      <c r="BI40" s="8"/>
      <c r="BJ40" s="8"/>
      <c r="BK40" s="36">
        <v>0.35499999999999998</v>
      </c>
      <c r="BL40" s="36">
        <v>0.221</v>
      </c>
      <c r="BM40" s="8"/>
      <c r="BN40" s="8"/>
      <c r="BO40" s="8"/>
      <c r="BP40" s="8"/>
      <c r="BQ40" s="8"/>
      <c r="BR40" s="36">
        <v>8.2000000000000003E-2</v>
      </c>
      <c r="BS40" s="36">
        <v>6.2E-2</v>
      </c>
      <c r="BT40" s="8"/>
      <c r="BU40" s="8"/>
      <c r="BV40" s="8"/>
      <c r="BW40" s="8"/>
      <c r="BX40" s="8"/>
      <c r="BY40" s="24">
        <v>0</v>
      </c>
      <c r="BZ40" s="24">
        <v>2</v>
      </c>
      <c r="CA40" s="8"/>
      <c r="CB40" s="8"/>
      <c r="CC40" s="8"/>
      <c r="CD40" s="8"/>
      <c r="CE40" s="8"/>
      <c r="CF40" s="24" t="s">
        <v>112</v>
      </c>
      <c r="CG40" s="24" t="s">
        <v>49</v>
      </c>
      <c r="CH40" s="8"/>
      <c r="CI40" s="8"/>
      <c r="CJ40" s="8"/>
      <c r="CK40" s="8"/>
      <c r="CL40" s="8"/>
      <c r="CM40" s="24" t="s">
        <v>754</v>
      </c>
      <c r="CN40" s="8"/>
      <c r="CO40" s="8"/>
      <c r="CP40" s="8"/>
      <c r="CQ40" s="8"/>
      <c r="CR40" s="8"/>
      <c r="CS40" s="8"/>
      <c r="CT40" s="24" t="s">
        <v>755</v>
      </c>
      <c r="CU40" s="8"/>
      <c r="CV40" s="8"/>
      <c r="CW40" s="8"/>
      <c r="CX40" s="8"/>
      <c r="CY40" s="8"/>
      <c r="CZ40" s="8"/>
    </row>
    <row r="41" spans="1:104" ht="19.5" customHeight="1">
      <c r="A41" s="63">
        <v>46079</v>
      </c>
      <c r="B41" s="28" t="s">
        <v>756</v>
      </c>
      <c r="C41" s="24" t="s">
        <v>587</v>
      </c>
      <c r="D41" s="24" t="s">
        <v>757</v>
      </c>
      <c r="E41" s="8"/>
      <c r="F41" s="24" t="s">
        <v>758</v>
      </c>
      <c r="G41" s="24" t="s">
        <v>759</v>
      </c>
      <c r="H41" s="24" t="s">
        <v>58</v>
      </c>
      <c r="I41" s="24" t="s">
        <v>45</v>
      </c>
      <c r="J41" s="24" t="s">
        <v>563</v>
      </c>
      <c r="K41" s="24" t="s">
        <v>760</v>
      </c>
      <c r="L41" s="24">
        <v>6</v>
      </c>
      <c r="M41" s="36">
        <v>9.2999999999999999E-2</v>
      </c>
      <c r="N41" s="36">
        <v>0.20699999999999999</v>
      </c>
      <c r="O41" s="8"/>
      <c r="P41" s="8"/>
      <c r="Q41" s="8"/>
      <c r="R41" s="8"/>
      <c r="S41" s="8"/>
      <c r="T41" s="8"/>
      <c r="U41" s="36">
        <v>0.48299999999999998</v>
      </c>
      <c r="V41" s="8"/>
      <c r="W41" s="8"/>
      <c r="X41" s="8"/>
      <c r="Y41" s="8"/>
      <c r="Z41" s="8"/>
      <c r="AA41" s="8"/>
      <c r="AB41" s="40">
        <v>0.28000000000000003</v>
      </c>
      <c r="AC41" s="8"/>
      <c r="AD41" s="8"/>
      <c r="AE41" s="8"/>
      <c r="AF41" s="8"/>
      <c r="AG41" s="8"/>
      <c r="AH41" s="8"/>
      <c r="AI41" s="36">
        <v>2.1999999999999999E-2</v>
      </c>
      <c r="AJ41" s="8"/>
      <c r="AK41" s="8"/>
      <c r="AL41" s="8"/>
      <c r="AM41" s="8"/>
      <c r="AN41" s="8"/>
      <c r="AO41" s="8"/>
      <c r="AP41" s="36">
        <v>8.0000000000000002E-3</v>
      </c>
      <c r="AQ41" s="8"/>
      <c r="AR41" s="8"/>
      <c r="AS41" s="8"/>
      <c r="AT41" s="8"/>
      <c r="AU41" s="8"/>
      <c r="AV41" s="8"/>
      <c r="AW41" s="24">
        <v>107.4</v>
      </c>
      <c r="AX41" s="8"/>
      <c r="AY41" s="8"/>
      <c r="AZ41" s="8"/>
      <c r="BA41" s="8"/>
      <c r="BB41" s="8"/>
      <c r="BC41" s="8"/>
      <c r="BD41" s="36">
        <v>0.22500000000000001</v>
      </c>
      <c r="BE41" s="8"/>
      <c r="BF41" s="8"/>
      <c r="BG41" s="8"/>
      <c r="BH41" s="8"/>
      <c r="BI41" s="8"/>
      <c r="BJ41" s="8"/>
      <c r="BK41" s="36">
        <v>0.36199999999999999</v>
      </c>
      <c r="BL41" s="8"/>
      <c r="BM41" s="8"/>
      <c r="BN41" s="8"/>
      <c r="BO41" s="8"/>
      <c r="BP41" s="8"/>
      <c r="BQ41" s="8"/>
      <c r="BR41" s="36">
        <v>9.0999999999999998E-2</v>
      </c>
      <c r="BS41" s="8"/>
      <c r="BT41" s="8"/>
      <c r="BU41" s="8"/>
      <c r="BV41" s="8"/>
      <c r="BW41" s="8"/>
      <c r="BX41" s="8"/>
      <c r="BY41" s="24">
        <v>5</v>
      </c>
      <c r="BZ41" s="8"/>
      <c r="CA41" s="8"/>
      <c r="CB41" s="8"/>
      <c r="CC41" s="8"/>
      <c r="CD41" s="8"/>
      <c r="CE41" s="8"/>
      <c r="CF41" s="24" t="s">
        <v>761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24" t="s">
        <v>762</v>
      </c>
      <c r="CU41" s="8"/>
      <c r="CV41" s="8"/>
      <c r="CW41" s="8"/>
      <c r="CX41" s="8"/>
      <c r="CY41" s="8"/>
      <c r="CZ41" s="8"/>
    </row>
    <row r="42" spans="1:104" ht="15.75" customHeight="1">
      <c r="A42" s="66" t="s">
        <v>763</v>
      </c>
      <c r="B42" s="64" t="s">
        <v>764</v>
      </c>
      <c r="C42" s="66" t="s">
        <v>323</v>
      </c>
      <c r="D42" s="66" t="s">
        <v>765</v>
      </c>
      <c r="F42" s="66" t="s">
        <v>766</v>
      </c>
      <c r="G42" s="66" t="s">
        <v>767</v>
      </c>
      <c r="H42" s="66" t="s">
        <v>323</v>
      </c>
      <c r="I42" s="66" t="s">
        <v>45</v>
      </c>
      <c r="J42" s="66" t="s">
        <v>563</v>
      </c>
      <c r="K42" s="66" t="s">
        <v>768</v>
      </c>
      <c r="L42" s="66">
        <v>6</v>
      </c>
      <c r="M42" s="78">
        <v>0.13600000000000001</v>
      </c>
      <c r="N42" s="78">
        <v>0.27600000000000002</v>
      </c>
      <c r="U42" s="78">
        <v>0.38600000000000001</v>
      </c>
      <c r="AB42" s="78">
        <v>0.33600000000000002</v>
      </c>
      <c r="AI42" s="78">
        <v>0</v>
      </c>
      <c r="AP42" s="78">
        <v>2E-3</v>
      </c>
      <c r="AW42" s="66">
        <v>89.2</v>
      </c>
      <c r="BD42" s="78">
        <v>0.65600000000000003</v>
      </c>
      <c r="BK42" s="78">
        <v>0.29299999999999998</v>
      </c>
      <c r="BR42" s="78">
        <v>8.8999999999999996E-2</v>
      </c>
      <c r="BY42" s="66">
        <v>1</v>
      </c>
      <c r="CF42" s="66" t="s">
        <v>78</v>
      </c>
      <c r="CT42" s="66" t="s">
        <v>769</v>
      </c>
    </row>
    <row r="43" spans="1:104" ht="15.75" customHeight="1">
      <c r="B43" s="1"/>
    </row>
    <row r="44" spans="1:104" ht="15.75" customHeight="1">
      <c r="B44" s="1"/>
    </row>
    <row r="45" spans="1:104" ht="15.75" customHeight="1">
      <c r="B45" s="1"/>
    </row>
    <row r="46" spans="1:104" ht="15.75" customHeight="1">
      <c r="B46" s="1"/>
    </row>
    <row r="47" spans="1:104" ht="15.75" customHeight="1">
      <c r="B47" s="1"/>
    </row>
    <row r="48" spans="1:104" ht="15.75" customHeight="1">
      <c r="B48" s="1"/>
    </row>
    <row r="49" spans="2:2" ht="15.75" customHeight="1">
      <c r="B49" s="1"/>
    </row>
    <row r="50" spans="2:2" ht="15.75" customHeight="1">
      <c r="B50" s="1"/>
    </row>
    <row r="51" spans="2:2" ht="15.75" customHeight="1">
      <c r="B51" s="1"/>
    </row>
    <row r="52" spans="2:2" ht="15.75" customHeight="1">
      <c r="B52" s="1"/>
    </row>
    <row r="53" spans="2:2" ht="15.75" customHeight="1">
      <c r="B53" s="1"/>
    </row>
    <row r="54" spans="2:2" ht="15.75" customHeight="1">
      <c r="B54" s="1"/>
    </row>
    <row r="55" spans="2:2" ht="15.75" customHeight="1">
      <c r="B55" s="1"/>
    </row>
    <row r="56" spans="2:2" ht="15.75" customHeight="1">
      <c r="B56" s="1"/>
    </row>
    <row r="57" spans="2:2" ht="15.75" customHeight="1">
      <c r="B57" s="1"/>
    </row>
    <row r="58" spans="2:2" ht="15.75" customHeight="1">
      <c r="B58" s="1"/>
    </row>
    <row r="59" spans="2:2" ht="15.75" customHeight="1">
      <c r="B59" s="1"/>
    </row>
    <row r="60" spans="2:2" ht="15.75" customHeight="1">
      <c r="B60" s="1"/>
    </row>
    <row r="61" spans="2:2" ht="15.75" customHeight="1">
      <c r="B61" s="1"/>
    </row>
    <row r="62" spans="2:2" ht="15.75" customHeight="1">
      <c r="B62" s="1"/>
    </row>
    <row r="63" spans="2:2" ht="15.75" customHeight="1">
      <c r="B63" s="1"/>
    </row>
    <row r="64" spans="2:2" ht="15.75" customHeight="1">
      <c r="B64" s="1"/>
    </row>
    <row r="65" spans="2:2" ht="15.75" customHeight="1">
      <c r="B65" s="1"/>
    </row>
    <row r="66" spans="2:2" ht="15.75" customHeight="1">
      <c r="B66" s="1"/>
    </row>
    <row r="67" spans="2:2" ht="15.75" customHeight="1">
      <c r="B67" s="1"/>
    </row>
    <row r="68" spans="2:2" ht="15.75" customHeight="1">
      <c r="B68" s="1"/>
    </row>
    <row r="69" spans="2:2" ht="15.75" customHeight="1">
      <c r="B69" s="1"/>
    </row>
    <row r="70" spans="2:2" ht="15.75" customHeight="1">
      <c r="B70" s="1"/>
    </row>
    <row r="71" spans="2:2" ht="15.75" customHeight="1">
      <c r="B71" s="1"/>
    </row>
    <row r="72" spans="2:2" ht="15.75" customHeight="1">
      <c r="B72" s="1"/>
    </row>
    <row r="73" spans="2:2" ht="15.75" customHeight="1">
      <c r="B73" s="1"/>
    </row>
    <row r="74" spans="2:2" ht="15.75" customHeight="1">
      <c r="B74" s="1"/>
    </row>
    <row r="75" spans="2:2" ht="15.75" customHeight="1">
      <c r="B75" s="1"/>
    </row>
    <row r="76" spans="2:2" ht="15.75" customHeight="1">
      <c r="B76" s="1"/>
    </row>
    <row r="77" spans="2:2" ht="15.75" customHeight="1">
      <c r="B77" s="1"/>
    </row>
    <row r="78" spans="2:2" ht="15.75" customHeight="1">
      <c r="B78" s="1"/>
    </row>
    <row r="79" spans="2:2" ht="15.75" customHeight="1">
      <c r="B79" s="1"/>
    </row>
    <row r="80" spans="2:2" ht="15.75" customHeight="1">
      <c r="B80" s="1"/>
    </row>
    <row r="81" spans="2:2" ht="15.75" customHeight="1">
      <c r="B81" s="1"/>
    </row>
    <row r="82" spans="2:2" ht="15.75" customHeight="1">
      <c r="B82" s="1"/>
    </row>
    <row r="83" spans="2:2" ht="15.75" customHeight="1">
      <c r="B83" s="1"/>
    </row>
    <row r="84" spans="2:2" ht="15.75" customHeight="1">
      <c r="B84" s="1"/>
    </row>
    <row r="85" spans="2:2" ht="15.75" customHeight="1">
      <c r="B85" s="1"/>
    </row>
    <row r="86" spans="2:2" ht="15.75" customHeight="1">
      <c r="B86" s="1"/>
    </row>
    <row r="87" spans="2:2" ht="15.75" customHeight="1">
      <c r="B87" s="1"/>
    </row>
    <row r="88" spans="2:2" ht="15.75" customHeight="1">
      <c r="B88" s="1"/>
    </row>
    <row r="89" spans="2:2" ht="15.75" customHeight="1">
      <c r="B89" s="1"/>
    </row>
    <row r="90" spans="2:2" ht="15.75" customHeight="1">
      <c r="B90" s="1"/>
    </row>
    <row r="91" spans="2:2" ht="15.75" customHeight="1">
      <c r="B91" s="1"/>
    </row>
    <row r="92" spans="2:2" ht="15.75" customHeight="1">
      <c r="B92" s="1"/>
    </row>
    <row r="93" spans="2:2" ht="15.75" customHeight="1">
      <c r="B93" s="1"/>
    </row>
    <row r="94" spans="2:2" ht="15.75" customHeight="1">
      <c r="B94" s="1"/>
    </row>
    <row r="95" spans="2:2" ht="15.75" customHeight="1">
      <c r="B95" s="1"/>
    </row>
    <row r="96" spans="2:2" ht="15.75" customHeight="1">
      <c r="B96" s="1"/>
    </row>
    <row r="97" spans="2:2" ht="15.75" customHeight="1">
      <c r="B97" s="1"/>
    </row>
    <row r="98" spans="2:2" ht="15.75" customHeight="1">
      <c r="B98" s="1"/>
    </row>
    <row r="99" spans="2:2" ht="15.75" customHeight="1">
      <c r="B99" s="1"/>
    </row>
    <row r="100" spans="2:2" ht="15.75" customHeight="1">
      <c r="B100" s="1"/>
    </row>
    <row r="101" spans="2:2" ht="15.75" customHeight="1">
      <c r="B101" s="1"/>
    </row>
    <row r="102" spans="2:2" ht="15.75" customHeight="1">
      <c r="B102" s="1"/>
    </row>
    <row r="103" spans="2:2" ht="15.75" customHeight="1">
      <c r="B103" s="1"/>
    </row>
    <row r="104" spans="2:2" ht="15.75" customHeight="1">
      <c r="B104" s="1"/>
    </row>
    <row r="105" spans="2:2" ht="15.75" customHeight="1">
      <c r="B105" s="1"/>
    </row>
    <row r="106" spans="2:2" ht="15.75" customHeight="1">
      <c r="B106" s="1"/>
    </row>
    <row r="107" spans="2:2" ht="15.75" customHeight="1">
      <c r="B107" s="1"/>
    </row>
    <row r="108" spans="2:2" ht="15.75" customHeight="1">
      <c r="B108" s="1"/>
    </row>
    <row r="109" spans="2:2" ht="15.75" customHeight="1">
      <c r="B109" s="1"/>
    </row>
    <row r="110" spans="2:2" ht="15.75" customHeight="1">
      <c r="B110" s="1"/>
    </row>
    <row r="111" spans="2:2" ht="15.75" customHeight="1">
      <c r="B111" s="1"/>
    </row>
    <row r="112" spans="2:2" ht="15.75" customHeight="1">
      <c r="B112" s="1"/>
    </row>
    <row r="113" spans="2:2" ht="15.75" customHeight="1">
      <c r="B113" s="1"/>
    </row>
    <row r="114" spans="2:2" ht="15.75" customHeight="1">
      <c r="B114" s="1"/>
    </row>
    <row r="115" spans="2:2" ht="15.75" customHeight="1">
      <c r="B115" s="1"/>
    </row>
    <row r="116" spans="2:2" ht="15.75" customHeight="1">
      <c r="B116" s="1"/>
    </row>
    <row r="117" spans="2:2" ht="15.75" customHeight="1">
      <c r="B117" s="1"/>
    </row>
    <row r="118" spans="2:2" ht="15.75" customHeight="1">
      <c r="B118" s="1"/>
    </row>
    <row r="119" spans="2:2" ht="15.75" customHeight="1">
      <c r="B119" s="1"/>
    </row>
    <row r="120" spans="2:2" ht="15.75" customHeight="1">
      <c r="B120" s="1"/>
    </row>
    <row r="121" spans="2:2" ht="15.75" customHeight="1">
      <c r="B121" s="1"/>
    </row>
    <row r="122" spans="2:2" ht="15.75" customHeight="1">
      <c r="B122" s="1"/>
    </row>
    <row r="123" spans="2:2" ht="15.75" customHeight="1">
      <c r="B123" s="1"/>
    </row>
    <row r="124" spans="2:2" ht="15.75" customHeight="1">
      <c r="B124" s="1"/>
    </row>
    <row r="125" spans="2:2" ht="15.75" customHeight="1">
      <c r="B125" s="1"/>
    </row>
    <row r="126" spans="2:2" ht="15.75" customHeight="1">
      <c r="B126" s="1"/>
    </row>
    <row r="127" spans="2:2" ht="15.75" customHeight="1">
      <c r="B127" s="1"/>
    </row>
    <row r="128" spans="2:2" ht="15.75" customHeight="1">
      <c r="B128" s="1"/>
    </row>
    <row r="129" spans="2:2" ht="15.75" customHeight="1">
      <c r="B129" s="1"/>
    </row>
    <row r="130" spans="2:2" ht="15.75" customHeight="1">
      <c r="B130" s="1"/>
    </row>
    <row r="131" spans="2:2" ht="15.75" customHeight="1">
      <c r="B131" s="1"/>
    </row>
    <row r="132" spans="2:2" ht="15.75" customHeight="1">
      <c r="B132" s="1"/>
    </row>
    <row r="133" spans="2:2" ht="15.75" customHeight="1">
      <c r="B133" s="1"/>
    </row>
    <row r="134" spans="2:2" ht="15.75" customHeight="1">
      <c r="B134" s="1"/>
    </row>
    <row r="135" spans="2:2" ht="15.75" customHeight="1">
      <c r="B135" s="1"/>
    </row>
    <row r="136" spans="2:2" ht="15.75" customHeight="1">
      <c r="B136" s="1"/>
    </row>
    <row r="137" spans="2:2" ht="15.75" customHeight="1">
      <c r="B137" s="1"/>
    </row>
    <row r="138" spans="2:2" ht="15.75" customHeight="1">
      <c r="B138" s="1"/>
    </row>
    <row r="139" spans="2:2" ht="15.75" customHeight="1">
      <c r="B139" s="1"/>
    </row>
    <row r="140" spans="2:2" ht="15.75" customHeight="1">
      <c r="B140" s="1"/>
    </row>
    <row r="141" spans="2:2" ht="15.75" customHeight="1">
      <c r="B141" s="1"/>
    </row>
    <row r="142" spans="2:2" ht="15.75" customHeight="1">
      <c r="B142" s="1"/>
    </row>
    <row r="143" spans="2:2" ht="15.75" customHeight="1">
      <c r="B143" s="1"/>
    </row>
    <row r="144" spans="2:2" ht="15.75" customHeight="1">
      <c r="B144" s="1"/>
    </row>
    <row r="145" spans="2:2" ht="15.75" customHeight="1">
      <c r="B145" s="1"/>
    </row>
    <row r="146" spans="2:2" ht="15.75" customHeight="1">
      <c r="B146" s="1"/>
    </row>
    <row r="147" spans="2:2" ht="15.75" customHeight="1">
      <c r="B147" s="1"/>
    </row>
    <row r="148" spans="2:2" ht="15.75" customHeight="1">
      <c r="B148" s="1"/>
    </row>
    <row r="149" spans="2:2" ht="15.75" customHeight="1">
      <c r="B149" s="1"/>
    </row>
    <row r="150" spans="2:2" ht="15.75" customHeight="1">
      <c r="B150" s="1"/>
    </row>
    <row r="151" spans="2:2" ht="15.75" customHeight="1">
      <c r="B151" s="1"/>
    </row>
    <row r="152" spans="2:2" ht="15.75" customHeight="1">
      <c r="B152" s="1"/>
    </row>
    <row r="153" spans="2:2" ht="15.75" customHeight="1">
      <c r="B153" s="1"/>
    </row>
    <row r="154" spans="2:2" ht="15.75" customHeight="1">
      <c r="B154" s="1"/>
    </row>
    <row r="155" spans="2:2" ht="15.75" customHeight="1">
      <c r="B155" s="1"/>
    </row>
    <row r="156" spans="2:2" ht="15.75" customHeight="1">
      <c r="B156" s="1"/>
    </row>
    <row r="157" spans="2:2" ht="15.75" customHeight="1">
      <c r="B157" s="1"/>
    </row>
    <row r="158" spans="2:2" ht="15.75" customHeight="1">
      <c r="B158" s="1"/>
    </row>
    <row r="159" spans="2:2" ht="15.75" customHeight="1">
      <c r="B159" s="1"/>
    </row>
    <row r="160" spans="2:2" ht="15.75" customHeight="1">
      <c r="B160" s="1"/>
    </row>
    <row r="161" spans="2:2" ht="15.75" customHeight="1">
      <c r="B161" s="1"/>
    </row>
    <row r="162" spans="2:2" ht="15.75" customHeight="1">
      <c r="B162" s="1"/>
    </row>
    <row r="163" spans="2:2" ht="15.75" customHeight="1">
      <c r="B163" s="1"/>
    </row>
    <row r="164" spans="2:2" ht="15.75" customHeight="1">
      <c r="B164" s="1"/>
    </row>
    <row r="165" spans="2:2" ht="15.75" customHeight="1">
      <c r="B165" s="1"/>
    </row>
    <row r="166" spans="2:2" ht="15.75" customHeight="1">
      <c r="B166" s="1"/>
    </row>
    <row r="167" spans="2:2" ht="15.75" customHeight="1">
      <c r="B167" s="1"/>
    </row>
    <row r="168" spans="2:2" ht="15.75" customHeight="1">
      <c r="B168" s="1"/>
    </row>
    <row r="169" spans="2:2" ht="15.75" customHeight="1">
      <c r="B169" s="1"/>
    </row>
    <row r="170" spans="2:2" ht="15.75" customHeight="1">
      <c r="B170" s="1"/>
    </row>
    <row r="171" spans="2:2" ht="15.75" customHeight="1">
      <c r="B171" s="1"/>
    </row>
    <row r="172" spans="2:2" ht="15.75" customHeight="1">
      <c r="B172" s="1"/>
    </row>
    <row r="173" spans="2:2" ht="15.75" customHeight="1">
      <c r="B173" s="1"/>
    </row>
    <row r="174" spans="2:2" ht="15.75" customHeight="1">
      <c r="B174" s="1"/>
    </row>
    <row r="175" spans="2:2" ht="15.75" customHeight="1">
      <c r="B175" s="1"/>
    </row>
    <row r="176" spans="2:2" ht="15.75" customHeight="1">
      <c r="B176" s="1"/>
    </row>
    <row r="177" spans="2:2" ht="15.75" customHeight="1">
      <c r="B177" s="1"/>
    </row>
    <row r="178" spans="2:2" ht="15.75" customHeight="1">
      <c r="B178" s="1"/>
    </row>
    <row r="179" spans="2:2" ht="15.75" customHeight="1">
      <c r="B179" s="1"/>
    </row>
    <row r="180" spans="2:2" ht="15.75" customHeight="1">
      <c r="B180" s="1"/>
    </row>
    <row r="181" spans="2:2" ht="15.75" customHeight="1">
      <c r="B181" s="1"/>
    </row>
    <row r="182" spans="2:2" ht="15.75" customHeight="1">
      <c r="B182" s="1"/>
    </row>
    <row r="183" spans="2:2" ht="15.75" customHeight="1">
      <c r="B183" s="1"/>
    </row>
    <row r="184" spans="2:2" ht="15.75" customHeight="1">
      <c r="B184" s="1"/>
    </row>
    <row r="185" spans="2:2" ht="15.75" customHeight="1">
      <c r="B185" s="1"/>
    </row>
    <row r="186" spans="2:2" ht="15.75" customHeight="1">
      <c r="B186" s="1"/>
    </row>
    <row r="187" spans="2:2" ht="15.75" customHeight="1">
      <c r="B187" s="1"/>
    </row>
    <row r="188" spans="2:2" ht="15.75" customHeight="1">
      <c r="B188" s="1"/>
    </row>
    <row r="189" spans="2:2" ht="15.75" customHeight="1">
      <c r="B189" s="1"/>
    </row>
    <row r="190" spans="2:2" ht="15.75" customHeight="1">
      <c r="B190" s="1"/>
    </row>
    <row r="191" spans="2:2" ht="15.75" customHeight="1">
      <c r="B191" s="1"/>
    </row>
    <row r="192" spans="2:2" ht="15.75" customHeight="1">
      <c r="B192" s="1"/>
    </row>
    <row r="193" spans="2:2" ht="15.75" customHeight="1">
      <c r="B193" s="1"/>
    </row>
    <row r="194" spans="2:2" ht="15.75" customHeight="1">
      <c r="B194" s="1"/>
    </row>
    <row r="195" spans="2:2" ht="15.75" customHeight="1">
      <c r="B195" s="1"/>
    </row>
    <row r="196" spans="2:2" ht="15.75" customHeight="1">
      <c r="B196" s="1"/>
    </row>
    <row r="197" spans="2:2" ht="15.75" customHeight="1">
      <c r="B197" s="1"/>
    </row>
    <row r="198" spans="2:2" ht="15.75" customHeight="1">
      <c r="B198" s="1"/>
    </row>
    <row r="199" spans="2:2" ht="15.75" customHeight="1">
      <c r="B199" s="1"/>
    </row>
    <row r="200" spans="2:2" ht="15.75" customHeight="1">
      <c r="B200" s="1"/>
    </row>
    <row r="201" spans="2:2" ht="15.75" customHeight="1">
      <c r="B201" s="1"/>
    </row>
    <row r="202" spans="2:2" ht="15.75" customHeight="1">
      <c r="B202" s="1"/>
    </row>
    <row r="203" spans="2:2" ht="15.75" customHeight="1">
      <c r="B203" s="1"/>
    </row>
    <row r="204" spans="2:2" ht="15.75" customHeight="1">
      <c r="B204" s="1"/>
    </row>
    <row r="205" spans="2:2" ht="15.75" customHeight="1">
      <c r="B205" s="1"/>
    </row>
    <row r="206" spans="2:2" ht="15.75" customHeight="1">
      <c r="B206" s="1"/>
    </row>
    <row r="207" spans="2:2" ht="15.75" customHeight="1">
      <c r="B207" s="1"/>
    </row>
    <row r="208" spans="2:2" ht="15.75" customHeight="1">
      <c r="B208" s="1"/>
    </row>
    <row r="209" spans="2:2" ht="15.75" customHeight="1">
      <c r="B209" s="1"/>
    </row>
    <row r="210" spans="2:2" ht="15.75" customHeight="1">
      <c r="B210" s="1"/>
    </row>
    <row r="211" spans="2:2" ht="15.75" customHeight="1">
      <c r="B211" s="1"/>
    </row>
    <row r="212" spans="2:2" ht="15.75" customHeight="1">
      <c r="B212" s="1"/>
    </row>
    <row r="213" spans="2:2" ht="15.75" customHeight="1">
      <c r="B213" s="1"/>
    </row>
    <row r="214" spans="2:2" ht="15.75" customHeight="1">
      <c r="B214" s="1"/>
    </row>
    <row r="215" spans="2:2" ht="15.75" customHeight="1">
      <c r="B215" s="1"/>
    </row>
    <row r="216" spans="2:2" ht="15.75" customHeight="1">
      <c r="B216" s="1"/>
    </row>
    <row r="217" spans="2:2" ht="15.75" customHeight="1">
      <c r="B217" s="1"/>
    </row>
    <row r="218" spans="2:2" ht="15.75" customHeight="1">
      <c r="B218" s="1"/>
    </row>
    <row r="219" spans="2:2" ht="15.75" customHeight="1">
      <c r="B219" s="1"/>
    </row>
    <row r="220" spans="2:2" ht="15.75" customHeight="1">
      <c r="B220" s="1"/>
    </row>
    <row r="221" spans="2:2" ht="15.75" customHeight="1">
      <c r="B221" s="1"/>
    </row>
    <row r="222" spans="2:2" ht="15.75" customHeight="1">
      <c r="B222" s="1"/>
    </row>
    <row r="223" spans="2:2" ht="15.75" customHeight="1">
      <c r="B223" s="1"/>
    </row>
    <row r="224" spans="2:2" ht="15.75" customHeight="1">
      <c r="B224" s="1"/>
    </row>
    <row r="225" spans="2:2" ht="15.75" customHeight="1">
      <c r="B225" s="1"/>
    </row>
    <row r="226" spans="2:2" ht="15.75" customHeight="1">
      <c r="B226" s="1"/>
    </row>
    <row r="227" spans="2:2" ht="15.75" customHeight="1">
      <c r="B227" s="1"/>
    </row>
    <row r="228" spans="2:2" ht="15.75" customHeight="1">
      <c r="B228" s="1"/>
    </row>
    <row r="229" spans="2:2" ht="15.75" customHeight="1">
      <c r="B229" s="1"/>
    </row>
    <row r="230" spans="2:2" ht="15.75" customHeight="1">
      <c r="B230" s="1"/>
    </row>
    <row r="231" spans="2:2" ht="15.75" customHeight="1">
      <c r="B231" s="1"/>
    </row>
    <row r="232" spans="2:2" ht="15.75" customHeight="1">
      <c r="B232" s="1"/>
    </row>
    <row r="233" spans="2:2" ht="15.75" customHeight="1">
      <c r="B233" s="1"/>
    </row>
    <row r="234" spans="2:2" ht="15.75" customHeight="1">
      <c r="B234" s="1"/>
    </row>
    <row r="235" spans="2:2" ht="15.75" customHeight="1">
      <c r="B235" s="1"/>
    </row>
    <row r="236" spans="2:2" ht="15.75" customHeight="1">
      <c r="B236" s="1"/>
    </row>
    <row r="237" spans="2:2" ht="15.75" customHeight="1">
      <c r="B237" s="1"/>
    </row>
    <row r="238" spans="2:2" ht="15.75" customHeight="1">
      <c r="B238" s="1"/>
    </row>
    <row r="239" spans="2:2" ht="15.75" customHeight="1">
      <c r="B239" s="1"/>
    </row>
    <row r="240" spans="2:2" ht="15.75" customHeight="1">
      <c r="B240" s="1"/>
    </row>
    <row r="241" spans="2:2" ht="15.75" customHeight="1">
      <c r="B241" s="1"/>
    </row>
    <row r="242" spans="2:2" ht="15.75" customHeight="1">
      <c r="B242" s="1"/>
    </row>
    <row r="243" spans="2:2" ht="15.75" customHeight="1">
      <c r="B243" s="1"/>
    </row>
    <row r="244" spans="2:2" ht="15.75" customHeight="1">
      <c r="B244" s="1"/>
    </row>
    <row r="245" spans="2:2" ht="15.75" customHeight="1">
      <c r="B245" s="1"/>
    </row>
    <row r="246" spans="2:2" ht="15.75" customHeight="1">
      <c r="B246" s="1"/>
    </row>
    <row r="247" spans="2:2" ht="15.75" customHeight="1">
      <c r="B247" s="1"/>
    </row>
    <row r="248" spans="2:2" ht="15.75" customHeight="1">
      <c r="B248" s="1"/>
    </row>
    <row r="249" spans="2:2" ht="15.75" customHeight="1">
      <c r="B249" s="1"/>
    </row>
    <row r="250" spans="2:2" ht="15.75" customHeight="1">
      <c r="B250" s="1"/>
    </row>
    <row r="251" spans="2:2" ht="15.75" customHeight="1">
      <c r="B251" s="1"/>
    </row>
    <row r="252" spans="2:2" ht="15.75" customHeight="1">
      <c r="B252" s="1"/>
    </row>
    <row r="253" spans="2:2" ht="15.75" customHeight="1">
      <c r="B253" s="1"/>
    </row>
    <row r="254" spans="2:2" ht="15.75" customHeight="1">
      <c r="B254" s="1"/>
    </row>
    <row r="255" spans="2:2" ht="15.75" customHeight="1">
      <c r="B255" s="1"/>
    </row>
    <row r="256" spans="2:2" ht="15.75" customHeight="1">
      <c r="B256" s="1"/>
    </row>
    <row r="257" spans="2:2" ht="15.75" customHeight="1">
      <c r="B257" s="1"/>
    </row>
    <row r="258" spans="2:2" ht="15.75" customHeight="1">
      <c r="B258" s="1"/>
    </row>
    <row r="259" spans="2:2" ht="15.75" customHeight="1">
      <c r="B259" s="1"/>
    </row>
    <row r="260" spans="2:2" ht="15.75" customHeight="1">
      <c r="B260" s="1"/>
    </row>
    <row r="261" spans="2:2" ht="15.75" customHeight="1">
      <c r="B261" s="1"/>
    </row>
    <row r="262" spans="2:2" ht="15.75" customHeight="1">
      <c r="B262" s="1"/>
    </row>
    <row r="263" spans="2:2" ht="15.75" customHeight="1">
      <c r="B263" s="1"/>
    </row>
    <row r="264" spans="2:2" ht="15.75" customHeight="1">
      <c r="B264" s="1"/>
    </row>
    <row r="265" spans="2:2" ht="15.75" customHeight="1">
      <c r="B265" s="1"/>
    </row>
    <row r="266" spans="2:2" ht="15.75" customHeight="1">
      <c r="B266" s="1"/>
    </row>
    <row r="267" spans="2:2" ht="15.75" customHeight="1">
      <c r="B267" s="1"/>
    </row>
    <row r="268" spans="2:2" ht="15.75" customHeight="1">
      <c r="B268" s="1"/>
    </row>
    <row r="269" spans="2:2" ht="15.75" customHeight="1">
      <c r="B269" s="1"/>
    </row>
    <row r="270" spans="2:2" ht="15.75" customHeight="1">
      <c r="B270" s="1"/>
    </row>
    <row r="271" spans="2:2" ht="15.75" customHeight="1">
      <c r="B271" s="1"/>
    </row>
    <row r="272" spans="2:2" ht="15.75" customHeight="1">
      <c r="B272" s="1"/>
    </row>
    <row r="273" spans="2:2" ht="15.75" customHeight="1">
      <c r="B273" s="1"/>
    </row>
    <row r="274" spans="2:2" ht="15.75" customHeight="1">
      <c r="B274" s="1"/>
    </row>
    <row r="275" spans="2:2" ht="15.75" customHeight="1">
      <c r="B275" s="1"/>
    </row>
    <row r="276" spans="2:2" ht="15.75" customHeight="1">
      <c r="B276" s="1"/>
    </row>
    <row r="277" spans="2:2" ht="15.75" customHeight="1">
      <c r="B277" s="1"/>
    </row>
    <row r="278" spans="2:2" ht="15.75" customHeight="1">
      <c r="B278" s="1"/>
    </row>
    <row r="279" spans="2:2" ht="15.75" customHeight="1">
      <c r="B279" s="1"/>
    </row>
    <row r="280" spans="2:2" ht="15.75" customHeight="1">
      <c r="B280" s="1"/>
    </row>
    <row r="281" spans="2:2" ht="15.75" customHeight="1">
      <c r="B281" s="1"/>
    </row>
    <row r="282" spans="2:2" ht="15.75" customHeight="1">
      <c r="B282" s="1"/>
    </row>
    <row r="283" spans="2:2" ht="15.75" customHeight="1">
      <c r="B283" s="1"/>
    </row>
    <row r="284" spans="2:2" ht="15.75" customHeight="1">
      <c r="B284" s="1"/>
    </row>
    <row r="285" spans="2:2" ht="15.75" customHeight="1">
      <c r="B285" s="1"/>
    </row>
    <row r="286" spans="2:2" ht="15.75" customHeight="1">
      <c r="B286" s="1"/>
    </row>
    <row r="287" spans="2:2" ht="15.75" customHeight="1">
      <c r="B287" s="1"/>
    </row>
    <row r="288" spans="2:2" ht="15.75" customHeight="1">
      <c r="B288" s="1"/>
    </row>
    <row r="289" spans="2:2" ht="15.75" customHeight="1">
      <c r="B289" s="1"/>
    </row>
    <row r="290" spans="2:2" ht="15.75" customHeight="1">
      <c r="B290" s="1"/>
    </row>
    <row r="291" spans="2:2" ht="15.75" customHeight="1">
      <c r="B291" s="1"/>
    </row>
    <row r="292" spans="2:2" ht="15.75" customHeight="1">
      <c r="B292" s="1"/>
    </row>
    <row r="293" spans="2:2" ht="15.75" customHeight="1">
      <c r="B293" s="1"/>
    </row>
    <row r="294" spans="2:2" ht="15.75" customHeight="1">
      <c r="B294" s="1"/>
    </row>
    <row r="295" spans="2:2" ht="15.75" customHeight="1">
      <c r="B295" s="1"/>
    </row>
    <row r="296" spans="2:2" ht="15.75" customHeight="1">
      <c r="B296" s="1"/>
    </row>
    <row r="297" spans="2:2" ht="15.75" customHeight="1">
      <c r="B297" s="1"/>
    </row>
    <row r="298" spans="2:2" ht="15.75" customHeight="1">
      <c r="B298" s="1"/>
    </row>
    <row r="299" spans="2:2" ht="15.75" customHeight="1">
      <c r="B299" s="1"/>
    </row>
    <row r="300" spans="2:2" ht="15.75" customHeight="1">
      <c r="B300" s="1"/>
    </row>
    <row r="301" spans="2:2" ht="15.75" customHeight="1">
      <c r="B301" s="1"/>
    </row>
    <row r="302" spans="2:2" ht="15.75" customHeight="1">
      <c r="B302" s="1"/>
    </row>
    <row r="303" spans="2:2" ht="15.75" customHeight="1">
      <c r="B303" s="1"/>
    </row>
    <row r="304" spans="2:2" ht="15.75" customHeight="1">
      <c r="B304" s="1"/>
    </row>
    <row r="305" spans="2:2" ht="15.75" customHeight="1">
      <c r="B305" s="1"/>
    </row>
    <row r="306" spans="2:2" ht="15.75" customHeight="1">
      <c r="B306" s="1"/>
    </row>
    <row r="307" spans="2:2" ht="15.75" customHeight="1">
      <c r="B307" s="1"/>
    </row>
    <row r="308" spans="2:2" ht="15.75" customHeight="1">
      <c r="B308" s="1"/>
    </row>
    <row r="309" spans="2:2" ht="15.75" customHeight="1">
      <c r="B309" s="1"/>
    </row>
    <row r="310" spans="2:2" ht="15.75" customHeight="1">
      <c r="B310" s="1"/>
    </row>
    <row r="311" spans="2:2" ht="15.75" customHeight="1">
      <c r="B311" s="1"/>
    </row>
    <row r="312" spans="2:2" ht="15.75" customHeight="1">
      <c r="B312" s="1"/>
    </row>
    <row r="313" spans="2:2" ht="15.75" customHeight="1">
      <c r="B313" s="1"/>
    </row>
    <row r="314" spans="2:2" ht="15.75" customHeight="1">
      <c r="B314" s="1"/>
    </row>
    <row r="315" spans="2:2" ht="15.75" customHeight="1">
      <c r="B315" s="1"/>
    </row>
    <row r="316" spans="2:2" ht="15.75" customHeight="1">
      <c r="B316" s="1"/>
    </row>
    <row r="317" spans="2:2" ht="15.75" customHeight="1">
      <c r="B317" s="1"/>
    </row>
    <row r="318" spans="2:2" ht="15.75" customHeight="1">
      <c r="B318" s="1"/>
    </row>
    <row r="319" spans="2:2" ht="15.75" customHeight="1">
      <c r="B319" s="1"/>
    </row>
    <row r="320" spans="2:2" ht="15.75" customHeight="1">
      <c r="B320" s="1"/>
    </row>
    <row r="321" spans="2:2" ht="15.75" customHeight="1">
      <c r="B321" s="1"/>
    </row>
    <row r="322" spans="2:2" ht="15.75" customHeight="1">
      <c r="B322" s="1"/>
    </row>
    <row r="323" spans="2:2" ht="15.75" customHeight="1">
      <c r="B323" s="1"/>
    </row>
    <row r="324" spans="2:2" ht="15.75" customHeight="1">
      <c r="B324" s="1"/>
    </row>
    <row r="325" spans="2:2" ht="15.75" customHeight="1">
      <c r="B325" s="1"/>
    </row>
    <row r="326" spans="2:2" ht="15.75" customHeight="1">
      <c r="B326" s="1"/>
    </row>
    <row r="327" spans="2:2" ht="15.75" customHeight="1">
      <c r="B327" s="1"/>
    </row>
    <row r="328" spans="2:2" ht="15.75" customHeight="1">
      <c r="B328" s="1"/>
    </row>
    <row r="329" spans="2:2" ht="15.75" customHeight="1">
      <c r="B329" s="1"/>
    </row>
    <row r="330" spans="2:2" ht="15.75" customHeight="1">
      <c r="B330" s="1"/>
    </row>
    <row r="331" spans="2:2" ht="15.75" customHeight="1">
      <c r="B331" s="1"/>
    </row>
    <row r="332" spans="2:2" ht="15.75" customHeight="1">
      <c r="B332" s="1"/>
    </row>
    <row r="333" spans="2:2" ht="15.75" customHeight="1">
      <c r="B333" s="1"/>
    </row>
    <row r="334" spans="2:2" ht="15.75" customHeight="1">
      <c r="B334" s="1"/>
    </row>
    <row r="335" spans="2:2" ht="15.75" customHeight="1">
      <c r="B335" s="1"/>
    </row>
    <row r="336" spans="2:2" ht="15.75" customHeight="1">
      <c r="B336" s="1"/>
    </row>
    <row r="337" spans="2:2" ht="15.75" customHeight="1">
      <c r="B337" s="1"/>
    </row>
    <row r="338" spans="2:2" ht="15.75" customHeight="1">
      <c r="B338" s="1"/>
    </row>
    <row r="339" spans="2:2" ht="15.75" customHeight="1">
      <c r="B339" s="1"/>
    </row>
    <row r="340" spans="2:2" ht="15.75" customHeight="1">
      <c r="B340" s="1"/>
    </row>
    <row r="341" spans="2:2" ht="15.75" customHeight="1">
      <c r="B341" s="1"/>
    </row>
    <row r="342" spans="2:2" ht="15.75" customHeight="1">
      <c r="B342" s="1"/>
    </row>
    <row r="343" spans="2:2" ht="15.75" customHeight="1">
      <c r="B343" s="1"/>
    </row>
    <row r="344" spans="2:2" ht="15.75" customHeight="1">
      <c r="B344" s="1"/>
    </row>
    <row r="345" spans="2:2" ht="15.75" customHeight="1">
      <c r="B345" s="1"/>
    </row>
    <row r="346" spans="2:2" ht="15.75" customHeight="1">
      <c r="B346" s="1"/>
    </row>
    <row r="347" spans="2:2" ht="15.75" customHeight="1">
      <c r="B347" s="1"/>
    </row>
    <row r="348" spans="2:2" ht="15.75" customHeight="1">
      <c r="B348" s="1"/>
    </row>
    <row r="349" spans="2:2" ht="15.75" customHeight="1">
      <c r="B349" s="1"/>
    </row>
    <row r="350" spans="2:2" ht="15.75" customHeight="1">
      <c r="B350" s="1"/>
    </row>
    <row r="351" spans="2:2" ht="15.75" customHeight="1">
      <c r="B351" s="1"/>
    </row>
    <row r="352" spans="2:2" ht="15.75" customHeight="1">
      <c r="B352" s="1"/>
    </row>
    <row r="353" spans="2:2" ht="15.75" customHeight="1">
      <c r="B353" s="1"/>
    </row>
    <row r="354" spans="2:2" ht="15.75" customHeight="1">
      <c r="B354" s="1"/>
    </row>
    <row r="355" spans="2:2" ht="15.75" customHeight="1">
      <c r="B355" s="1"/>
    </row>
    <row r="356" spans="2:2" ht="15.75" customHeight="1">
      <c r="B356" s="1"/>
    </row>
    <row r="357" spans="2:2" ht="15.75" customHeight="1">
      <c r="B357" s="1"/>
    </row>
    <row r="358" spans="2:2" ht="15.75" customHeight="1">
      <c r="B358" s="1"/>
    </row>
    <row r="359" spans="2:2" ht="15.75" customHeight="1">
      <c r="B359" s="1"/>
    </row>
    <row r="360" spans="2:2" ht="15.75" customHeight="1">
      <c r="B360" s="1"/>
    </row>
    <row r="361" spans="2:2" ht="15.75" customHeight="1">
      <c r="B361" s="1"/>
    </row>
    <row r="362" spans="2:2" ht="15.75" customHeight="1">
      <c r="B362" s="1"/>
    </row>
    <row r="363" spans="2:2" ht="15.75" customHeight="1">
      <c r="B363" s="1"/>
    </row>
    <row r="364" spans="2:2" ht="15.75" customHeight="1">
      <c r="B364" s="1"/>
    </row>
    <row r="365" spans="2:2" ht="15.75" customHeight="1">
      <c r="B365" s="1"/>
    </row>
    <row r="366" spans="2:2" ht="15.75" customHeight="1">
      <c r="B366" s="1"/>
    </row>
    <row r="367" spans="2:2" ht="15.75" customHeight="1">
      <c r="B367" s="1"/>
    </row>
    <row r="368" spans="2:2" ht="15.75" customHeight="1">
      <c r="B368" s="1"/>
    </row>
    <row r="369" spans="2:2" ht="15.75" customHeight="1">
      <c r="B369" s="1"/>
    </row>
    <row r="370" spans="2:2" ht="15.75" customHeight="1">
      <c r="B370" s="1"/>
    </row>
    <row r="371" spans="2:2" ht="15.75" customHeight="1">
      <c r="B371" s="1"/>
    </row>
    <row r="372" spans="2:2" ht="15.75" customHeight="1">
      <c r="B372" s="1"/>
    </row>
    <row r="373" spans="2:2" ht="15.75" customHeight="1">
      <c r="B373" s="1"/>
    </row>
    <row r="374" spans="2:2" ht="15.75" customHeight="1">
      <c r="B374" s="1"/>
    </row>
    <row r="375" spans="2:2" ht="15.75" customHeight="1">
      <c r="B375" s="1"/>
    </row>
    <row r="376" spans="2:2" ht="15.75" customHeight="1">
      <c r="B376" s="1"/>
    </row>
    <row r="377" spans="2:2" ht="15.75" customHeight="1">
      <c r="B377" s="1"/>
    </row>
    <row r="378" spans="2:2" ht="15.75" customHeight="1">
      <c r="B378" s="1"/>
    </row>
    <row r="379" spans="2:2" ht="15.75" customHeight="1">
      <c r="B379" s="1"/>
    </row>
    <row r="380" spans="2:2" ht="15.75" customHeight="1">
      <c r="B380" s="1"/>
    </row>
    <row r="381" spans="2:2" ht="15.75" customHeight="1">
      <c r="B381" s="1"/>
    </row>
    <row r="382" spans="2:2" ht="15.75" customHeight="1">
      <c r="B382" s="1"/>
    </row>
    <row r="383" spans="2:2" ht="15.75" customHeight="1">
      <c r="B383" s="1"/>
    </row>
    <row r="384" spans="2:2" ht="15.75" customHeight="1">
      <c r="B384" s="1"/>
    </row>
    <row r="385" spans="2:2" ht="15.75" customHeight="1">
      <c r="B385" s="1"/>
    </row>
    <row r="386" spans="2:2" ht="15.75" customHeight="1">
      <c r="B386" s="1"/>
    </row>
    <row r="387" spans="2:2" ht="15.75" customHeight="1">
      <c r="B387" s="1"/>
    </row>
    <row r="388" spans="2:2" ht="15.75" customHeight="1">
      <c r="B388" s="1"/>
    </row>
    <row r="389" spans="2:2" ht="15.75" customHeight="1">
      <c r="B389" s="1"/>
    </row>
    <row r="390" spans="2:2" ht="15.75" customHeight="1">
      <c r="B390" s="1"/>
    </row>
    <row r="391" spans="2:2" ht="15.75" customHeight="1">
      <c r="B391" s="1"/>
    </row>
    <row r="392" spans="2:2" ht="15.75" customHeight="1">
      <c r="B392" s="1"/>
    </row>
    <row r="393" spans="2:2" ht="15.75" customHeight="1">
      <c r="B393" s="1"/>
    </row>
    <row r="394" spans="2:2" ht="15.75" customHeight="1">
      <c r="B394" s="1"/>
    </row>
    <row r="395" spans="2:2" ht="15.75" customHeight="1">
      <c r="B395" s="1"/>
    </row>
    <row r="396" spans="2:2" ht="15.75" customHeight="1">
      <c r="B396" s="1"/>
    </row>
    <row r="397" spans="2:2" ht="15.75" customHeight="1">
      <c r="B397" s="1"/>
    </row>
    <row r="398" spans="2:2" ht="15.75" customHeight="1">
      <c r="B398" s="1"/>
    </row>
    <row r="399" spans="2:2" ht="15.75" customHeight="1">
      <c r="B399" s="1"/>
    </row>
    <row r="400" spans="2:2" ht="15.75" customHeight="1">
      <c r="B400" s="1"/>
    </row>
    <row r="401" spans="2:2" ht="15.75" customHeight="1">
      <c r="B401" s="1"/>
    </row>
    <row r="402" spans="2:2" ht="15.75" customHeight="1">
      <c r="B402" s="1"/>
    </row>
    <row r="403" spans="2:2" ht="15.75" customHeight="1">
      <c r="B403" s="1"/>
    </row>
    <row r="404" spans="2:2" ht="15.75" customHeight="1">
      <c r="B404" s="1"/>
    </row>
    <row r="405" spans="2:2" ht="15.75" customHeight="1">
      <c r="B405" s="1"/>
    </row>
    <row r="406" spans="2:2" ht="15.75" customHeight="1">
      <c r="B406" s="1"/>
    </row>
    <row r="407" spans="2:2" ht="15.75" customHeight="1">
      <c r="B407" s="1"/>
    </row>
    <row r="408" spans="2:2" ht="15.75" customHeight="1">
      <c r="B408" s="1"/>
    </row>
    <row r="409" spans="2:2" ht="15.75" customHeight="1">
      <c r="B409" s="1"/>
    </row>
    <row r="410" spans="2:2" ht="15.75" customHeight="1">
      <c r="B410" s="1"/>
    </row>
    <row r="411" spans="2:2" ht="15.75" customHeight="1">
      <c r="B411" s="1"/>
    </row>
    <row r="412" spans="2:2" ht="15.75" customHeight="1">
      <c r="B412" s="1"/>
    </row>
    <row r="413" spans="2:2" ht="15.75" customHeight="1">
      <c r="B413" s="1"/>
    </row>
    <row r="414" spans="2:2" ht="15.75" customHeight="1">
      <c r="B414" s="1"/>
    </row>
    <row r="415" spans="2:2" ht="15.75" customHeight="1">
      <c r="B415" s="1"/>
    </row>
    <row r="416" spans="2:2" ht="15.75" customHeight="1">
      <c r="B416" s="1"/>
    </row>
    <row r="417" spans="2:2" ht="15.75" customHeight="1">
      <c r="B417" s="1"/>
    </row>
    <row r="418" spans="2:2" ht="15.75" customHeight="1">
      <c r="B418" s="1"/>
    </row>
    <row r="419" spans="2:2" ht="15.75" customHeight="1">
      <c r="B419" s="1"/>
    </row>
    <row r="420" spans="2:2" ht="15.75" customHeight="1">
      <c r="B420" s="1"/>
    </row>
    <row r="421" spans="2:2" ht="15.75" customHeight="1">
      <c r="B421" s="1"/>
    </row>
    <row r="422" spans="2:2" ht="15.75" customHeight="1">
      <c r="B422" s="1"/>
    </row>
    <row r="423" spans="2:2" ht="15.75" customHeight="1">
      <c r="B423" s="1"/>
    </row>
    <row r="424" spans="2:2" ht="15.75" customHeight="1">
      <c r="B424" s="1"/>
    </row>
    <row r="425" spans="2:2" ht="15.75" customHeight="1">
      <c r="B425" s="1"/>
    </row>
    <row r="426" spans="2:2" ht="15.75" customHeight="1">
      <c r="B426" s="1"/>
    </row>
    <row r="427" spans="2:2" ht="15.75" customHeight="1">
      <c r="B427" s="1"/>
    </row>
    <row r="428" spans="2:2" ht="15.75" customHeight="1">
      <c r="B428" s="1"/>
    </row>
    <row r="429" spans="2:2" ht="15.75" customHeight="1">
      <c r="B429" s="1"/>
    </row>
    <row r="430" spans="2:2" ht="15.75" customHeight="1">
      <c r="B430" s="1"/>
    </row>
    <row r="431" spans="2:2" ht="15.75" customHeight="1">
      <c r="B431" s="1"/>
    </row>
    <row r="432" spans="2:2" ht="15.75" customHeight="1">
      <c r="B432" s="1"/>
    </row>
    <row r="433" spans="2:2" ht="15.75" customHeight="1">
      <c r="B433" s="1"/>
    </row>
    <row r="434" spans="2:2" ht="15.75" customHeight="1">
      <c r="B434" s="1"/>
    </row>
    <row r="435" spans="2:2" ht="15.75" customHeight="1">
      <c r="B435" s="1"/>
    </row>
    <row r="436" spans="2:2" ht="15.75" customHeight="1">
      <c r="B436" s="1"/>
    </row>
    <row r="437" spans="2:2" ht="15.75" customHeight="1">
      <c r="B437" s="1"/>
    </row>
    <row r="438" spans="2:2" ht="15.75" customHeight="1">
      <c r="B438" s="1"/>
    </row>
    <row r="439" spans="2:2" ht="15.75" customHeight="1">
      <c r="B439" s="1"/>
    </row>
    <row r="440" spans="2:2" ht="15.75" customHeight="1">
      <c r="B440" s="1"/>
    </row>
    <row r="441" spans="2:2" ht="15.75" customHeight="1">
      <c r="B441" s="1"/>
    </row>
    <row r="442" spans="2:2" ht="15.75" customHeight="1">
      <c r="B442" s="1"/>
    </row>
    <row r="443" spans="2:2" ht="15.75" customHeight="1">
      <c r="B443" s="1"/>
    </row>
    <row r="444" spans="2:2" ht="15.75" customHeight="1">
      <c r="B444" s="1"/>
    </row>
    <row r="445" spans="2:2" ht="15.75" customHeight="1">
      <c r="B445" s="1"/>
    </row>
    <row r="446" spans="2:2" ht="15.75" customHeight="1">
      <c r="B446" s="1"/>
    </row>
    <row r="447" spans="2:2" ht="15.75" customHeight="1">
      <c r="B447" s="1"/>
    </row>
    <row r="448" spans="2:2" ht="15.75" customHeight="1">
      <c r="B448" s="1"/>
    </row>
    <row r="449" spans="2:2" ht="15.75" customHeight="1">
      <c r="B449" s="1"/>
    </row>
    <row r="450" spans="2:2" ht="15.75" customHeight="1">
      <c r="B450" s="1"/>
    </row>
    <row r="451" spans="2:2" ht="15.75" customHeight="1">
      <c r="B451" s="1"/>
    </row>
    <row r="452" spans="2:2" ht="15.75" customHeight="1">
      <c r="B452" s="1"/>
    </row>
    <row r="453" spans="2:2" ht="15.75" customHeight="1">
      <c r="B453" s="1"/>
    </row>
    <row r="454" spans="2:2" ht="15.75" customHeight="1">
      <c r="B454" s="1"/>
    </row>
    <row r="455" spans="2:2" ht="15.75" customHeight="1">
      <c r="B455" s="1"/>
    </row>
    <row r="456" spans="2:2" ht="15.75" customHeight="1">
      <c r="B456" s="1"/>
    </row>
    <row r="457" spans="2:2" ht="15.75" customHeight="1">
      <c r="B457" s="1"/>
    </row>
    <row r="458" spans="2:2" ht="15.75" customHeight="1">
      <c r="B458" s="1"/>
    </row>
    <row r="459" spans="2:2" ht="15.75" customHeight="1">
      <c r="B459" s="1"/>
    </row>
    <row r="460" spans="2:2" ht="15.75" customHeight="1">
      <c r="B460" s="1"/>
    </row>
    <row r="461" spans="2:2" ht="15.75" customHeight="1">
      <c r="B461" s="1"/>
    </row>
    <row r="462" spans="2:2" ht="15.75" customHeight="1">
      <c r="B462" s="1"/>
    </row>
    <row r="463" spans="2:2" ht="15.75" customHeight="1">
      <c r="B463" s="1"/>
    </row>
    <row r="464" spans="2:2" ht="15.75" customHeight="1">
      <c r="B464" s="1"/>
    </row>
    <row r="465" spans="2:2" ht="15.75" customHeight="1">
      <c r="B465" s="1"/>
    </row>
    <row r="466" spans="2:2" ht="15.75" customHeight="1">
      <c r="B466" s="1"/>
    </row>
    <row r="467" spans="2:2" ht="15.75" customHeight="1">
      <c r="B467" s="1"/>
    </row>
    <row r="468" spans="2:2" ht="15.75" customHeight="1">
      <c r="B468" s="1"/>
    </row>
    <row r="469" spans="2:2" ht="15.75" customHeight="1">
      <c r="B469" s="1"/>
    </row>
    <row r="470" spans="2:2" ht="15.75" customHeight="1">
      <c r="B470" s="1"/>
    </row>
    <row r="471" spans="2:2" ht="15.75" customHeight="1">
      <c r="B471" s="1"/>
    </row>
    <row r="472" spans="2:2" ht="15.75" customHeight="1">
      <c r="B472" s="1"/>
    </row>
    <row r="473" spans="2:2" ht="15.75" customHeight="1">
      <c r="B473" s="1"/>
    </row>
    <row r="474" spans="2:2" ht="15.75" customHeight="1">
      <c r="B474" s="1"/>
    </row>
    <row r="475" spans="2:2" ht="15.75" customHeight="1">
      <c r="B475" s="1"/>
    </row>
    <row r="476" spans="2:2" ht="15.75" customHeight="1">
      <c r="B476" s="1"/>
    </row>
    <row r="477" spans="2:2" ht="15.75" customHeight="1">
      <c r="B477" s="1"/>
    </row>
    <row r="478" spans="2:2" ht="15.75" customHeight="1">
      <c r="B478" s="1"/>
    </row>
    <row r="479" spans="2:2" ht="15.75" customHeight="1">
      <c r="B479" s="1"/>
    </row>
    <row r="480" spans="2:2" ht="15.75" customHeight="1">
      <c r="B480" s="1"/>
    </row>
    <row r="481" spans="2:2" ht="15.75" customHeight="1">
      <c r="B481" s="1"/>
    </row>
    <row r="482" spans="2:2" ht="15.75" customHeight="1">
      <c r="B482" s="1"/>
    </row>
    <row r="483" spans="2:2" ht="15.75" customHeight="1">
      <c r="B483" s="1"/>
    </row>
    <row r="484" spans="2:2" ht="15.75" customHeight="1">
      <c r="B484" s="1"/>
    </row>
    <row r="485" spans="2:2" ht="15.75" customHeight="1">
      <c r="B485" s="1"/>
    </row>
    <row r="486" spans="2:2" ht="15.75" customHeight="1">
      <c r="B486" s="1"/>
    </row>
    <row r="487" spans="2:2" ht="15.75" customHeight="1">
      <c r="B487" s="1"/>
    </row>
    <row r="488" spans="2:2" ht="15.75" customHeight="1">
      <c r="B488" s="1"/>
    </row>
    <row r="489" spans="2:2" ht="15.75" customHeight="1">
      <c r="B489" s="1"/>
    </row>
    <row r="490" spans="2:2" ht="15.75" customHeight="1">
      <c r="B490" s="1"/>
    </row>
    <row r="491" spans="2:2" ht="15.75" customHeight="1">
      <c r="B491" s="1"/>
    </row>
    <row r="492" spans="2:2" ht="15.75" customHeight="1">
      <c r="B492" s="1"/>
    </row>
    <row r="493" spans="2:2" ht="15.75" customHeight="1">
      <c r="B493" s="1"/>
    </row>
    <row r="494" spans="2:2" ht="15.75" customHeight="1">
      <c r="B494" s="1"/>
    </row>
    <row r="495" spans="2:2" ht="15.75" customHeight="1">
      <c r="B495" s="1"/>
    </row>
    <row r="496" spans="2:2" ht="15.75" customHeight="1">
      <c r="B496" s="1"/>
    </row>
    <row r="497" spans="2:2" ht="15.75" customHeight="1">
      <c r="B497" s="1"/>
    </row>
    <row r="498" spans="2:2" ht="15.75" customHeight="1">
      <c r="B498" s="1"/>
    </row>
    <row r="499" spans="2:2" ht="15.75" customHeight="1">
      <c r="B499" s="1"/>
    </row>
    <row r="500" spans="2:2" ht="15.75" customHeight="1">
      <c r="B500" s="1"/>
    </row>
    <row r="501" spans="2:2" ht="15.75" customHeight="1">
      <c r="B501" s="1"/>
    </row>
    <row r="502" spans="2:2" ht="15.75" customHeight="1">
      <c r="B502" s="1"/>
    </row>
    <row r="503" spans="2:2" ht="15.75" customHeight="1">
      <c r="B503" s="1"/>
    </row>
    <row r="504" spans="2:2" ht="15.75" customHeight="1">
      <c r="B504" s="1"/>
    </row>
    <row r="505" spans="2:2" ht="15.75" customHeight="1">
      <c r="B505" s="1"/>
    </row>
    <row r="506" spans="2:2" ht="15.75" customHeight="1">
      <c r="B506" s="1"/>
    </row>
    <row r="507" spans="2:2" ht="15.75" customHeight="1">
      <c r="B507" s="1"/>
    </row>
    <row r="508" spans="2:2" ht="15.75" customHeight="1">
      <c r="B508" s="1"/>
    </row>
    <row r="509" spans="2:2" ht="15.75" customHeight="1">
      <c r="B509" s="1"/>
    </row>
    <row r="510" spans="2:2" ht="15.75" customHeight="1">
      <c r="B510" s="1"/>
    </row>
    <row r="511" spans="2:2" ht="15.75" customHeight="1">
      <c r="B511" s="1"/>
    </row>
    <row r="512" spans="2:2" ht="15.75" customHeight="1">
      <c r="B512" s="1"/>
    </row>
    <row r="513" spans="2:2" ht="15.75" customHeight="1">
      <c r="B513" s="1"/>
    </row>
    <row r="514" spans="2:2" ht="15.75" customHeight="1">
      <c r="B514" s="1"/>
    </row>
    <row r="515" spans="2:2" ht="15.75" customHeight="1">
      <c r="B515" s="1"/>
    </row>
    <row r="516" spans="2:2" ht="15.75" customHeight="1">
      <c r="B516" s="1"/>
    </row>
    <row r="517" spans="2:2" ht="15.75" customHeight="1">
      <c r="B517" s="1"/>
    </row>
    <row r="518" spans="2:2" ht="15.75" customHeight="1">
      <c r="B518" s="1"/>
    </row>
    <row r="519" spans="2:2" ht="15.75" customHeight="1">
      <c r="B519" s="1"/>
    </row>
    <row r="520" spans="2:2" ht="15.75" customHeight="1">
      <c r="B520" s="1"/>
    </row>
    <row r="521" spans="2:2" ht="15.75" customHeight="1">
      <c r="B521" s="1"/>
    </row>
    <row r="522" spans="2:2" ht="15.75" customHeight="1">
      <c r="B522" s="1"/>
    </row>
    <row r="523" spans="2:2" ht="15.75" customHeight="1">
      <c r="B523" s="1"/>
    </row>
    <row r="524" spans="2:2" ht="15.75" customHeight="1">
      <c r="B524" s="1"/>
    </row>
    <row r="525" spans="2:2" ht="15.75" customHeight="1">
      <c r="B525" s="1"/>
    </row>
    <row r="526" spans="2:2" ht="15.75" customHeight="1">
      <c r="B526" s="1"/>
    </row>
    <row r="527" spans="2:2" ht="15.75" customHeight="1">
      <c r="B527" s="1"/>
    </row>
    <row r="528" spans="2:2" ht="15.75" customHeight="1">
      <c r="B528" s="1"/>
    </row>
    <row r="529" spans="2:2" ht="15.75" customHeight="1">
      <c r="B529" s="1"/>
    </row>
    <row r="530" spans="2:2" ht="15.75" customHeight="1">
      <c r="B530" s="1"/>
    </row>
    <row r="531" spans="2:2" ht="15.75" customHeight="1">
      <c r="B531" s="1"/>
    </row>
    <row r="532" spans="2:2" ht="15.75" customHeight="1">
      <c r="B532" s="1"/>
    </row>
    <row r="533" spans="2:2" ht="15.75" customHeight="1">
      <c r="B533" s="1"/>
    </row>
    <row r="534" spans="2:2" ht="15.75" customHeight="1">
      <c r="B534" s="1"/>
    </row>
    <row r="535" spans="2:2" ht="15.75" customHeight="1">
      <c r="B535" s="1"/>
    </row>
    <row r="536" spans="2:2" ht="15.75" customHeight="1">
      <c r="B536" s="1"/>
    </row>
    <row r="537" spans="2:2" ht="15.75" customHeight="1">
      <c r="B537" s="1"/>
    </row>
    <row r="538" spans="2:2" ht="15.75" customHeight="1">
      <c r="B538" s="1"/>
    </row>
    <row r="539" spans="2:2" ht="15.75" customHeight="1">
      <c r="B539" s="1"/>
    </row>
    <row r="540" spans="2:2" ht="15.75" customHeight="1">
      <c r="B540" s="1"/>
    </row>
    <row r="541" spans="2:2" ht="15.75" customHeight="1">
      <c r="B541" s="1"/>
    </row>
    <row r="542" spans="2:2" ht="15.75" customHeight="1">
      <c r="B542" s="1"/>
    </row>
    <row r="543" spans="2:2" ht="15.75" customHeight="1">
      <c r="B543" s="1"/>
    </row>
    <row r="544" spans="2:2" ht="15.75" customHeight="1">
      <c r="B544" s="1"/>
    </row>
    <row r="545" spans="2:2" ht="15.75" customHeight="1">
      <c r="B545" s="1"/>
    </row>
    <row r="546" spans="2:2" ht="15.75" customHeight="1">
      <c r="B546" s="1"/>
    </row>
    <row r="547" spans="2:2" ht="15.75" customHeight="1">
      <c r="B547" s="1"/>
    </row>
    <row r="548" spans="2:2" ht="15.75" customHeight="1">
      <c r="B548" s="1"/>
    </row>
    <row r="549" spans="2:2" ht="15.75" customHeight="1">
      <c r="B549" s="1"/>
    </row>
    <row r="550" spans="2:2" ht="15.75" customHeight="1">
      <c r="B550" s="1"/>
    </row>
    <row r="551" spans="2:2" ht="15.75" customHeight="1">
      <c r="B551" s="1"/>
    </row>
    <row r="552" spans="2:2" ht="15.75" customHeight="1">
      <c r="B552" s="1"/>
    </row>
    <row r="553" spans="2:2" ht="15.75" customHeight="1">
      <c r="B553" s="1"/>
    </row>
    <row r="554" spans="2:2" ht="15.75" customHeight="1">
      <c r="B554" s="1"/>
    </row>
    <row r="555" spans="2:2" ht="15.75" customHeight="1">
      <c r="B555" s="1"/>
    </row>
    <row r="556" spans="2:2" ht="15.75" customHeight="1">
      <c r="B556" s="1"/>
    </row>
    <row r="557" spans="2:2" ht="15.75" customHeight="1">
      <c r="B557" s="1"/>
    </row>
    <row r="558" spans="2:2" ht="15.75" customHeight="1">
      <c r="B558" s="1"/>
    </row>
    <row r="559" spans="2:2" ht="15.75" customHeight="1">
      <c r="B559" s="1"/>
    </row>
    <row r="560" spans="2:2" ht="15.75" customHeight="1">
      <c r="B560" s="1"/>
    </row>
    <row r="561" spans="2:2" ht="15.75" customHeight="1">
      <c r="B561" s="1"/>
    </row>
    <row r="562" spans="2:2" ht="15.75" customHeight="1">
      <c r="B562" s="1"/>
    </row>
    <row r="563" spans="2:2" ht="15.75" customHeight="1">
      <c r="B563" s="1"/>
    </row>
    <row r="564" spans="2:2" ht="15.75" customHeight="1">
      <c r="B564" s="1"/>
    </row>
    <row r="565" spans="2:2" ht="15.75" customHeight="1">
      <c r="B565" s="1"/>
    </row>
    <row r="566" spans="2:2" ht="15.75" customHeight="1">
      <c r="B566" s="1"/>
    </row>
    <row r="567" spans="2:2" ht="15.75" customHeight="1">
      <c r="B567" s="1"/>
    </row>
    <row r="568" spans="2:2" ht="15.75" customHeight="1">
      <c r="B568" s="1"/>
    </row>
    <row r="569" spans="2:2" ht="15.75" customHeight="1">
      <c r="B569" s="1"/>
    </row>
    <row r="570" spans="2:2" ht="15.75" customHeight="1">
      <c r="B570" s="1"/>
    </row>
    <row r="571" spans="2:2" ht="15.75" customHeight="1">
      <c r="B571" s="1"/>
    </row>
    <row r="572" spans="2:2" ht="15.75" customHeight="1">
      <c r="B572" s="1"/>
    </row>
    <row r="573" spans="2:2" ht="15.75" customHeight="1">
      <c r="B573" s="1"/>
    </row>
    <row r="574" spans="2:2" ht="15.75" customHeight="1">
      <c r="B574" s="1"/>
    </row>
    <row r="575" spans="2:2" ht="15.75" customHeight="1">
      <c r="B575" s="1"/>
    </row>
    <row r="576" spans="2:2" ht="15.75" customHeight="1">
      <c r="B576" s="1"/>
    </row>
    <row r="577" spans="2:2" ht="15.75" customHeight="1">
      <c r="B577" s="1"/>
    </row>
    <row r="578" spans="2:2" ht="15.75" customHeight="1">
      <c r="B578" s="1"/>
    </row>
    <row r="579" spans="2:2" ht="15.75" customHeight="1">
      <c r="B579" s="1"/>
    </row>
    <row r="580" spans="2:2" ht="15.75" customHeight="1">
      <c r="B580" s="1"/>
    </row>
    <row r="581" spans="2:2" ht="15.75" customHeight="1">
      <c r="B581" s="1"/>
    </row>
    <row r="582" spans="2:2" ht="15.75" customHeight="1">
      <c r="B582" s="1"/>
    </row>
    <row r="583" spans="2:2" ht="15.75" customHeight="1">
      <c r="B583" s="1"/>
    </row>
    <row r="584" spans="2:2" ht="15.75" customHeight="1">
      <c r="B584" s="1"/>
    </row>
    <row r="585" spans="2:2" ht="15.75" customHeight="1">
      <c r="B585" s="1"/>
    </row>
    <row r="586" spans="2:2" ht="15.75" customHeight="1">
      <c r="B586" s="1"/>
    </row>
    <row r="587" spans="2:2" ht="15.75" customHeight="1">
      <c r="B587" s="1"/>
    </row>
    <row r="588" spans="2:2" ht="15.75" customHeight="1">
      <c r="B588" s="1"/>
    </row>
    <row r="589" spans="2:2" ht="15.75" customHeight="1">
      <c r="B589" s="1"/>
    </row>
    <row r="590" spans="2:2" ht="15.75" customHeight="1">
      <c r="B590" s="1"/>
    </row>
    <row r="591" spans="2:2" ht="15.75" customHeight="1">
      <c r="B591" s="1"/>
    </row>
    <row r="592" spans="2:2" ht="15.75" customHeight="1">
      <c r="B592" s="1"/>
    </row>
    <row r="593" spans="2:2" ht="15.75" customHeight="1">
      <c r="B593" s="1"/>
    </row>
    <row r="594" spans="2:2" ht="15.75" customHeight="1">
      <c r="B594" s="1"/>
    </row>
    <row r="595" spans="2:2" ht="15.75" customHeight="1">
      <c r="B595" s="1"/>
    </row>
    <row r="596" spans="2:2" ht="15.75" customHeight="1">
      <c r="B596" s="1"/>
    </row>
    <row r="597" spans="2:2" ht="15.75" customHeight="1">
      <c r="B597" s="1"/>
    </row>
    <row r="598" spans="2:2" ht="15.75" customHeight="1">
      <c r="B598" s="1"/>
    </row>
    <row r="599" spans="2:2" ht="15.75" customHeight="1">
      <c r="B599" s="1"/>
    </row>
    <row r="600" spans="2:2" ht="15.75" customHeight="1">
      <c r="B600" s="1"/>
    </row>
    <row r="601" spans="2:2" ht="15.75" customHeight="1">
      <c r="B601" s="1"/>
    </row>
    <row r="602" spans="2:2" ht="15.75" customHeight="1">
      <c r="B602" s="1"/>
    </row>
    <row r="603" spans="2:2" ht="15.75" customHeight="1">
      <c r="B603" s="1"/>
    </row>
    <row r="604" spans="2:2" ht="15.75" customHeight="1">
      <c r="B604" s="1"/>
    </row>
    <row r="605" spans="2:2" ht="15.75" customHeight="1">
      <c r="B605" s="1"/>
    </row>
    <row r="606" spans="2:2" ht="15.75" customHeight="1">
      <c r="B606" s="1"/>
    </row>
    <row r="607" spans="2:2" ht="15.75" customHeight="1">
      <c r="B607" s="1"/>
    </row>
    <row r="608" spans="2:2" ht="15.75" customHeight="1">
      <c r="B608" s="1"/>
    </row>
    <row r="609" spans="2:2" ht="15.75" customHeight="1">
      <c r="B609" s="1"/>
    </row>
    <row r="610" spans="2:2" ht="15.75" customHeight="1">
      <c r="B610" s="1"/>
    </row>
    <row r="611" spans="2:2" ht="15.75" customHeight="1">
      <c r="B611" s="1"/>
    </row>
    <row r="612" spans="2:2" ht="15.75" customHeight="1">
      <c r="B612" s="1"/>
    </row>
    <row r="613" spans="2:2" ht="15.75" customHeight="1">
      <c r="B613" s="1"/>
    </row>
    <row r="614" spans="2:2" ht="15.75" customHeight="1">
      <c r="B614" s="1"/>
    </row>
    <row r="615" spans="2:2" ht="15.75" customHeight="1">
      <c r="B615" s="1"/>
    </row>
    <row r="616" spans="2:2" ht="15.75" customHeight="1">
      <c r="B616" s="1"/>
    </row>
    <row r="617" spans="2:2" ht="15.75" customHeight="1">
      <c r="B617" s="1"/>
    </row>
    <row r="618" spans="2:2" ht="15.75" customHeight="1">
      <c r="B618" s="1"/>
    </row>
    <row r="619" spans="2:2" ht="15.75" customHeight="1">
      <c r="B619" s="1"/>
    </row>
    <row r="620" spans="2:2" ht="15.75" customHeight="1">
      <c r="B620" s="1"/>
    </row>
    <row r="621" spans="2:2" ht="15.75" customHeight="1">
      <c r="B621" s="1"/>
    </row>
    <row r="622" spans="2:2" ht="15.75" customHeight="1">
      <c r="B622" s="1"/>
    </row>
    <row r="623" spans="2:2" ht="15.75" customHeight="1">
      <c r="B623" s="1"/>
    </row>
    <row r="624" spans="2:2" ht="15.75" customHeight="1">
      <c r="B624" s="1"/>
    </row>
    <row r="625" spans="2:2" ht="15.75" customHeight="1">
      <c r="B625" s="1"/>
    </row>
    <row r="626" spans="2:2" ht="15.75" customHeight="1">
      <c r="B626" s="1"/>
    </row>
    <row r="627" spans="2:2" ht="15.75" customHeight="1">
      <c r="B627" s="1"/>
    </row>
    <row r="628" spans="2:2" ht="15.75" customHeight="1">
      <c r="B628" s="1"/>
    </row>
    <row r="629" spans="2:2" ht="15.75" customHeight="1">
      <c r="B629" s="1"/>
    </row>
    <row r="630" spans="2:2" ht="15.75" customHeight="1">
      <c r="B630" s="1"/>
    </row>
    <row r="631" spans="2:2" ht="15.75" customHeight="1">
      <c r="B631" s="1"/>
    </row>
    <row r="632" spans="2:2" ht="15.75" customHeight="1">
      <c r="B632" s="1"/>
    </row>
    <row r="633" spans="2:2" ht="15.75" customHeight="1">
      <c r="B633" s="1"/>
    </row>
    <row r="634" spans="2:2" ht="15.75" customHeight="1">
      <c r="B634" s="1"/>
    </row>
    <row r="635" spans="2:2" ht="15.75" customHeight="1">
      <c r="B635" s="1"/>
    </row>
    <row r="636" spans="2:2" ht="15.75" customHeight="1">
      <c r="B636" s="1"/>
    </row>
    <row r="637" spans="2:2" ht="15.75" customHeight="1">
      <c r="B637" s="1"/>
    </row>
    <row r="638" spans="2:2" ht="15.75" customHeight="1">
      <c r="B638" s="1"/>
    </row>
    <row r="639" spans="2:2" ht="15.75" customHeight="1">
      <c r="B639" s="1"/>
    </row>
    <row r="640" spans="2:2" ht="15.75" customHeight="1">
      <c r="B640" s="1"/>
    </row>
    <row r="641" spans="2:2" ht="15.75" customHeight="1">
      <c r="B641" s="1"/>
    </row>
    <row r="642" spans="2:2" ht="15.75" customHeight="1">
      <c r="B642" s="1"/>
    </row>
    <row r="643" spans="2:2" ht="15.75" customHeight="1">
      <c r="B643" s="1"/>
    </row>
    <row r="644" spans="2:2" ht="15.75" customHeight="1">
      <c r="B644" s="1"/>
    </row>
    <row r="645" spans="2:2" ht="15.75" customHeight="1">
      <c r="B645" s="1"/>
    </row>
    <row r="646" spans="2:2" ht="15.75" customHeight="1">
      <c r="B646" s="1"/>
    </row>
    <row r="647" spans="2:2" ht="15.75" customHeight="1">
      <c r="B647" s="1"/>
    </row>
    <row r="648" spans="2:2" ht="15.75" customHeight="1">
      <c r="B648" s="1"/>
    </row>
    <row r="649" spans="2:2" ht="15.75" customHeight="1">
      <c r="B649" s="1"/>
    </row>
    <row r="650" spans="2:2" ht="15.75" customHeight="1">
      <c r="B650" s="1"/>
    </row>
    <row r="651" spans="2:2" ht="15.75" customHeight="1">
      <c r="B651" s="1"/>
    </row>
    <row r="652" spans="2:2" ht="15.75" customHeight="1">
      <c r="B652" s="1"/>
    </row>
    <row r="653" spans="2:2" ht="15.75" customHeight="1">
      <c r="B653" s="1"/>
    </row>
    <row r="654" spans="2:2" ht="15.75" customHeight="1">
      <c r="B654" s="1"/>
    </row>
    <row r="655" spans="2:2" ht="15.75" customHeight="1">
      <c r="B655" s="1"/>
    </row>
    <row r="656" spans="2:2" ht="15.75" customHeight="1">
      <c r="B656" s="1"/>
    </row>
    <row r="657" spans="2:2" ht="15.75" customHeight="1">
      <c r="B657" s="1"/>
    </row>
    <row r="658" spans="2:2" ht="15.75" customHeight="1">
      <c r="B658" s="1"/>
    </row>
    <row r="659" spans="2:2" ht="15.75" customHeight="1">
      <c r="B659" s="1"/>
    </row>
    <row r="660" spans="2:2" ht="15.75" customHeight="1">
      <c r="B660" s="1"/>
    </row>
    <row r="661" spans="2:2" ht="15.75" customHeight="1">
      <c r="B661" s="1"/>
    </row>
    <row r="662" spans="2:2" ht="15.75" customHeight="1">
      <c r="B662" s="1"/>
    </row>
    <row r="663" spans="2:2" ht="15.75" customHeight="1">
      <c r="B663" s="1"/>
    </row>
    <row r="664" spans="2:2" ht="15.75" customHeight="1">
      <c r="B664" s="1"/>
    </row>
    <row r="665" spans="2:2" ht="15.75" customHeight="1">
      <c r="B665" s="1"/>
    </row>
    <row r="666" spans="2:2" ht="15.75" customHeight="1">
      <c r="B666" s="1"/>
    </row>
    <row r="667" spans="2:2" ht="15.75" customHeight="1">
      <c r="B667" s="1"/>
    </row>
    <row r="668" spans="2:2" ht="15.75" customHeight="1">
      <c r="B668" s="1"/>
    </row>
    <row r="669" spans="2:2" ht="15.75" customHeight="1">
      <c r="B669" s="1"/>
    </row>
    <row r="670" spans="2:2" ht="15.75" customHeight="1">
      <c r="B670" s="1"/>
    </row>
    <row r="671" spans="2:2" ht="15.75" customHeight="1">
      <c r="B671" s="1"/>
    </row>
    <row r="672" spans="2:2" ht="15.75" customHeight="1">
      <c r="B672" s="1"/>
    </row>
    <row r="673" spans="2:2" ht="15.75" customHeight="1">
      <c r="B673" s="1"/>
    </row>
    <row r="674" spans="2:2" ht="15.75" customHeight="1">
      <c r="B674" s="1"/>
    </row>
    <row r="675" spans="2:2" ht="15.75" customHeight="1">
      <c r="B675" s="1"/>
    </row>
    <row r="676" spans="2:2" ht="15.75" customHeight="1">
      <c r="B676" s="1"/>
    </row>
    <row r="677" spans="2:2" ht="15.75" customHeight="1">
      <c r="B677" s="1"/>
    </row>
    <row r="678" spans="2:2" ht="15.75" customHeight="1">
      <c r="B678" s="1"/>
    </row>
    <row r="679" spans="2:2" ht="15.75" customHeight="1">
      <c r="B679" s="1"/>
    </row>
    <row r="680" spans="2:2" ht="15.75" customHeight="1">
      <c r="B680" s="1"/>
    </row>
    <row r="681" spans="2:2" ht="15.75" customHeight="1">
      <c r="B681" s="1"/>
    </row>
    <row r="682" spans="2:2" ht="15.75" customHeight="1">
      <c r="B682" s="1"/>
    </row>
    <row r="683" spans="2:2" ht="15.75" customHeight="1">
      <c r="B683" s="1"/>
    </row>
    <row r="684" spans="2:2" ht="15.75" customHeight="1">
      <c r="B684" s="1"/>
    </row>
    <row r="685" spans="2:2" ht="15.75" customHeight="1">
      <c r="B685" s="1"/>
    </row>
    <row r="686" spans="2:2" ht="15.75" customHeight="1">
      <c r="B686" s="1"/>
    </row>
    <row r="687" spans="2:2" ht="15.75" customHeight="1">
      <c r="B687" s="1"/>
    </row>
    <row r="688" spans="2:2" ht="15.75" customHeight="1">
      <c r="B688" s="1"/>
    </row>
    <row r="689" spans="2:2" ht="15.75" customHeight="1">
      <c r="B689" s="1"/>
    </row>
    <row r="690" spans="2:2" ht="15.75" customHeight="1">
      <c r="B690" s="1"/>
    </row>
    <row r="691" spans="2:2" ht="15.75" customHeight="1">
      <c r="B691" s="1"/>
    </row>
    <row r="692" spans="2:2" ht="15.75" customHeight="1">
      <c r="B692" s="1"/>
    </row>
    <row r="693" spans="2:2" ht="15.75" customHeight="1">
      <c r="B693" s="1"/>
    </row>
    <row r="694" spans="2:2" ht="15.75" customHeight="1">
      <c r="B694" s="1"/>
    </row>
    <row r="695" spans="2:2" ht="15.75" customHeight="1">
      <c r="B695" s="1"/>
    </row>
    <row r="696" spans="2:2" ht="15.75" customHeight="1">
      <c r="B696" s="1"/>
    </row>
    <row r="697" spans="2:2" ht="15.75" customHeight="1">
      <c r="B697" s="1"/>
    </row>
    <row r="698" spans="2:2" ht="15.75" customHeight="1">
      <c r="B698" s="1"/>
    </row>
    <row r="699" spans="2:2" ht="15.75" customHeight="1">
      <c r="B699" s="1"/>
    </row>
    <row r="700" spans="2:2" ht="15.75" customHeight="1">
      <c r="B700" s="1"/>
    </row>
    <row r="701" spans="2:2" ht="15.75" customHeight="1">
      <c r="B701" s="1"/>
    </row>
    <row r="702" spans="2:2" ht="15.75" customHeight="1">
      <c r="B702" s="1"/>
    </row>
    <row r="703" spans="2:2" ht="15.75" customHeight="1">
      <c r="B703" s="1"/>
    </row>
    <row r="704" spans="2:2" ht="15.75" customHeight="1">
      <c r="B704" s="1"/>
    </row>
    <row r="705" spans="2:2" ht="15.75" customHeight="1">
      <c r="B705" s="1"/>
    </row>
    <row r="706" spans="2:2" ht="15.75" customHeight="1">
      <c r="B706" s="1"/>
    </row>
    <row r="707" spans="2:2" ht="15.75" customHeight="1">
      <c r="B707" s="1"/>
    </row>
    <row r="708" spans="2:2" ht="15.75" customHeight="1">
      <c r="B708" s="1"/>
    </row>
    <row r="709" spans="2:2" ht="15.75" customHeight="1">
      <c r="B709" s="1"/>
    </row>
    <row r="710" spans="2:2" ht="15.75" customHeight="1">
      <c r="B710" s="1"/>
    </row>
    <row r="711" spans="2:2" ht="15.75" customHeight="1">
      <c r="B711" s="1"/>
    </row>
    <row r="712" spans="2:2" ht="15.75" customHeight="1">
      <c r="B712" s="1"/>
    </row>
    <row r="713" spans="2:2" ht="15.75" customHeight="1">
      <c r="B713" s="1"/>
    </row>
    <row r="714" spans="2:2" ht="15.75" customHeight="1">
      <c r="B714" s="1"/>
    </row>
    <row r="715" spans="2:2" ht="15.75" customHeight="1">
      <c r="B715" s="1"/>
    </row>
    <row r="716" spans="2:2" ht="15.75" customHeight="1">
      <c r="B716" s="1"/>
    </row>
    <row r="717" spans="2:2" ht="15.75" customHeight="1">
      <c r="B717" s="1"/>
    </row>
    <row r="718" spans="2:2" ht="15.75" customHeight="1">
      <c r="B718" s="1"/>
    </row>
    <row r="719" spans="2:2" ht="15.75" customHeight="1">
      <c r="B719" s="1"/>
    </row>
    <row r="720" spans="2:2" ht="15.75" customHeight="1">
      <c r="B720" s="1"/>
    </row>
    <row r="721" spans="2:2" ht="15.75" customHeight="1">
      <c r="B721" s="1"/>
    </row>
    <row r="722" spans="2:2" ht="15.75" customHeight="1">
      <c r="B722" s="1"/>
    </row>
    <row r="723" spans="2:2" ht="15.75" customHeight="1">
      <c r="B723" s="1"/>
    </row>
    <row r="724" spans="2:2" ht="15.75" customHeight="1">
      <c r="B724" s="1"/>
    </row>
    <row r="725" spans="2:2" ht="15.75" customHeight="1">
      <c r="B725" s="1"/>
    </row>
    <row r="726" spans="2:2" ht="15.75" customHeight="1">
      <c r="B726" s="1"/>
    </row>
    <row r="727" spans="2:2" ht="15.75" customHeight="1">
      <c r="B727" s="1"/>
    </row>
    <row r="728" spans="2:2" ht="15.75" customHeight="1">
      <c r="B728" s="1"/>
    </row>
    <row r="729" spans="2:2" ht="15.75" customHeight="1">
      <c r="B729" s="1"/>
    </row>
    <row r="730" spans="2:2" ht="15.75" customHeight="1">
      <c r="B730" s="1"/>
    </row>
    <row r="731" spans="2:2" ht="15.75" customHeight="1">
      <c r="B731" s="1"/>
    </row>
    <row r="732" spans="2:2" ht="15.75" customHeight="1">
      <c r="B732" s="1"/>
    </row>
    <row r="733" spans="2:2" ht="15.75" customHeight="1">
      <c r="B733" s="1"/>
    </row>
    <row r="734" spans="2:2" ht="15.75" customHeight="1">
      <c r="B734" s="1"/>
    </row>
    <row r="735" spans="2:2" ht="15.75" customHeight="1">
      <c r="B735" s="1"/>
    </row>
    <row r="736" spans="2:2" ht="15.75" customHeight="1">
      <c r="B736" s="1"/>
    </row>
    <row r="737" spans="2:2" ht="15.75" customHeight="1">
      <c r="B737" s="1"/>
    </row>
    <row r="738" spans="2:2" ht="15.75" customHeight="1">
      <c r="B738" s="1"/>
    </row>
    <row r="739" spans="2:2" ht="15.75" customHeight="1">
      <c r="B739" s="1"/>
    </row>
    <row r="740" spans="2:2" ht="15.75" customHeight="1">
      <c r="B740" s="1"/>
    </row>
    <row r="741" spans="2:2" ht="15.75" customHeight="1">
      <c r="B741" s="1"/>
    </row>
    <row r="742" spans="2:2" ht="15.75" customHeight="1">
      <c r="B742" s="1"/>
    </row>
    <row r="743" spans="2:2" ht="15.75" customHeight="1">
      <c r="B743" s="1"/>
    </row>
    <row r="744" spans="2:2" ht="15.75" customHeight="1">
      <c r="B744" s="1"/>
    </row>
    <row r="745" spans="2:2" ht="15.75" customHeight="1">
      <c r="B745" s="1"/>
    </row>
    <row r="746" spans="2:2" ht="15.75" customHeight="1">
      <c r="B746" s="1"/>
    </row>
    <row r="747" spans="2:2" ht="15.75" customHeight="1">
      <c r="B747" s="1"/>
    </row>
    <row r="748" spans="2:2" ht="15.75" customHeight="1">
      <c r="B748" s="1"/>
    </row>
    <row r="749" spans="2:2" ht="15.75" customHeight="1">
      <c r="B749" s="1"/>
    </row>
    <row r="750" spans="2:2" ht="15.75" customHeight="1">
      <c r="B750" s="1"/>
    </row>
    <row r="751" spans="2:2" ht="15.75" customHeight="1">
      <c r="B751" s="1"/>
    </row>
    <row r="752" spans="2:2" ht="15.75" customHeight="1">
      <c r="B752" s="1"/>
    </row>
    <row r="753" spans="2:2" ht="15.75" customHeight="1">
      <c r="B753" s="1"/>
    </row>
    <row r="754" spans="2:2" ht="15.75" customHeight="1">
      <c r="B754" s="1"/>
    </row>
    <row r="755" spans="2:2" ht="15.75" customHeight="1">
      <c r="B755" s="1"/>
    </row>
    <row r="756" spans="2:2" ht="15.75" customHeight="1">
      <c r="B756" s="1"/>
    </row>
    <row r="757" spans="2:2" ht="15.75" customHeight="1">
      <c r="B757" s="1"/>
    </row>
    <row r="758" spans="2:2" ht="15.75" customHeight="1">
      <c r="B758" s="1"/>
    </row>
    <row r="759" spans="2:2" ht="15.75" customHeight="1">
      <c r="B759" s="1"/>
    </row>
    <row r="760" spans="2:2" ht="15.75" customHeight="1">
      <c r="B760" s="1"/>
    </row>
    <row r="761" spans="2:2" ht="15.75" customHeight="1">
      <c r="B761" s="1"/>
    </row>
    <row r="762" spans="2:2" ht="15.75" customHeight="1">
      <c r="B762" s="1"/>
    </row>
    <row r="763" spans="2:2" ht="15.75" customHeight="1">
      <c r="B763" s="1"/>
    </row>
    <row r="764" spans="2:2" ht="15.75" customHeight="1">
      <c r="B764" s="1"/>
    </row>
    <row r="765" spans="2:2" ht="15.75" customHeight="1">
      <c r="B765" s="1"/>
    </row>
    <row r="766" spans="2:2" ht="15.75" customHeight="1">
      <c r="B766" s="1"/>
    </row>
    <row r="767" spans="2:2" ht="15.75" customHeight="1">
      <c r="B767" s="1"/>
    </row>
    <row r="768" spans="2:2" ht="15.75" customHeight="1">
      <c r="B768" s="1"/>
    </row>
    <row r="769" spans="2:2" ht="15.75" customHeight="1">
      <c r="B769" s="1"/>
    </row>
    <row r="770" spans="2:2" ht="15.75" customHeight="1">
      <c r="B770" s="1"/>
    </row>
    <row r="771" spans="2:2" ht="15.75" customHeight="1">
      <c r="B771" s="1"/>
    </row>
    <row r="772" spans="2:2" ht="15.75" customHeight="1">
      <c r="B772" s="1"/>
    </row>
    <row r="773" spans="2:2" ht="15.75" customHeight="1">
      <c r="B773" s="1"/>
    </row>
    <row r="774" spans="2:2" ht="15.75" customHeight="1">
      <c r="B774" s="1"/>
    </row>
    <row r="775" spans="2:2" ht="15.75" customHeight="1">
      <c r="B775" s="1"/>
    </row>
    <row r="776" spans="2:2" ht="15.75" customHeight="1">
      <c r="B776" s="1"/>
    </row>
    <row r="777" spans="2:2" ht="15.75" customHeight="1">
      <c r="B777" s="1"/>
    </row>
    <row r="778" spans="2:2" ht="15.75" customHeight="1">
      <c r="B778" s="1"/>
    </row>
    <row r="779" spans="2:2" ht="15.75" customHeight="1">
      <c r="B779" s="1"/>
    </row>
    <row r="780" spans="2:2" ht="15.75" customHeight="1">
      <c r="B780" s="1"/>
    </row>
    <row r="781" spans="2:2" ht="15.75" customHeight="1">
      <c r="B781" s="1"/>
    </row>
    <row r="782" spans="2:2" ht="15.75" customHeight="1">
      <c r="B782" s="1"/>
    </row>
    <row r="783" spans="2:2" ht="15.75" customHeight="1">
      <c r="B783" s="1"/>
    </row>
    <row r="784" spans="2:2" ht="15.75" customHeight="1">
      <c r="B784" s="1"/>
    </row>
    <row r="785" spans="2:2" ht="15.75" customHeight="1">
      <c r="B785" s="1"/>
    </row>
    <row r="786" spans="2:2" ht="15.75" customHeight="1">
      <c r="B786" s="1"/>
    </row>
    <row r="787" spans="2:2" ht="15.75" customHeight="1">
      <c r="B787" s="1"/>
    </row>
    <row r="788" spans="2:2" ht="15.75" customHeight="1">
      <c r="B788" s="1"/>
    </row>
    <row r="789" spans="2:2" ht="15.75" customHeight="1">
      <c r="B789" s="1"/>
    </row>
    <row r="790" spans="2:2" ht="15.75" customHeight="1">
      <c r="B790" s="1"/>
    </row>
    <row r="791" spans="2:2" ht="15.75" customHeight="1">
      <c r="B791" s="1"/>
    </row>
    <row r="792" spans="2:2" ht="15.75" customHeight="1">
      <c r="B792" s="1"/>
    </row>
    <row r="793" spans="2:2" ht="15.75" customHeight="1">
      <c r="B793" s="1"/>
    </row>
    <row r="794" spans="2:2" ht="15.75" customHeight="1">
      <c r="B794" s="1"/>
    </row>
    <row r="795" spans="2:2" ht="15.75" customHeight="1">
      <c r="B795" s="1"/>
    </row>
    <row r="796" spans="2:2" ht="15.75" customHeight="1">
      <c r="B796" s="1"/>
    </row>
    <row r="797" spans="2:2" ht="15.75" customHeight="1">
      <c r="B797" s="1"/>
    </row>
    <row r="798" spans="2:2" ht="15.75" customHeight="1">
      <c r="B798" s="1"/>
    </row>
    <row r="799" spans="2:2" ht="15.75" customHeight="1">
      <c r="B799" s="1"/>
    </row>
    <row r="800" spans="2:2" ht="15.75" customHeight="1">
      <c r="B800" s="1"/>
    </row>
    <row r="801" spans="2:2" ht="15.75" customHeight="1">
      <c r="B801" s="1"/>
    </row>
    <row r="802" spans="2:2" ht="15.75" customHeight="1">
      <c r="B802" s="1"/>
    </row>
    <row r="803" spans="2:2" ht="15.75" customHeight="1">
      <c r="B803" s="1"/>
    </row>
    <row r="804" spans="2:2" ht="15.75" customHeight="1">
      <c r="B804" s="1"/>
    </row>
    <row r="805" spans="2:2" ht="15.75" customHeight="1">
      <c r="B805" s="1"/>
    </row>
    <row r="806" spans="2:2" ht="15.75" customHeight="1">
      <c r="B806" s="1"/>
    </row>
    <row r="807" spans="2:2" ht="15.75" customHeight="1">
      <c r="B807" s="1"/>
    </row>
    <row r="808" spans="2:2" ht="15.75" customHeight="1">
      <c r="B808" s="1"/>
    </row>
    <row r="809" spans="2:2" ht="15.75" customHeight="1">
      <c r="B809" s="1"/>
    </row>
    <row r="810" spans="2:2" ht="15.75" customHeight="1">
      <c r="B810" s="1"/>
    </row>
    <row r="811" spans="2:2" ht="15.75" customHeight="1">
      <c r="B811" s="1"/>
    </row>
    <row r="812" spans="2:2" ht="15.75" customHeight="1">
      <c r="B812" s="1"/>
    </row>
    <row r="813" spans="2:2" ht="15.75" customHeight="1">
      <c r="B813" s="1"/>
    </row>
    <row r="814" spans="2:2" ht="15.75" customHeight="1">
      <c r="B814" s="1"/>
    </row>
    <row r="815" spans="2:2" ht="15.75" customHeight="1">
      <c r="B815" s="1"/>
    </row>
    <row r="816" spans="2:2" ht="15.75" customHeight="1">
      <c r="B816" s="1"/>
    </row>
    <row r="817" spans="2:2" ht="15.75" customHeight="1">
      <c r="B817" s="1"/>
    </row>
    <row r="818" spans="2:2" ht="15.75" customHeight="1">
      <c r="B818" s="1"/>
    </row>
    <row r="819" spans="2:2" ht="15.75" customHeight="1">
      <c r="B819" s="1"/>
    </row>
    <row r="820" spans="2:2" ht="15.75" customHeight="1">
      <c r="B820" s="1"/>
    </row>
    <row r="821" spans="2:2" ht="15.75" customHeight="1">
      <c r="B821" s="1"/>
    </row>
    <row r="822" spans="2:2" ht="15.75" customHeight="1">
      <c r="B822" s="1"/>
    </row>
    <row r="823" spans="2:2" ht="15.75" customHeight="1">
      <c r="B823" s="1"/>
    </row>
    <row r="824" spans="2:2" ht="15.75" customHeight="1">
      <c r="B824" s="1"/>
    </row>
    <row r="825" spans="2:2" ht="15.75" customHeight="1">
      <c r="B825" s="1"/>
    </row>
    <row r="826" spans="2:2" ht="15.75" customHeight="1">
      <c r="B826" s="1"/>
    </row>
    <row r="827" spans="2:2" ht="15.75" customHeight="1">
      <c r="B827" s="1"/>
    </row>
    <row r="828" spans="2:2" ht="15.75" customHeight="1">
      <c r="B828" s="1"/>
    </row>
    <row r="829" spans="2:2" ht="15.75" customHeight="1">
      <c r="B829" s="1"/>
    </row>
    <row r="830" spans="2:2" ht="15.75" customHeight="1">
      <c r="B830" s="1"/>
    </row>
    <row r="831" spans="2:2" ht="15.75" customHeight="1">
      <c r="B831" s="1"/>
    </row>
    <row r="832" spans="2:2" ht="15.75" customHeight="1">
      <c r="B832" s="1"/>
    </row>
    <row r="833" spans="2:2" ht="15.75" customHeight="1">
      <c r="B833" s="1"/>
    </row>
    <row r="834" spans="2:2" ht="15.75" customHeight="1">
      <c r="B834" s="1"/>
    </row>
    <row r="835" spans="2:2" ht="15.75" customHeight="1">
      <c r="B835" s="1"/>
    </row>
    <row r="836" spans="2:2" ht="15.75" customHeight="1">
      <c r="B836" s="1"/>
    </row>
    <row r="837" spans="2:2" ht="15.75" customHeight="1">
      <c r="B837" s="1"/>
    </row>
    <row r="838" spans="2:2" ht="15.75" customHeight="1">
      <c r="B838" s="1"/>
    </row>
    <row r="839" spans="2:2" ht="15.75" customHeight="1">
      <c r="B839" s="1"/>
    </row>
    <row r="840" spans="2:2" ht="15.75" customHeight="1">
      <c r="B840" s="1"/>
    </row>
    <row r="841" spans="2:2" ht="15.75" customHeight="1">
      <c r="B841" s="1"/>
    </row>
    <row r="842" spans="2:2" ht="15.75" customHeight="1">
      <c r="B842" s="1"/>
    </row>
    <row r="843" spans="2:2" ht="15.75" customHeight="1">
      <c r="B843" s="1"/>
    </row>
    <row r="844" spans="2:2" ht="15.75" customHeight="1">
      <c r="B844" s="1"/>
    </row>
    <row r="845" spans="2:2" ht="15.75" customHeight="1">
      <c r="B845" s="1"/>
    </row>
    <row r="846" spans="2:2" ht="15.75" customHeight="1">
      <c r="B846" s="1"/>
    </row>
    <row r="847" spans="2:2" ht="15.75" customHeight="1">
      <c r="B847" s="1"/>
    </row>
    <row r="848" spans="2:2" ht="15.75" customHeight="1">
      <c r="B848" s="1"/>
    </row>
    <row r="849" spans="2:2" ht="15.75" customHeight="1">
      <c r="B849" s="1"/>
    </row>
    <row r="850" spans="2:2" ht="15.75" customHeight="1">
      <c r="B850" s="1"/>
    </row>
    <row r="851" spans="2:2" ht="15.75" customHeight="1">
      <c r="B851" s="1"/>
    </row>
    <row r="852" spans="2:2" ht="15.75" customHeight="1">
      <c r="B852" s="1"/>
    </row>
    <row r="853" spans="2:2" ht="15.75" customHeight="1">
      <c r="B853" s="1"/>
    </row>
    <row r="854" spans="2:2" ht="15.75" customHeight="1">
      <c r="B854" s="1"/>
    </row>
    <row r="855" spans="2:2" ht="15.75" customHeight="1">
      <c r="B855" s="1"/>
    </row>
    <row r="856" spans="2:2" ht="15.75" customHeight="1">
      <c r="B856" s="1"/>
    </row>
    <row r="857" spans="2:2" ht="15.75" customHeight="1">
      <c r="B857" s="1"/>
    </row>
    <row r="858" spans="2:2" ht="15.75" customHeight="1">
      <c r="B858" s="1"/>
    </row>
    <row r="859" spans="2:2" ht="15.75" customHeight="1">
      <c r="B859" s="1"/>
    </row>
    <row r="860" spans="2:2" ht="15.75" customHeight="1">
      <c r="B860" s="1"/>
    </row>
    <row r="861" spans="2:2" ht="15.75" customHeight="1">
      <c r="B861" s="1"/>
    </row>
    <row r="862" spans="2:2" ht="15.75" customHeight="1">
      <c r="B862" s="1"/>
    </row>
    <row r="863" spans="2:2" ht="15.75" customHeight="1">
      <c r="B863" s="1"/>
    </row>
    <row r="864" spans="2:2" ht="15.75" customHeight="1">
      <c r="B864" s="1"/>
    </row>
    <row r="865" spans="2:2" ht="15.75" customHeight="1">
      <c r="B865" s="1"/>
    </row>
    <row r="866" spans="2:2" ht="15.75" customHeight="1">
      <c r="B866" s="1"/>
    </row>
    <row r="867" spans="2:2" ht="15.75" customHeight="1">
      <c r="B867" s="1"/>
    </row>
    <row r="868" spans="2:2" ht="15.75" customHeight="1">
      <c r="B868" s="1"/>
    </row>
    <row r="869" spans="2:2" ht="15.75" customHeight="1">
      <c r="B869" s="1"/>
    </row>
    <row r="870" spans="2:2" ht="15.75" customHeight="1">
      <c r="B870" s="1"/>
    </row>
    <row r="871" spans="2:2" ht="15.75" customHeight="1">
      <c r="B871" s="1"/>
    </row>
    <row r="872" spans="2:2" ht="15.75" customHeight="1">
      <c r="B872" s="1"/>
    </row>
    <row r="873" spans="2:2" ht="15.75" customHeight="1">
      <c r="B873" s="1"/>
    </row>
    <row r="874" spans="2:2" ht="15.75" customHeight="1">
      <c r="B874" s="1"/>
    </row>
    <row r="875" spans="2:2" ht="15.75" customHeight="1">
      <c r="B875" s="1"/>
    </row>
    <row r="876" spans="2:2" ht="15.75" customHeight="1">
      <c r="B876" s="1"/>
    </row>
    <row r="877" spans="2:2" ht="15.75" customHeight="1">
      <c r="B877" s="1"/>
    </row>
    <row r="878" spans="2:2" ht="15.75" customHeight="1">
      <c r="B878" s="1"/>
    </row>
    <row r="879" spans="2:2" ht="15.75" customHeight="1">
      <c r="B879" s="1"/>
    </row>
    <row r="880" spans="2:2" ht="15.75" customHeight="1">
      <c r="B880" s="1"/>
    </row>
    <row r="881" spans="2:2" ht="15.75" customHeight="1">
      <c r="B881" s="1"/>
    </row>
    <row r="882" spans="2:2" ht="15.75" customHeight="1">
      <c r="B882" s="1"/>
    </row>
    <row r="883" spans="2:2" ht="15.75" customHeight="1">
      <c r="B883" s="1"/>
    </row>
    <row r="884" spans="2:2" ht="15.75" customHeight="1">
      <c r="B884" s="1"/>
    </row>
    <row r="885" spans="2:2" ht="15.75" customHeight="1">
      <c r="B885" s="1"/>
    </row>
    <row r="886" spans="2:2" ht="15.75" customHeight="1">
      <c r="B886" s="1"/>
    </row>
    <row r="887" spans="2:2" ht="15.75" customHeight="1">
      <c r="B887" s="1"/>
    </row>
    <row r="888" spans="2:2" ht="15.75" customHeight="1">
      <c r="B888" s="1"/>
    </row>
    <row r="889" spans="2:2" ht="15.75" customHeight="1">
      <c r="B889" s="1"/>
    </row>
    <row r="890" spans="2:2" ht="15.75" customHeight="1">
      <c r="B890" s="1"/>
    </row>
    <row r="891" spans="2:2" ht="15.75" customHeight="1">
      <c r="B891" s="1"/>
    </row>
    <row r="892" spans="2:2" ht="15.75" customHeight="1">
      <c r="B892" s="1"/>
    </row>
    <row r="893" spans="2:2" ht="15.75" customHeight="1">
      <c r="B893" s="1"/>
    </row>
    <row r="894" spans="2:2" ht="15.75" customHeight="1">
      <c r="B894" s="1"/>
    </row>
    <row r="895" spans="2:2" ht="15.75" customHeight="1">
      <c r="B895" s="1"/>
    </row>
    <row r="896" spans="2:2" ht="15.75" customHeight="1">
      <c r="B896" s="1"/>
    </row>
    <row r="897" spans="2:2" ht="15.75" customHeight="1">
      <c r="B897" s="1"/>
    </row>
    <row r="898" spans="2:2" ht="15.75" customHeight="1">
      <c r="B898" s="1"/>
    </row>
    <row r="899" spans="2:2" ht="15.75" customHeight="1">
      <c r="B899" s="1"/>
    </row>
    <row r="900" spans="2:2" ht="15.75" customHeight="1">
      <c r="B900" s="1"/>
    </row>
    <row r="901" spans="2:2" ht="15.75" customHeight="1">
      <c r="B901" s="1"/>
    </row>
    <row r="902" spans="2:2" ht="15.75" customHeight="1">
      <c r="B902" s="1"/>
    </row>
    <row r="903" spans="2:2" ht="15.75" customHeight="1">
      <c r="B903" s="1"/>
    </row>
    <row r="904" spans="2:2" ht="15.75" customHeight="1">
      <c r="B904" s="1"/>
    </row>
    <row r="905" spans="2:2" ht="15.75" customHeight="1">
      <c r="B905" s="1"/>
    </row>
    <row r="906" spans="2:2" ht="15.75" customHeight="1">
      <c r="B906" s="1"/>
    </row>
    <row r="907" spans="2:2" ht="15.75" customHeight="1">
      <c r="B907" s="1"/>
    </row>
    <row r="908" spans="2:2" ht="15.75" customHeight="1">
      <c r="B908" s="1"/>
    </row>
    <row r="909" spans="2:2" ht="15.75" customHeight="1">
      <c r="B909" s="1"/>
    </row>
    <row r="910" spans="2:2" ht="15.75" customHeight="1">
      <c r="B910" s="1"/>
    </row>
    <row r="911" spans="2:2" ht="15.75" customHeight="1">
      <c r="B911" s="1"/>
    </row>
    <row r="912" spans="2:2" ht="15.75" customHeight="1">
      <c r="B912" s="1"/>
    </row>
    <row r="913" spans="2:2" ht="15.75" customHeight="1">
      <c r="B913" s="1"/>
    </row>
    <row r="914" spans="2:2" ht="15.75" customHeight="1">
      <c r="B914" s="1"/>
    </row>
    <row r="915" spans="2:2" ht="15.75" customHeight="1">
      <c r="B915" s="1"/>
    </row>
    <row r="916" spans="2:2" ht="15.75" customHeight="1">
      <c r="B916" s="1"/>
    </row>
    <row r="917" spans="2:2" ht="15.75" customHeight="1">
      <c r="B917" s="1"/>
    </row>
    <row r="918" spans="2:2" ht="15.75" customHeight="1">
      <c r="B918" s="1"/>
    </row>
    <row r="919" spans="2:2" ht="15.75" customHeight="1">
      <c r="B919" s="1"/>
    </row>
    <row r="920" spans="2:2" ht="15.75" customHeight="1">
      <c r="B920" s="1"/>
    </row>
    <row r="921" spans="2:2" ht="15.75" customHeight="1">
      <c r="B921" s="1"/>
    </row>
    <row r="922" spans="2:2" ht="15.75" customHeight="1">
      <c r="B922" s="1"/>
    </row>
    <row r="923" spans="2:2" ht="15.75" customHeight="1">
      <c r="B923" s="1"/>
    </row>
    <row r="924" spans="2:2" ht="15.75" customHeight="1">
      <c r="B924" s="1"/>
    </row>
    <row r="925" spans="2:2" ht="15.75" customHeight="1">
      <c r="B925" s="1"/>
    </row>
    <row r="926" spans="2:2" ht="15.75" customHeight="1">
      <c r="B926" s="1"/>
    </row>
    <row r="927" spans="2:2" ht="15.75" customHeight="1">
      <c r="B927" s="1"/>
    </row>
    <row r="928" spans="2:2" ht="15.75" customHeight="1">
      <c r="B928" s="1"/>
    </row>
    <row r="929" spans="2:2" ht="15.75" customHeight="1">
      <c r="B929" s="1"/>
    </row>
    <row r="930" spans="2:2" ht="15.75" customHeight="1">
      <c r="B930" s="1"/>
    </row>
    <row r="931" spans="2:2" ht="15.75" customHeight="1">
      <c r="B931" s="1"/>
    </row>
    <row r="932" spans="2:2" ht="15.75" customHeight="1">
      <c r="B932" s="1"/>
    </row>
    <row r="933" spans="2:2" ht="15.75" customHeight="1">
      <c r="B933" s="1"/>
    </row>
    <row r="934" spans="2:2" ht="15.75" customHeight="1">
      <c r="B934" s="1"/>
    </row>
    <row r="935" spans="2:2" ht="15.75" customHeight="1">
      <c r="B935" s="1"/>
    </row>
    <row r="936" spans="2:2" ht="15.75" customHeight="1">
      <c r="B936" s="1"/>
    </row>
    <row r="937" spans="2:2" ht="15.75" customHeight="1">
      <c r="B937" s="1"/>
    </row>
    <row r="938" spans="2:2" ht="15.75" customHeight="1">
      <c r="B938" s="1"/>
    </row>
    <row r="939" spans="2:2" ht="15.75" customHeight="1">
      <c r="B939" s="1"/>
    </row>
    <row r="940" spans="2:2" ht="15.75" customHeight="1">
      <c r="B940" s="1"/>
    </row>
    <row r="941" spans="2:2" ht="15.75" customHeight="1">
      <c r="B941" s="1"/>
    </row>
    <row r="942" spans="2:2" ht="15.75" customHeight="1">
      <c r="B942" s="1"/>
    </row>
    <row r="943" spans="2:2" ht="15.75" customHeight="1">
      <c r="B943" s="1"/>
    </row>
    <row r="944" spans="2:2" ht="15.75" customHeight="1">
      <c r="B944" s="1"/>
    </row>
    <row r="945" spans="2:2" ht="15.75" customHeight="1">
      <c r="B945" s="1"/>
    </row>
    <row r="946" spans="2:2" ht="15.75" customHeight="1">
      <c r="B946" s="1"/>
    </row>
    <row r="947" spans="2:2" ht="15.75" customHeight="1">
      <c r="B947" s="1"/>
    </row>
    <row r="948" spans="2:2" ht="15.75" customHeight="1">
      <c r="B948" s="1"/>
    </row>
    <row r="949" spans="2:2" ht="15.75" customHeight="1">
      <c r="B949" s="1"/>
    </row>
    <row r="950" spans="2:2" ht="15.75" customHeight="1">
      <c r="B950" s="1"/>
    </row>
    <row r="951" spans="2:2" ht="15.75" customHeight="1">
      <c r="B951" s="1"/>
    </row>
    <row r="952" spans="2:2" ht="15.75" customHeight="1">
      <c r="B952" s="1"/>
    </row>
    <row r="953" spans="2:2" ht="15.75" customHeight="1">
      <c r="B953" s="1"/>
    </row>
    <row r="954" spans="2:2" ht="15.75" customHeight="1">
      <c r="B954" s="1"/>
    </row>
    <row r="955" spans="2:2" ht="15.75" customHeight="1">
      <c r="B955" s="1"/>
    </row>
    <row r="956" spans="2:2" ht="15.75" customHeight="1">
      <c r="B956" s="1"/>
    </row>
    <row r="957" spans="2:2" ht="15.75" customHeight="1">
      <c r="B957" s="1"/>
    </row>
    <row r="958" spans="2:2" ht="15.75" customHeight="1">
      <c r="B958" s="1"/>
    </row>
    <row r="959" spans="2:2" ht="15.75" customHeight="1">
      <c r="B959" s="1"/>
    </row>
    <row r="960" spans="2:2" ht="15.75" customHeight="1">
      <c r="B960" s="1"/>
    </row>
    <row r="961" spans="2:2" ht="15.75" customHeight="1">
      <c r="B961" s="1"/>
    </row>
    <row r="962" spans="2:2" ht="15.75" customHeight="1">
      <c r="B962" s="1"/>
    </row>
    <row r="963" spans="2:2" ht="15.75" customHeight="1">
      <c r="B963" s="1"/>
    </row>
    <row r="964" spans="2:2" ht="15.75" customHeight="1">
      <c r="B964" s="1"/>
    </row>
    <row r="965" spans="2:2" ht="15.75" customHeight="1">
      <c r="B965" s="1"/>
    </row>
    <row r="966" spans="2:2" ht="15.75" customHeight="1">
      <c r="B966" s="1"/>
    </row>
    <row r="967" spans="2:2" ht="15.75" customHeight="1">
      <c r="B967" s="1"/>
    </row>
    <row r="968" spans="2:2" ht="15.75" customHeight="1">
      <c r="B968" s="1"/>
    </row>
    <row r="969" spans="2:2" ht="15.75" customHeight="1">
      <c r="B969" s="1"/>
    </row>
    <row r="970" spans="2:2" ht="15.75" customHeight="1">
      <c r="B970" s="1"/>
    </row>
    <row r="971" spans="2:2" ht="15.75" customHeight="1">
      <c r="B971" s="1"/>
    </row>
    <row r="972" spans="2:2" ht="15.75" customHeight="1">
      <c r="B972" s="1"/>
    </row>
    <row r="973" spans="2:2" ht="15.75" customHeight="1">
      <c r="B973" s="1"/>
    </row>
    <row r="974" spans="2:2" ht="15.75" customHeight="1">
      <c r="B974" s="1"/>
    </row>
    <row r="975" spans="2:2" ht="15.75" customHeight="1">
      <c r="B975" s="1"/>
    </row>
    <row r="976" spans="2:2" ht="15.75" customHeight="1">
      <c r="B976" s="1"/>
    </row>
    <row r="977" spans="2:2" ht="15.75" customHeight="1">
      <c r="B977" s="1"/>
    </row>
    <row r="978" spans="2:2" ht="15.75" customHeight="1">
      <c r="B978" s="1"/>
    </row>
    <row r="979" spans="2:2" ht="15.75" customHeight="1">
      <c r="B979" s="1"/>
    </row>
    <row r="980" spans="2:2" ht="15.75" customHeight="1">
      <c r="B980" s="1"/>
    </row>
    <row r="981" spans="2:2" ht="15.75" customHeight="1">
      <c r="B981" s="1"/>
    </row>
    <row r="982" spans="2:2" ht="15.75" customHeight="1">
      <c r="B982" s="1"/>
    </row>
    <row r="983" spans="2:2" ht="15.75" customHeight="1">
      <c r="B983" s="1"/>
    </row>
    <row r="984" spans="2:2" ht="15.75" customHeight="1">
      <c r="B984" s="1"/>
    </row>
    <row r="985" spans="2:2" ht="15.75" customHeight="1">
      <c r="B985" s="1"/>
    </row>
    <row r="986" spans="2:2" ht="15.75" customHeight="1">
      <c r="B986" s="1"/>
    </row>
    <row r="987" spans="2:2" ht="15.75" customHeight="1">
      <c r="B987" s="1"/>
    </row>
    <row r="988" spans="2:2" ht="15.75" customHeight="1">
      <c r="B988" s="1"/>
    </row>
    <row r="989" spans="2:2" ht="15.75" customHeight="1">
      <c r="B989" s="1"/>
    </row>
    <row r="990" spans="2:2" ht="15.75" customHeight="1">
      <c r="B990" s="1"/>
    </row>
    <row r="991" spans="2:2" ht="15.75" customHeight="1">
      <c r="B991" s="1"/>
    </row>
    <row r="992" spans="2:2" ht="15.75" customHeight="1">
      <c r="B992" s="1"/>
    </row>
    <row r="993" spans="2:2" ht="15.75" customHeight="1">
      <c r="B993" s="1"/>
    </row>
    <row r="994" spans="2:2" ht="15.75" customHeight="1">
      <c r="B994" s="1"/>
    </row>
    <row r="995" spans="2:2" ht="15.75" customHeight="1">
      <c r="B995" s="1"/>
    </row>
    <row r="996" spans="2:2" ht="15.75" customHeight="1">
      <c r="B996" s="1"/>
    </row>
    <row r="997" spans="2:2" ht="15.75" customHeight="1">
      <c r="B997" s="1"/>
    </row>
    <row r="998" spans="2:2" ht="15.75" customHeight="1">
      <c r="B998" s="1"/>
    </row>
    <row r="999" spans="2:2" ht="15.75" customHeight="1">
      <c r="B999" s="1"/>
    </row>
  </sheetData>
  <mergeCells count="39">
    <mergeCell ref="BR5:BX5"/>
    <mergeCell ref="BY5:CE5"/>
    <mergeCell ref="CF5:CL5"/>
    <mergeCell ref="BY4:CE4"/>
    <mergeCell ref="CF4:CL4"/>
    <mergeCell ref="N5:T5"/>
    <mergeCell ref="U5:AA5"/>
    <mergeCell ref="AB5:AH5"/>
    <mergeCell ref="AI5:AO5"/>
    <mergeCell ref="AP5:AV5"/>
    <mergeCell ref="AW5:BC5"/>
    <mergeCell ref="BD5:BJ5"/>
    <mergeCell ref="BK5:BQ5"/>
    <mergeCell ref="AI4:AO4"/>
    <mergeCell ref="AP4:AV4"/>
    <mergeCell ref="AW4:BC4"/>
    <mergeCell ref="BD4:BJ4"/>
    <mergeCell ref="BK4:BQ4"/>
    <mergeCell ref="BR4:BX4"/>
    <mergeCell ref="CX2:CZ2"/>
    <mergeCell ref="N3:T3"/>
    <mergeCell ref="U3:AH3"/>
    <mergeCell ref="AI3:AV3"/>
    <mergeCell ref="AW3:BC3"/>
    <mergeCell ref="BD3:BJ3"/>
    <mergeCell ref="BK3:BQ3"/>
    <mergeCell ref="BR3:BX3"/>
    <mergeCell ref="BY3:CE3"/>
    <mergeCell ref="CF3:CL3"/>
    <mergeCell ref="B2:B5"/>
    <mergeCell ref="C2:C5"/>
    <mergeCell ref="D2:D5"/>
    <mergeCell ref="E2:F2"/>
    <mergeCell ref="N2:CK2"/>
    <mergeCell ref="CU2:CW2"/>
    <mergeCell ref="CM3:CR3"/>
    <mergeCell ref="N4:T4"/>
    <mergeCell ref="U4:AA4"/>
    <mergeCell ref="AB4:AH4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99"/>
  <sheetViews>
    <sheetView topLeftCell="I4" zoomScale="64" zoomScaleNormal="64" workbookViewId="0">
      <selection activeCell="R22" sqref="R22"/>
    </sheetView>
  </sheetViews>
  <sheetFormatPr baseColWidth="10" defaultColWidth="14.42578125" defaultRowHeight="15" customHeight="1"/>
  <cols>
    <col min="1" max="1" width="41.5703125" style="100" customWidth="1"/>
    <col min="2" max="2" width="7.42578125" style="100" customWidth="1"/>
    <col min="3" max="3" width="74" style="100" customWidth="1"/>
    <col min="4" max="5" width="21.140625" style="100" customWidth="1"/>
    <col min="6" max="6" width="44.5703125" style="100" customWidth="1"/>
    <col min="7" max="7" width="54" style="100" customWidth="1"/>
    <col min="8" max="8" width="64.42578125" style="100" customWidth="1"/>
    <col min="9" max="10" width="21.140625" style="100" customWidth="1"/>
    <col min="11" max="11" width="31.85546875" style="100" customWidth="1"/>
    <col min="12" max="12" width="53.7109375" style="100" customWidth="1"/>
    <col min="13" max="13" width="16.140625" style="100" customWidth="1"/>
    <col min="14" max="14" width="8.85546875" style="100" customWidth="1"/>
    <col min="15" max="15" width="7.85546875" style="100" customWidth="1"/>
    <col min="16" max="17" width="8.7109375" style="100" customWidth="1"/>
    <col min="18" max="18" width="8.28515625" style="100" customWidth="1"/>
    <col min="19" max="19" width="8.42578125" style="100" customWidth="1"/>
    <col min="20" max="20" width="8.28515625" style="100" customWidth="1"/>
    <col min="21" max="22" width="8" style="100" bestFit="1" customWidth="1"/>
    <col min="23" max="24" width="7.5703125" style="100" bestFit="1" customWidth="1"/>
    <col min="25" max="26" width="2.5703125" style="100" bestFit="1" customWidth="1"/>
    <col min="27" max="29" width="8" style="100" bestFit="1" customWidth="1"/>
    <col min="30" max="30" width="7.5703125" style="100" bestFit="1" customWidth="1"/>
    <col min="31" max="32" width="2.5703125" style="100" bestFit="1" customWidth="1"/>
    <col min="33" max="38" width="7.85546875" style="100" customWidth="1"/>
    <col min="39" max="44" width="8.28515625" style="100" customWidth="1"/>
    <col min="45" max="74" width="8.140625" style="100" customWidth="1"/>
    <col min="75" max="75" width="12" style="100" customWidth="1"/>
    <col min="76" max="79" width="8.140625" style="100" customWidth="1"/>
    <col min="80" max="80" width="3.85546875" style="100" customWidth="1"/>
    <col min="81" max="81" width="42.28515625" style="100" customWidth="1"/>
    <col min="82" max="82" width="43.42578125" style="100" customWidth="1"/>
    <col min="83" max="83" width="44.140625" style="100" customWidth="1"/>
    <col min="84" max="84" width="21.140625" style="100" customWidth="1"/>
    <col min="85" max="85" width="18" style="100" customWidth="1"/>
    <col min="86" max="86" width="38.7109375" style="100" customWidth="1"/>
    <col min="87" max="87" width="95.140625" style="100" customWidth="1"/>
    <col min="88" max="88" width="17.140625" style="100" customWidth="1"/>
    <col min="89" max="91" width="18.42578125" style="100" customWidth="1"/>
    <col min="92" max="93" width="19.140625" style="100" customWidth="1"/>
    <col min="94" max="95" width="8.85546875" style="100" customWidth="1"/>
    <col min="96" max="16384" width="14.42578125" style="100"/>
  </cols>
  <sheetData>
    <row r="1" spans="1:95">
      <c r="B1" s="1"/>
      <c r="C1" s="2"/>
    </row>
    <row r="2" spans="1:95" ht="45" customHeight="1">
      <c r="O2" s="155" t="s">
        <v>11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1"/>
      <c r="CC2" s="68"/>
      <c r="CD2" s="68"/>
      <c r="CE2" s="68"/>
      <c r="CF2" s="68"/>
      <c r="CG2" s="68"/>
      <c r="CH2" s="68"/>
      <c r="CI2" s="68"/>
      <c r="CJ2" s="5"/>
      <c r="CK2" s="154" t="s">
        <v>12</v>
      </c>
      <c r="CL2" s="140"/>
      <c r="CM2" s="141"/>
      <c r="CN2" s="154" t="s">
        <v>13</v>
      </c>
      <c r="CO2" s="140"/>
      <c r="CP2" s="141"/>
      <c r="CQ2" s="69"/>
    </row>
    <row r="3" spans="1:95" ht="46.5" customHeight="1">
      <c r="A3" s="69"/>
      <c r="B3" s="4" t="s">
        <v>0</v>
      </c>
      <c r="C3" s="104" t="s">
        <v>1</v>
      </c>
      <c r="D3" s="85" t="s">
        <v>501</v>
      </c>
      <c r="E3" s="85" t="s">
        <v>2</v>
      </c>
      <c r="F3" s="154" t="s">
        <v>3</v>
      </c>
      <c r="G3" s="140"/>
      <c r="H3" s="5" t="s">
        <v>4</v>
      </c>
      <c r="I3" s="4" t="s">
        <v>5</v>
      </c>
      <c r="J3" s="6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157" t="s">
        <v>14</v>
      </c>
      <c r="P3" s="140"/>
      <c r="Q3" s="140"/>
      <c r="R3" s="140"/>
      <c r="S3" s="140"/>
      <c r="T3" s="141"/>
      <c r="U3" s="136" t="s">
        <v>15</v>
      </c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8"/>
      <c r="AG3" s="15"/>
      <c r="AH3" s="15"/>
      <c r="AI3" s="15"/>
      <c r="AJ3" s="15"/>
      <c r="AK3" s="15"/>
      <c r="AL3" s="136" t="s">
        <v>16</v>
      </c>
      <c r="AM3" s="137"/>
      <c r="AN3" s="137"/>
      <c r="AO3" s="137"/>
      <c r="AP3" s="137"/>
      <c r="AQ3" s="137"/>
      <c r="AR3" s="138"/>
      <c r="AS3" s="139" t="s">
        <v>17</v>
      </c>
      <c r="AT3" s="140"/>
      <c r="AU3" s="140"/>
      <c r="AV3" s="140"/>
      <c r="AW3" s="140"/>
      <c r="AX3" s="141"/>
      <c r="AY3" s="142" t="s">
        <v>18</v>
      </c>
      <c r="AZ3" s="137"/>
      <c r="BA3" s="137"/>
      <c r="BB3" s="137"/>
      <c r="BC3" s="137"/>
      <c r="BD3" s="138"/>
      <c r="BE3" s="143" t="s">
        <v>19</v>
      </c>
      <c r="BF3" s="144"/>
      <c r="BG3" s="144"/>
      <c r="BH3" s="144"/>
      <c r="BI3" s="144"/>
      <c r="BJ3" s="145"/>
      <c r="BK3" s="139" t="s">
        <v>20</v>
      </c>
      <c r="BL3" s="140"/>
      <c r="BM3" s="140"/>
      <c r="BN3" s="140"/>
      <c r="BO3" s="140"/>
      <c r="BP3" s="141"/>
      <c r="BQ3" s="139" t="s">
        <v>21</v>
      </c>
      <c r="BR3" s="140"/>
      <c r="BS3" s="140"/>
      <c r="BT3" s="140"/>
      <c r="BU3" s="140"/>
      <c r="BV3" s="141"/>
      <c r="BW3" s="139" t="s">
        <v>22</v>
      </c>
      <c r="BX3" s="140"/>
      <c r="BY3" s="140"/>
      <c r="BZ3" s="140"/>
      <c r="CA3" s="140"/>
      <c r="CB3" s="141"/>
      <c r="CC3" s="158" t="s">
        <v>23</v>
      </c>
      <c r="CD3" s="137"/>
      <c r="CE3" s="137"/>
      <c r="CF3" s="137"/>
      <c r="CG3" s="137"/>
      <c r="CH3" s="138"/>
      <c r="CI3" s="16" t="s">
        <v>24</v>
      </c>
      <c r="CJ3" s="17" t="s">
        <v>25</v>
      </c>
      <c r="CK3" s="18" t="s">
        <v>26</v>
      </c>
      <c r="CL3" s="18" t="s">
        <v>27</v>
      </c>
      <c r="CM3" s="18" t="s">
        <v>28</v>
      </c>
      <c r="CN3" s="18" t="s">
        <v>29</v>
      </c>
      <c r="CO3" s="19" t="s">
        <v>30</v>
      </c>
      <c r="CP3" s="19" t="s">
        <v>31</v>
      </c>
    </row>
    <row r="4" spans="1:95" ht="46.5" customHeight="1">
      <c r="A4" s="8"/>
      <c r="B4" s="9"/>
      <c r="C4" s="83"/>
      <c r="D4" s="83"/>
      <c r="E4" s="83"/>
      <c r="F4" s="102"/>
      <c r="G4" s="101"/>
      <c r="H4" s="18"/>
      <c r="I4" s="13"/>
      <c r="J4" s="13"/>
      <c r="K4" s="13"/>
      <c r="L4" s="13"/>
      <c r="M4" s="13"/>
      <c r="N4" s="13"/>
      <c r="O4" s="157" t="s">
        <v>14</v>
      </c>
      <c r="P4" s="140"/>
      <c r="Q4" s="140"/>
      <c r="R4" s="140"/>
      <c r="S4" s="140"/>
      <c r="T4" s="141"/>
      <c r="U4" s="136" t="s">
        <v>32</v>
      </c>
      <c r="V4" s="137"/>
      <c r="W4" s="137"/>
      <c r="X4" s="137"/>
      <c r="Y4" s="137"/>
      <c r="Z4" s="138"/>
      <c r="AA4" s="136" t="s">
        <v>33</v>
      </c>
      <c r="AB4" s="137"/>
      <c r="AC4" s="137"/>
      <c r="AD4" s="137"/>
      <c r="AE4" s="137"/>
      <c r="AF4" s="138"/>
      <c r="AG4" s="136" t="s">
        <v>34</v>
      </c>
      <c r="AH4" s="137"/>
      <c r="AI4" s="137"/>
      <c r="AJ4" s="137"/>
      <c r="AK4" s="137"/>
      <c r="AL4" s="138"/>
      <c r="AM4" s="146" t="s">
        <v>35</v>
      </c>
      <c r="AN4" s="147"/>
      <c r="AO4" s="147"/>
      <c r="AP4" s="147"/>
      <c r="AQ4" s="147"/>
      <c r="AR4" s="147"/>
      <c r="AS4" s="139" t="s">
        <v>17</v>
      </c>
      <c r="AT4" s="140"/>
      <c r="AU4" s="140"/>
      <c r="AV4" s="140"/>
      <c r="AW4" s="140"/>
      <c r="AX4" s="141"/>
      <c r="AY4" s="148" t="s">
        <v>18</v>
      </c>
      <c r="AZ4" s="147"/>
      <c r="BA4" s="147"/>
      <c r="BB4" s="147"/>
      <c r="BC4" s="147"/>
      <c r="BD4" s="149"/>
      <c r="BE4" s="139" t="s">
        <v>19</v>
      </c>
      <c r="BF4" s="140"/>
      <c r="BG4" s="140"/>
      <c r="BH4" s="140"/>
      <c r="BI4" s="140"/>
      <c r="BJ4" s="141"/>
      <c r="BK4" s="139" t="s">
        <v>20</v>
      </c>
      <c r="BL4" s="140"/>
      <c r="BM4" s="140"/>
      <c r="BN4" s="140"/>
      <c r="BO4" s="140"/>
      <c r="BP4" s="141"/>
      <c r="BQ4" s="139" t="s">
        <v>21</v>
      </c>
      <c r="BR4" s="140"/>
      <c r="BS4" s="140"/>
      <c r="BT4" s="140"/>
      <c r="BU4" s="140"/>
      <c r="BV4" s="141"/>
      <c r="BW4" s="139" t="s">
        <v>22</v>
      </c>
      <c r="BX4" s="140"/>
      <c r="BY4" s="140"/>
      <c r="BZ4" s="140"/>
      <c r="CA4" s="140"/>
      <c r="CB4" s="141"/>
      <c r="CC4" s="20"/>
      <c r="CD4" s="20"/>
      <c r="CE4" s="20"/>
      <c r="CF4" s="20"/>
      <c r="CG4" s="20"/>
      <c r="CH4" s="20"/>
      <c r="CI4" s="20"/>
      <c r="CJ4" s="21"/>
      <c r="CK4" s="18"/>
      <c r="CL4" s="18"/>
      <c r="CM4" s="18"/>
      <c r="CN4" s="18"/>
      <c r="CO4" s="19"/>
      <c r="CP4" s="19"/>
    </row>
    <row r="5" spans="1:95" ht="46.5" customHeight="1">
      <c r="A5" s="8" t="s">
        <v>36</v>
      </c>
      <c r="B5" s="9"/>
      <c r="C5" s="84"/>
      <c r="D5" s="84"/>
      <c r="E5" s="84"/>
      <c r="F5" s="22" t="s">
        <v>37</v>
      </c>
      <c r="G5" s="19" t="s">
        <v>38</v>
      </c>
      <c r="H5" s="18"/>
      <c r="I5" s="13"/>
      <c r="J5" s="13"/>
      <c r="K5" s="13"/>
      <c r="L5" s="13"/>
      <c r="M5" s="13"/>
      <c r="N5" s="13"/>
      <c r="O5" s="156" t="s">
        <v>14</v>
      </c>
      <c r="P5" s="140"/>
      <c r="Q5" s="140"/>
      <c r="R5" s="140"/>
      <c r="S5" s="140"/>
      <c r="T5" s="141"/>
      <c r="U5" s="136" t="s">
        <v>32</v>
      </c>
      <c r="V5" s="137"/>
      <c r="W5" s="137"/>
      <c r="X5" s="137"/>
      <c r="Y5" s="137"/>
      <c r="Z5" s="138"/>
      <c r="AA5" s="136" t="s">
        <v>33</v>
      </c>
      <c r="AB5" s="137"/>
      <c r="AC5" s="137"/>
      <c r="AD5" s="137"/>
      <c r="AE5" s="137"/>
      <c r="AF5" s="138"/>
      <c r="AG5" s="136" t="s">
        <v>34</v>
      </c>
      <c r="AH5" s="137"/>
      <c r="AI5" s="137"/>
      <c r="AJ5" s="137"/>
      <c r="AK5" s="137"/>
      <c r="AL5" s="138"/>
      <c r="AM5" s="156" t="s">
        <v>35</v>
      </c>
      <c r="AN5" s="140"/>
      <c r="AO5" s="140"/>
      <c r="AP5" s="140"/>
      <c r="AQ5" s="140"/>
      <c r="AR5" s="141"/>
      <c r="AS5" s="139" t="s">
        <v>17</v>
      </c>
      <c r="AT5" s="140"/>
      <c r="AU5" s="140"/>
      <c r="AV5" s="140"/>
      <c r="AW5" s="140"/>
      <c r="AX5" s="141"/>
      <c r="AY5" s="139" t="s">
        <v>18</v>
      </c>
      <c r="AZ5" s="140"/>
      <c r="BA5" s="140"/>
      <c r="BB5" s="140"/>
      <c r="BC5" s="140"/>
      <c r="BD5" s="141"/>
      <c r="BE5" s="142" t="s">
        <v>19</v>
      </c>
      <c r="BF5" s="137"/>
      <c r="BG5" s="137"/>
      <c r="BH5" s="137"/>
      <c r="BI5" s="137"/>
      <c r="BJ5" s="138"/>
      <c r="BK5" s="139" t="s">
        <v>20</v>
      </c>
      <c r="BL5" s="140"/>
      <c r="BM5" s="140"/>
      <c r="BN5" s="140"/>
      <c r="BO5" s="140"/>
      <c r="BP5" s="141"/>
      <c r="BQ5" s="139" t="s">
        <v>21</v>
      </c>
      <c r="BR5" s="140"/>
      <c r="BS5" s="140"/>
      <c r="BT5" s="140"/>
      <c r="BU5" s="140"/>
      <c r="BV5" s="141"/>
      <c r="BW5" s="139" t="s">
        <v>22</v>
      </c>
      <c r="BX5" s="140"/>
      <c r="BY5" s="140"/>
      <c r="BZ5" s="140"/>
      <c r="CA5" s="140"/>
      <c r="CB5" s="141"/>
      <c r="CC5" s="17">
        <v>1</v>
      </c>
      <c r="CD5" s="17">
        <v>2</v>
      </c>
      <c r="CE5" s="17">
        <v>3</v>
      </c>
      <c r="CF5" s="17">
        <v>4</v>
      </c>
      <c r="CG5" s="17">
        <v>5</v>
      </c>
      <c r="CH5" s="17">
        <v>6</v>
      </c>
      <c r="CI5" s="21"/>
      <c r="CJ5" s="21"/>
      <c r="CK5" s="8"/>
      <c r="CL5" s="8"/>
      <c r="CM5" s="8"/>
      <c r="CN5" s="8"/>
      <c r="CO5" s="8"/>
      <c r="CP5" s="8"/>
    </row>
    <row r="6" spans="1:95">
      <c r="A6" s="24"/>
      <c r="B6" s="25"/>
      <c r="C6" s="13"/>
      <c r="D6" s="21"/>
      <c r="E6" s="21"/>
      <c r="F6" s="26"/>
      <c r="G6" s="13"/>
      <c r="H6" s="21"/>
      <c r="I6" s="21"/>
      <c r="J6" s="21"/>
      <c r="K6" s="21"/>
      <c r="L6" s="17"/>
      <c r="M6" s="21"/>
      <c r="N6" s="27"/>
      <c r="O6" s="17">
        <v>1</v>
      </c>
      <c r="P6" s="17">
        <v>2</v>
      </c>
      <c r="Q6" s="17">
        <v>3</v>
      </c>
      <c r="R6" s="17">
        <v>4</v>
      </c>
      <c r="S6" s="17">
        <v>5</v>
      </c>
      <c r="T6" s="17">
        <v>6</v>
      </c>
      <c r="U6" s="17">
        <v>1</v>
      </c>
      <c r="V6" s="17">
        <v>2</v>
      </c>
      <c r="W6" s="17">
        <v>3</v>
      </c>
      <c r="X6" s="17">
        <v>4</v>
      </c>
      <c r="Y6" s="17">
        <v>5</v>
      </c>
      <c r="Z6" s="17">
        <v>6</v>
      </c>
      <c r="AA6" s="17">
        <v>1</v>
      </c>
      <c r="AB6" s="17">
        <v>2</v>
      </c>
      <c r="AC6" s="17">
        <v>3</v>
      </c>
      <c r="AD6" s="17">
        <v>4</v>
      </c>
      <c r="AE6" s="17">
        <v>5</v>
      </c>
      <c r="AF6" s="17">
        <v>6</v>
      </c>
      <c r="AG6" s="17">
        <v>1</v>
      </c>
      <c r="AH6" s="17">
        <v>2</v>
      </c>
      <c r="AI6" s="17">
        <v>3</v>
      </c>
      <c r="AJ6" s="17">
        <v>4</v>
      </c>
      <c r="AK6" s="17">
        <v>5</v>
      </c>
      <c r="AL6" s="28">
        <v>6</v>
      </c>
      <c r="AM6" s="28">
        <v>1</v>
      </c>
      <c r="AN6" s="28">
        <v>2</v>
      </c>
      <c r="AO6" s="28">
        <v>3</v>
      </c>
      <c r="AP6" s="28">
        <v>4</v>
      </c>
      <c r="AQ6" s="28">
        <v>5</v>
      </c>
      <c r="AR6" s="28">
        <v>6</v>
      </c>
      <c r="AS6" s="29">
        <v>1</v>
      </c>
      <c r="AT6" s="24">
        <v>2</v>
      </c>
      <c r="AU6" s="24">
        <v>3</v>
      </c>
      <c r="AV6" s="24">
        <v>4</v>
      </c>
      <c r="AW6" s="24">
        <v>5</v>
      </c>
      <c r="AX6" s="24">
        <v>6</v>
      </c>
      <c r="AY6" s="24">
        <v>1</v>
      </c>
      <c r="AZ6" s="24">
        <v>2</v>
      </c>
      <c r="BA6" s="24">
        <v>3</v>
      </c>
      <c r="BB6" s="24">
        <v>4</v>
      </c>
      <c r="BC6" s="24">
        <v>5</v>
      </c>
      <c r="BD6" s="24">
        <v>6</v>
      </c>
      <c r="BE6" s="29">
        <v>1</v>
      </c>
      <c r="BF6" s="24">
        <v>2</v>
      </c>
      <c r="BG6" s="24">
        <v>3</v>
      </c>
      <c r="BH6" s="24">
        <v>4</v>
      </c>
      <c r="BI6" s="24">
        <v>5</v>
      </c>
      <c r="BJ6" s="24">
        <v>6</v>
      </c>
      <c r="BK6" s="29">
        <v>1</v>
      </c>
      <c r="BL6" s="24">
        <v>2</v>
      </c>
      <c r="BM6" s="24">
        <v>3</v>
      </c>
      <c r="BN6" s="24">
        <v>4</v>
      </c>
      <c r="BO6" s="24">
        <v>5</v>
      </c>
      <c r="BP6" s="24">
        <v>6</v>
      </c>
      <c r="BQ6" s="29">
        <v>1</v>
      </c>
      <c r="BR6" s="24">
        <v>2</v>
      </c>
      <c r="BS6" s="24">
        <v>3</v>
      </c>
      <c r="BT6" s="24">
        <v>4</v>
      </c>
      <c r="BU6" s="24">
        <v>5</v>
      </c>
      <c r="BV6" s="24">
        <v>6</v>
      </c>
      <c r="BW6" s="29">
        <v>1</v>
      </c>
      <c r="BX6" s="24">
        <v>2</v>
      </c>
      <c r="BY6" s="24">
        <v>3</v>
      </c>
      <c r="BZ6" s="24">
        <v>4</v>
      </c>
      <c r="CA6" s="24">
        <v>5</v>
      </c>
      <c r="CB6" s="24">
        <v>6</v>
      </c>
      <c r="CC6" s="17"/>
      <c r="CD6" s="17"/>
      <c r="CE6" s="17"/>
      <c r="CF6" s="17"/>
      <c r="CG6" s="17"/>
      <c r="CH6" s="17"/>
      <c r="CI6" s="21"/>
      <c r="CJ6" s="21"/>
      <c r="CK6" s="13"/>
      <c r="CL6" s="13"/>
      <c r="CM6" s="13"/>
      <c r="CN6" s="13"/>
      <c r="CO6" s="13"/>
      <c r="CP6" s="13"/>
    </row>
    <row r="7" spans="1:95">
      <c r="A7" s="24" t="s">
        <v>39</v>
      </c>
      <c r="B7" s="30">
        <v>1</v>
      </c>
      <c r="C7" s="31" t="s">
        <v>40</v>
      </c>
      <c r="D7" s="28"/>
      <c r="E7" s="28" t="s">
        <v>41</v>
      </c>
      <c r="F7" s="105" t="s">
        <v>42</v>
      </c>
      <c r="G7" s="13"/>
      <c r="H7" s="13" t="s">
        <v>43</v>
      </c>
      <c r="I7" s="13" t="s">
        <v>44</v>
      </c>
      <c r="J7" s="13" t="s">
        <v>45</v>
      </c>
      <c r="K7" s="13" t="s">
        <v>46</v>
      </c>
      <c r="L7" s="28" t="s">
        <v>47</v>
      </c>
      <c r="M7" s="13">
        <v>3</v>
      </c>
      <c r="N7" s="32">
        <v>0.121</v>
      </c>
      <c r="O7" s="33">
        <v>0.48899999999999999</v>
      </c>
      <c r="P7" s="33">
        <v>0.54200000000000004</v>
      </c>
      <c r="Q7" s="33">
        <v>0.70099999999999996</v>
      </c>
      <c r="R7" s="33"/>
      <c r="S7" s="33"/>
      <c r="T7" s="33"/>
      <c r="U7" s="33">
        <v>0.128</v>
      </c>
      <c r="V7" s="33">
        <v>0.108</v>
      </c>
      <c r="W7" s="33">
        <v>3.5000000000000003E-2</v>
      </c>
      <c r="X7" s="33"/>
      <c r="Y7" s="33"/>
      <c r="Z7" s="34"/>
      <c r="AA7" s="35">
        <v>0.35</v>
      </c>
      <c r="AB7" s="35">
        <v>0.33100000000000002</v>
      </c>
      <c r="AC7" s="28">
        <v>24.4</v>
      </c>
      <c r="AD7" s="35"/>
      <c r="AE7" s="35"/>
      <c r="AF7" s="8"/>
      <c r="AG7" s="33">
        <v>0.03</v>
      </c>
      <c r="AH7" s="33">
        <v>1.7999999999999999E-2</v>
      </c>
      <c r="AI7" s="33">
        <v>0.02</v>
      </c>
      <c r="AJ7" s="33"/>
      <c r="AK7" s="33"/>
      <c r="AL7" s="8"/>
      <c r="AM7" s="33">
        <v>3.0000000000000001E-3</v>
      </c>
      <c r="AN7" s="33">
        <v>1E-3</v>
      </c>
      <c r="AO7" s="33">
        <v>0</v>
      </c>
      <c r="AP7" s="33"/>
      <c r="AQ7" s="33"/>
      <c r="AR7" s="8"/>
      <c r="AS7" s="24">
        <v>56.6</v>
      </c>
      <c r="AT7" s="24">
        <v>48.4</v>
      </c>
      <c r="AU7" s="24">
        <v>29.9</v>
      </c>
      <c r="AV7" s="24"/>
      <c r="AW7" s="24"/>
      <c r="AX7" s="24"/>
      <c r="AY7" s="36">
        <v>0.23899999999999999</v>
      </c>
      <c r="AZ7" s="36">
        <v>0.86599999999999999</v>
      </c>
      <c r="BA7" s="24">
        <v>91.1</v>
      </c>
      <c r="BB7" s="8"/>
      <c r="BC7" s="8"/>
      <c r="BD7" s="8"/>
      <c r="BE7" s="33">
        <v>0.38900000000000001</v>
      </c>
      <c r="BF7" s="36">
        <v>0.36799999999999999</v>
      </c>
      <c r="BG7" s="24">
        <v>33.299999999999997</v>
      </c>
      <c r="BH7" s="8"/>
      <c r="BI7" s="8"/>
      <c r="BJ7" s="8"/>
      <c r="BK7" s="33">
        <v>7.4999999999999997E-2</v>
      </c>
      <c r="BL7" s="36">
        <v>7.4999999999999997E-2</v>
      </c>
      <c r="BM7" s="36">
        <v>7.0000000000000007E-2</v>
      </c>
      <c r="BN7" s="8"/>
      <c r="BO7" s="8"/>
      <c r="BP7" s="8"/>
      <c r="BQ7" s="28">
        <v>15</v>
      </c>
      <c r="BR7" s="24">
        <v>14</v>
      </c>
      <c r="BS7" s="24">
        <v>10</v>
      </c>
      <c r="BT7" s="8"/>
      <c r="BU7" s="8"/>
      <c r="BV7" s="8"/>
      <c r="BW7" s="28" t="s">
        <v>48</v>
      </c>
      <c r="BX7" s="24" t="s">
        <v>49</v>
      </c>
      <c r="BY7" s="24" t="s">
        <v>50</v>
      </c>
      <c r="BZ7" s="24"/>
      <c r="CA7" s="8"/>
      <c r="CB7" s="8"/>
      <c r="CC7" s="28" t="s">
        <v>51</v>
      </c>
      <c r="CD7" s="28" t="s">
        <v>52</v>
      </c>
      <c r="CE7" s="28" t="s">
        <v>52</v>
      </c>
      <c r="CF7" s="28"/>
      <c r="CG7" s="28"/>
      <c r="CH7" s="28"/>
      <c r="CI7" s="13"/>
      <c r="CJ7" s="13"/>
      <c r="CK7" s="13"/>
      <c r="CL7" s="13"/>
      <c r="CM7" s="13"/>
      <c r="CN7" s="13"/>
      <c r="CO7" s="13"/>
      <c r="CP7" s="13"/>
    </row>
    <row r="8" spans="1:95" ht="32.25" customHeight="1">
      <c r="A8" s="24" t="s">
        <v>53</v>
      </c>
      <c r="B8" s="30">
        <v>2</v>
      </c>
      <c r="C8" s="37" t="s">
        <v>54</v>
      </c>
      <c r="D8" s="60"/>
      <c r="E8" s="60" t="s">
        <v>55</v>
      </c>
      <c r="F8" s="105" t="s">
        <v>56</v>
      </c>
      <c r="G8" s="13"/>
      <c r="H8" s="13" t="s">
        <v>57</v>
      </c>
      <c r="I8" s="13" t="s">
        <v>58</v>
      </c>
      <c r="J8" s="13" t="s">
        <v>45</v>
      </c>
      <c r="K8" s="13" t="s">
        <v>46</v>
      </c>
      <c r="L8" s="13" t="s">
        <v>59</v>
      </c>
      <c r="M8" s="13">
        <v>3</v>
      </c>
      <c r="N8" s="32">
        <v>0.11600000000000001</v>
      </c>
      <c r="O8" s="33">
        <v>0.57399999999999995</v>
      </c>
      <c r="P8" s="33">
        <v>0.47</v>
      </c>
      <c r="Q8" s="33">
        <v>0.49399999999999999</v>
      </c>
      <c r="R8" s="33"/>
      <c r="S8" s="33"/>
      <c r="T8" s="8"/>
      <c r="U8" s="33">
        <v>5.3999999999999999E-2</v>
      </c>
      <c r="V8" s="33">
        <v>0.16500000000000001</v>
      </c>
      <c r="W8" s="33">
        <v>4.1000000000000002E-2</v>
      </c>
      <c r="X8" s="33"/>
      <c r="Y8" s="33"/>
      <c r="Z8" s="39"/>
      <c r="AA8" s="33">
        <v>0.20300000000000001</v>
      </c>
      <c r="AB8" s="33">
        <v>0.184</v>
      </c>
      <c r="AC8" s="33">
        <v>0.20799999999999999</v>
      </c>
      <c r="AD8" s="33"/>
      <c r="AE8" s="33"/>
      <c r="AF8" s="8"/>
      <c r="AG8" s="33">
        <v>0.128</v>
      </c>
      <c r="AH8" s="33">
        <v>8.3000000000000004E-2</v>
      </c>
      <c r="AI8" s="33">
        <v>0.13900000000000001</v>
      </c>
      <c r="AJ8" s="33"/>
      <c r="AK8" s="33"/>
      <c r="AL8" s="8"/>
      <c r="AM8" s="33">
        <v>4.1000000000000002E-2</v>
      </c>
      <c r="AN8" s="33">
        <v>9.8000000000000004E-2</v>
      </c>
      <c r="AO8" s="33">
        <v>0.11799999999999999</v>
      </c>
      <c r="AP8" s="33"/>
      <c r="AQ8" s="33"/>
      <c r="AR8" s="8"/>
      <c r="AS8" s="24">
        <v>67.900000000000006</v>
      </c>
      <c r="AT8" s="24">
        <v>90.4</v>
      </c>
      <c r="AU8" s="24">
        <v>92</v>
      </c>
      <c r="AV8" s="24"/>
      <c r="AW8" s="24"/>
      <c r="AX8" s="24"/>
      <c r="AY8" s="36">
        <v>0.61399999999999999</v>
      </c>
      <c r="AZ8" s="36">
        <v>0.19800000000000001</v>
      </c>
      <c r="BA8" s="36">
        <v>0.69599999999999995</v>
      </c>
      <c r="BB8" s="8"/>
      <c r="BC8" s="8"/>
      <c r="BD8" s="8"/>
      <c r="BE8" s="33">
        <v>0.48499999999999999</v>
      </c>
      <c r="BF8" s="36">
        <v>0.57099999999999995</v>
      </c>
      <c r="BG8" s="40">
        <v>0.54</v>
      </c>
      <c r="BH8" s="8"/>
      <c r="BI8" s="8"/>
      <c r="BJ8" s="8"/>
      <c r="BK8" s="33">
        <v>6.5000000000000002E-2</v>
      </c>
      <c r="BL8" s="40">
        <v>7.0000000000000007E-2</v>
      </c>
      <c r="BM8" s="36">
        <v>6.3E-2</v>
      </c>
      <c r="BN8" s="8"/>
      <c r="BO8" s="8"/>
      <c r="BP8" s="8"/>
      <c r="BQ8" s="28">
        <v>32</v>
      </c>
      <c r="BR8" s="24">
        <v>23</v>
      </c>
      <c r="BS8" s="24">
        <v>27</v>
      </c>
      <c r="BT8" s="8"/>
      <c r="BU8" s="8"/>
      <c r="BV8" s="8"/>
      <c r="BW8" s="28" t="s">
        <v>60</v>
      </c>
      <c r="BX8" s="24" t="s">
        <v>61</v>
      </c>
      <c r="BY8" s="24" t="s">
        <v>62</v>
      </c>
      <c r="BZ8" s="24"/>
      <c r="CA8" s="8"/>
      <c r="CB8" s="8"/>
      <c r="CC8" s="28" t="s">
        <v>63</v>
      </c>
      <c r="CD8" s="28" t="s">
        <v>64</v>
      </c>
      <c r="CE8" s="28" t="s">
        <v>65</v>
      </c>
      <c r="CF8" s="28"/>
      <c r="CG8" s="28"/>
      <c r="CH8" s="28"/>
      <c r="CI8" s="28" t="s">
        <v>66</v>
      </c>
      <c r="CJ8" s="13"/>
      <c r="CK8" s="13"/>
      <c r="CL8" s="13"/>
      <c r="CM8" s="13"/>
      <c r="CN8" s="13"/>
      <c r="CO8" s="13"/>
      <c r="CP8" s="13"/>
    </row>
    <row r="9" spans="1:95" ht="17.25" customHeight="1">
      <c r="A9" s="24" t="s">
        <v>67</v>
      </c>
      <c r="B9" s="30">
        <v>3</v>
      </c>
      <c r="C9" s="41" t="s">
        <v>502</v>
      </c>
      <c r="D9" s="60" t="s">
        <v>503</v>
      </c>
      <c r="E9" s="60" t="s">
        <v>69</v>
      </c>
      <c r="F9" s="13"/>
      <c r="G9" s="115" t="s">
        <v>70</v>
      </c>
      <c r="H9" s="13" t="s">
        <v>71</v>
      </c>
      <c r="I9" s="13" t="s">
        <v>72</v>
      </c>
      <c r="J9" s="13" t="s">
        <v>73</v>
      </c>
      <c r="K9" s="13" t="s">
        <v>46</v>
      </c>
      <c r="L9" s="13" t="s">
        <v>74</v>
      </c>
      <c r="M9" s="13">
        <v>3</v>
      </c>
      <c r="N9" s="32">
        <v>6.2600000000000003E-2</v>
      </c>
      <c r="O9" s="33">
        <v>0.45100000000000001</v>
      </c>
      <c r="P9" s="33">
        <v>0.498</v>
      </c>
      <c r="Q9" s="33">
        <v>0.495</v>
      </c>
      <c r="R9" s="33">
        <v>0.60799999999999998</v>
      </c>
      <c r="S9" s="33"/>
      <c r="T9" s="8"/>
      <c r="U9" s="28">
        <v>23.9</v>
      </c>
      <c r="V9" s="33">
        <v>0.20699999999999999</v>
      </c>
      <c r="W9" s="33">
        <v>0.218</v>
      </c>
      <c r="X9" s="33">
        <v>0.13900000000000001</v>
      </c>
      <c r="Y9" s="28"/>
      <c r="Z9" s="39"/>
      <c r="AA9" s="28">
        <v>30.9</v>
      </c>
      <c r="AB9" s="35">
        <v>0.28999999999999998</v>
      </c>
      <c r="AC9" s="33">
        <v>0.28399999999999997</v>
      </c>
      <c r="AD9" s="33">
        <v>0.216</v>
      </c>
      <c r="AE9" s="28"/>
      <c r="AF9" s="8"/>
      <c r="AG9" s="28">
        <v>0</v>
      </c>
      <c r="AH9" s="33">
        <v>5.0000000000000001E-3</v>
      </c>
      <c r="AI9" s="33">
        <v>3.0000000000000001E-3</v>
      </c>
      <c r="AJ9" s="33">
        <v>2.7E-2</v>
      </c>
      <c r="AK9" s="28"/>
      <c r="AL9" s="8"/>
      <c r="AM9" s="33">
        <v>1E-3</v>
      </c>
      <c r="AN9" s="35">
        <v>0</v>
      </c>
      <c r="AO9" s="35">
        <v>0</v>
      </c>
      <c r="AP9" s="35">
        <v>0.01</v>
      </c>
      <c r="AQ9" s="28"/>
      <c r="AR9" s="8"/>
      <c r="AS9" s="28">
        <v>63.2</v>
      </c>
      <c r="AT9" s="28">
        <v>57.5</v>
      </c>
      <c r="AU9" s="28">
        <v>58.3</v>
      </c>
      <c r="AV9" s="28">
        <v>49</v>
      </c>
      <c r="AW9" s="28"/>
      <c r="AX9" s="28"/>
      <c r="AY9" s="33">
        <v>0.95699999999999996</v>
      </c>
      <c r="AZ9" s="36">
        <v>0.96499999999999997</v>
      </c>
      <c r="BA9" s="24" t="s">
        <v>75</v>
      </c>
      <c r="BB9" s="36">
        <v>0.96499999999999997</v>
      </c>
      <c r="BC9" s="8"/>
      <c r="BD9" s="8"/>
      <c r="BE9" s="33">
        <v>0.34699999999999998</v>
      </c>
      <c r="BF9" s="36">
        <v>0.377</v>
      </c>
      <c r="BG9" s="36">
        <v>0.35399999999999998</v>
      </c>
      <c r="BH9" s="36">
        <v>0.48499999999999999</v>
      </c>
      <c r="BI9" s="8"/>
      <c r="BJ9" s="8"/>
      <c r="BK9" s="33">
        <v>8.1000000000000003E-2</v>
      </c>
      <c r="BL9" s="36">
        <v>7.9000000000000001E-2</v>
      </c>
      <c r="BM9" s="36">
        <v>7.9000000000000001E-2</v>
      </c>
      <c r="BN9" s="36">
        <v>7.1999999999999995E-2</v>
      </c>
      <c r="BO9" s="8"/>
      <c r="BP9" s="8"/>
      <c r="BQ9" s="28">
        <v>1</v>
      </c>
      <c r="BR9" s="24">
        <v>1</v>
      </c>
      <c r="BS9" s="24">
        <v>2</v>
      </c>
      <c r="BT9" s="24">
        <v>18</v>
      </c>
      <c r="BU9" s="8"/>
      <c r="BV9" s="8"/>
      <c r="BW9" s="28" t="s">
        <v>76</v>
      </c>
      <c r="BX9" s="28" t="s">
        <v>77</v>
      </c>
      <c r="BY9" s="28" t="s">
        <v>78</v>
      </c>
      <c r="BZ9" s="28" t="s">
        <v>504</v>
      </c>
      <c r="CA9" s="8"/>
      <c r="CB9" s="8"/>
      <c r="CC9" s="28" t="s">
        <v>79</v>
      </c>
      <c r="CD9" s="28" t="s">
        <v>80</v>
      </c>
      <c r="CE9" s="28" t="s">
        <v>81</v>
      </c>
      <c r="CF9" s="28" t="s">
        <v>505</v>
      </c>
      <c r="CG9" s="28"/>
      <c r="CH9" s="24"/>
      <c r="CI9" s="28" t="s">
        <v>82</v>
      </c>
      <c r="CJ9" s="13"/>
      <c r="CK9" s="13"/>
      <c r="CL9" s="13"/>
      <c r="CM9" s="13"/>
      <c r="CN9" s="28" t="s">
        <v>506</v>
      </c>
      <c r="CO9" s="13"/>
      <c r="CP9" s="13"/>
    </row>
    <row r="10" spans="1:95">
      <c r="A10" s="24" t="s">
        <v>83</v>
      </c>
      <c r="B10" s="30">
        <v>4</v>
      </c>
      <c r="C10" s="42" t="s">
        <v>507</v>
      </c>
      <c r="D10" s="28" t="s">
        <v>196</v>
      </c>
      <c r="E10" s="13" t="s">
        <v>85</v>
      </c>
      <c r="F10" s="105" t="s">
        <v>86</v>
      </c>
      <c r="G10" s="13"/>
      <c r="H10" s="13" t="s">
        <v>87</v>
      </c>
      <c r="I10" s="13" t="s">
        <v>88</v>
      </c>
      <c r="J10" s="13" t="s">
        <v>73</v>
      </c>
      <c r="K10" s="13" t="s">
        <v>46</v>
      </c>
      <c r="L10" s="13" t="s">
        <v>89</v>
      </c>
      <c r="M10" s="13">
        <v>3</v>
      </c>
      <c r="N10" s="13">
        <v>14.7</v>
      </c>
      <c r="O10" s="33">
        <v>0.34499999999999997</v>
      </c>
      <c r="P10" s="33">
        <v>0.49299999999999999</v>
      </c>
      <c r="Q10" s="33">
        <v>0.70499999999999996</v>
      </c>
      <c r="R10" s="33"/>
      <c r="S10" s="33"/>
      <c r="T10" s="8"/>
      <c r="U10" s="33">
        <v>0.499</v>
      </c>
      <c r="V10" s="33">
        <v>0.22600000000000001</v>
      </c>
      <c r="W10" s="33">
        <v>5.3999999999999999E-2</v>
      </c>
      <c r="X10" s="33"/>
      <c r="Y10" s="33"/>
      <c r="Z10" s="39"/>
      <c r="AA10" s="33">
        <v>0.152</v>
      </c>
      <c r="AB10" s="33">
        <v>0.17599999999999999</v>
      </c>
      <c r="AC10" s="33">
        <v>0.14399999999999999</v>
      </c>
      <c r="AD10" s="33"/>
      <c r="AE10" s="33"/>
      <c r="AF10" s="8"/>
      <c r="AG10" s="33">
        <v>4.0000000000000001E-3</v>
      </c>
      <c r="AH10" s="33">
        <v>9.1999999999999998E-2</v>
      </c>
      <c r="AI10" s="33">
        <v>9.5000000000000001E-2</v>
      </c>
      <c r="AJ10" s="33"/>
      <c r="AK10" s="33"/>
      <c r="AL10" s="8"/>
      <c r="AM10" s="35">
        <v>0</v>
      </c>
      <c r="AN10" s="28">
        <v>1.3</v>
      </c>
      <c r="AO10" s="28">
        <v>0.2</v>
      </c>
      <c r="AP10" s="35"/>
      <c r="AQ10" s="35"/>
      <c r="AR10" s="8"/>
      <c r="AS10" s="28">
        <v>93</v>
      </c>
      <c r="AT10" s="28">
        <v>76.2</v>
      </c>
      <c r="AU10" s="28">
        <v>43.6</v>
      </c>
      <c r="AV10" s="28"/>
      <c r="AW10" s="28"/>
      <c r="AX10" s="28"/>
      <c r="AY10" s="33">
        <v>0.71899999999999997</v>
      </c>
      <c r="AZ10" s="36">
        <v>0.77400000000000002</v>
      </c>
      <c r="BA10" s="36">
        <v>0.86399999999999999</v>
      </c>
      <c r="BB10" s="8"/>
      <c r="BC10" s="8"/>
      <c r="BD10" s="8"/>
      <c r="BE10" s="33">
        <v>0.498</v>
      </c>
      <c r="BF10" s="36">
        <v>0.54300000000000004</v>
      </c>
      <c r="BG10" s="36">
        <v>0.48899999999999999</v>
      </c>
      <c r="BH10" s="8"/>
      <c r="BI10" s="8"/>
      <c r="BJ10" s="8"/>
      <c r="BK10" s="33">
        <v>9.5000000000000001E-2</v>
      </c>
      <c r="BL10" s="36">
        <v>7.4999999999999997E-2</v>
      </c>
      <c r="BM10" s="36">
        <v>6.5000000000000002E-2</v>
      </c>
      <c r="BN10" s="8"/>
      <c r="BO10" s="8"/>
      <c r="BP10" s="8"/>
      <c r="BQ10" s="28">
        <v>1</v>
      </c>
      <c r="BR10" s="24">
        <v>26</v>
      </c>
      <c r="BS10" s="24">
        <v>20</v>
      </c>
      <c r="BT10" s="8"/>
      <c r="BU10" s="8"/>
      <c r="BV10" s="8"/>
      <c r="BW10" s="28" t="s">
        <v>90</v>
      </c>
      <c r="BX10" s="28" t="s">
        <v>91</v>
      </c>
      <c r="BY10" s="28" t="s">
        <v>508</v>
      </c>
      <c r="BZ10" s="28"/>
      <c r="CA10" s="8"/>
      <c r="CB10" s="8"/>
      <c r="CC10" s="28" t="s">
        <v>92</v>
      </c>
      <c r="CD10" s="28" t="s">
        <v>93</v>
      </c>
      <c r="CE10" s="28" t="s">
        <v>509</v>
      </c>
      <c r="CF10" s="28"/>
      <c r="CG10" s="28"/>
      <c r="CH10" s="8"/>
      <c r="CI10" s="28" t="s">
        <v>94</v>
      </c>
      <c r="CJ10" s="13"/>
      <c r="CK10" s="13"/>
      <c r="CL10" s="13"/>
      <c r="CM10" s="13"/>
      <c r="CN10" s="13"/>
      <c r="CO10" s="13"/>
      <c r="CP10" s="13"/>
    </row>
    <row r="11" spans="1:95">
      <c r="A11" s="43">
        <v>46000</v>
      </c>
      <c r="B11" s="30">
        <v>5</v>
      </c>
      <c r="C11" s="42" t="s">
        <v>510</v>
      </c>
      <c r="D11" s="28" t="s">
        <v>511</v>
      </c>
      <c r="E11" s="13" t="s">
        <v>96</v>
      </c>
      <c r="F11" s="13"/>
      <c r="G11" s="111" t="s">
        <v>97</v>
      </c>
      <c r="H11" s="13" t="s">
        <v>98</v>
      </c>
      <c r="I11" s="13" t="s">
        <v>99</v>
      </c>
      <c r="J11" s="13" t="s">
        <v>45</v>
      </c>
      <c r="K11" s="13" t="s">
        <v>46</v>
      </c>
      <c r="L11" s="13" t="s">
        <v>100</v>
      </c>
      <c r="M11" s="44" t="s">
        <v>101</v>
      </c>
      <c r="N11" s="32">
        <v>7.3400000000000007E-2</v>
      </c>
      <c r="O11" s="33">
        <v>0.53500000000000003</v>
      </c>
      <c r="P11" s="33">
        <v>0.69499999999999995</v>
      </c>
      <c r="Q11" s="33">
        <v>0.54900000000000004</v>
      </c>
      <c r="R11" s="13"/>
      <c r="S11" s="13"/>
      <c r="T11" s="8"/>
      <c r="U11" s="33">
        <v>0.14099999999999999</v>
      </c>
      <c r="V11" s="33">
        <v>9.9000000000000005E-2</v>
      </c>
      <c r="W11" s="33">
        <v>0.16300000000000001</v>
      </c>
      <c r="X11" s="13"/>
      <c r="Y11" s="13"/>
      <c r="Z11" s="39"/>
      <c r="AA11" s="33">
        <v>0.222</v>
      </c>
      <c r="AB11" s="33">
        <v>0.14399999999999999</v>
      </c>
      <c r="AC11" s="33">
        <v>0.223</v>
      </c>
      <c r="AD11" s="13"/>
      <c r="AE11" s="13"/>
      <c r="AF11" s="8"/>
      <c r="AG11" s="35">
        <v>0.1</v>
      </c>
      <c r="AH11" s="33">
        <v>5.0999999999999997E-2</v>
      </c>
      <c r="AI11" s="33">
        <v>5.1999999999999998E-2</v>
      </c>
      <c r="AJ11" s="13"/>
      <c r="AK11" s="13"/>
      <c r="AL11" s="8"/>
      <c r="AM11" s="33">
        <v>2E-3</v>
      </c>
      <c r="AN11" s="33">
        <v>1.0999999999999999E-2</v>
      </c>
      <c r="AO11" s="33">
        <v>1.2999999999999999E-2</v>
      </c>
      <c r="AP11" s="13"/>
      <c r="AQ11" s="13"/>
      <c r="AR11" s="8"/>
      <c r="AS11" s="28">
        <v>64.900000000000006</v>
      </c>
      <c r="AT11" s="28">
        <v>42.9</v>
      </c>
      <c r="AU11" s="28">
        <v>60.3</v>
      </c>
      <c r="AV11" s="13"/>
      <c r="AW11" s="13"/>
      <c r="AX11" s="13"/>
      <c r="AY11" s="35">
        <v>0.43</v>
      </c>
      <c r="AZ11" s="36">
        <v>0.73299999999999998</v>
      </c>
      <c r="BA11" s="40">
        <v>0.7</v>
      </c>
      <c r="BB11" s="8"/>
      <c r="BC11" s="8"/>
      <c r="BD11" s="8"/>
      <c r="BE11" s="33">
        <v>0.50600000000000001</v>
      </c>
      <c r="BF11" s="36">
        <v>0.436</v>
      </c>
      <c r="BG11" s="36">
        <v>0.47599999999999998</v>
      </c>
      <c r="BH11" s="8"/>
      <c r="BI11" s="8"/>
      <c r="BJ11" s="8"/>
      <c r="BK11" s="33">
        <v>7.0999999999999994E-2</v>
      </c>
      <c r="BL11" s="36">
        <v>6.9000000000000006E-2</v>
      </c>
      <c r="BM11" s="36">
        <v>7.2999999999999995E-2</v>
      </c>
      <c r="BN11" s="8"/>
      <c r="BO11" s="8"/>
      <c r="BP11" s="8"/>
      <c r="BQ11" s="28">
        <v>22</v>
      </c>
      <c r="BR11" s="24">
        <v>20</v>
      </c>
      <c r="BS11" s="24">
        <v>16</v>
      </c>
      <c r="BT11" s="8"/>
      <c r="BU11" s="8"/>
      <c r="BV11" s="8"/>
      <c r="BW11" s="28" t="s">
        <v>102</v>
      </c>
      <c r="BX11" s="28" t="s">
        <v>103</v>
      </c>
      <c r="BY11" s="28" t="s">
        <v>512</v>
      </c>
      <c r="BZ11" s="13"/>
      <c r="CA11" s="8"/>
      <c r="CB11" s="8"/>
      <c r="CC11" s="28" t="s">
        <v>104</v>
      </c>
      <c r="CD11" s="28" t="s">
        <v>105</v>
      </c>
      <c r="CE11" s="28" t="s">
        <v>513</v>
      </c>
      <c r="CF11" s="28"/>
      <c r="CG11" s="28"/>
      <c r="CH11" s="8"/>
      <c r="CI11" s="28" t="s">
        <v>514</v>
      </c>
      <c r="CJ11" s="13"/>
      <c r="CK11" s="13"/>
      <c r="CL11" s="13"/>
      <c r="CM11" s="13"/>
      <c r="CN11" s="13"/>
      <c r="CO11" s="13"/>
      <c r="CP11" s="13"/>
    </row>
    <row r="12" spans="1:95">
      <c r="A12" s="43">
        <v>46000</v>
      </c>
      <c r="B12" s="30">
        <v>6</v>
      </c>
      <c r="C12" s="31" t="s">
        <v>515</v>
      </c>
      <c r="D12" s="28" t="s">
        <v>72</v>
      </c>
      <c r="E12" s="13" t="s">
        <v>107</v>
      </c>
      <c r="F12" s="13"/>
      <c r="G12" s="105" t="s">
        <v>108</v>
      </c>
      <c r="H12" s="13" t="s">
        <v>109</v>
      </c>
      <c r="I12" s="13" t="s">
        <v>72</v>
      </c>
      <c r="J12" s="13" t="s">
        <v>45</v>
      </c>
      <c r="K12" s="13" t="s">
        <v>46</v>
      </c>
      <c r="L12" s="13" t="s">
        <v>110</v>
      </c>
      <c r="M12" s="13" t="s">
        <v>101</v>
      </c>
      <c r="N12" s="32">
        <v>0.11600000000000001</v>
      </c>
      <c r="O12" s="33">
        <v>0.27500000000000002</v>
      </c>
      <c r="P12" s="33">
        <v>0.39300000000000002</v>
      </c>
      <c r="Q12" s="33">
        <v>0.51</v>
      </c>
      <c r="R12" s="33"/>
      <c r="S12" s="33"/>
      <c r="T12" s="8"/>
      <c r="U12" s="33">
        <v>0.55900000000000005</v>
      </c>
      <c r="V12" s="33">
        <v>0.29399999999999998</v>
      </c>
      <c r="W12" s="33">
        <v>0.156</v>
      </c>
      <c r="X12" s="33"/>
      <c r="Y12" s="33"/>
      <c r="Z12" s="39"/>
      <c r="AA12" s="33">
        <v>0.16600000000000001</v>
      </c>
      <c r="AB12" s="33">
        <v>0.312</v>
      </c>
      <c r="AC12" s="33">
        <v>0.33200000000000002</v>
      </c>
      <c r="AD12" s="33"/>
      <c r="AE12" s="33"/>
      <c r="AF12" s="8"/>
      <c r="AG12" s="35">
        <v>0</v>
      </c>
      <c r="AH12" s="28">
        <v>0.1</v>
      </c>
      <c r="AI12" s="33">
        <v>2E-3</v>
      </c>
      <c r="AJ12" s="35"/>
      <c r="AK12" s="35"/>
      <c r="AL12" s="8"/>
      <c r="AM12" s="35">
        <v>0</v>
      </c>
      <c r="AN12" s="35">
        <v>0</v>
      </c>
      <c r="AO12" s="35">
        <v>0</v>
      </c>
      <c r="AP12" s="35"/>
      <c r="AQ12" s="35"/>
      <c r="AR12" s="8"/>
      <c r="AS12" s="28">
        <v>102.7</v>
      </c>
      <c r="AT12" s="28">
        <v>72.2</v>
      </c>
      <c r="AU12" s="28">
        <v>52</v>
      </c>
      <c r="AV12" s="28"/>
      <c r="AW12" s="28"/>
      <c r="AX12" s="28"/>
      <c r="AY12" s="33">
        <v>0.58599999999999997</v>
      </c>
      <c r="AZ12" s="36">
        <v>0.41799999999999998</v>
      </c>
      <c r="BA12" s="36">
        <v>0.44500000000000001</v>
      </c>
      <c r="BB12" s="8"/>
      <c r="BC12" s="8"/>
      <c r="BD12" s="8"/>
      <c r="BE12" s="33">
        <v>0.378</v>
      </c>
      <c r="BF12" s="36">
        <v>0.373</v>
      </c>
      <c r="BG12" s="36">
        <v>0.33300000000000002</v>
      </c>
      <c r="BH12" s="8"/>
      <c r="BI12" s="8"/>
      <c r="BJ12" s="8"/>
      <c r="BK12" s="28" t="s">
        <v>111</v>
      </c>
      <c r="BL12" s="36">
        <v>8.4000000000000005E-2</v>
      </c>
      <c r="BM12" s="24" t="s">
        <v>236</v>
      </c>
      <c r="BN12" s="8"/>
      <c r="BO12" s="8"/>
      <c r="BP12" s="8"/>
      <c r="BQ12" s="28">
        <v>0</v>
      </c>
      <c r="BR12" s="24">
        <v>0</v>
      </c>
      <c r="BS12" s="24">
        <v>0</v>
      </c>
      <c r="BT12" s="8"/>
      <c r="BU12" s="8"/>
      <c r="BV12" s="8"/>
      <c r="BW12" s="28" t="s">
        <v>112</v>
      </c>
      <c r="BX12" s="28" t="s">
        <v>112</v>
      </c>
      <c r="BY12" s="28" t="s">
        <v>112</v>
      </c>
      <c r="BZ12" s="28"/>
      <c r="CA12" s="8"/>
      <c r="CB12" s="8"/>
      <c r="CC12" s="28" t="s">
        <v>113</v>
      </c>
      <c r="CD12" s="28" t="s">
        <v>114</v>
      </c>
      <c r="CE12" s="28" t="s">
        <v>516</v>
      </c>
      <c r="CF12" s="28"/>
      <c r="CG12" s="28"/>
      <c r="CH12" s="8"/>
      <c r="CI12" s="28" t="s">
        <v>517</v>
      </c>
      <c r="CJ12" s="13"/>
      <c r="CK12" s="13"/>
      <c r="CL12" s="13"/>
      <c r="CM12" s="13"/>
      <c r="CN12" s="13"/>
      <c r="CO12" s="13"/>
      <c r="CP12" s="13"/>
    </row>
    <row r="13" spans="1:95" ht="17.25" customHeight="1">
      <c r="A13" s="43">
        <v>46000</v>
      </c>
      <c r="B13" s="30">
        <v>7</v>
      </c>
      <c r="C13" s="45" t="s">
        <v>518</v>
      </c>
      <c r="D13" s="60" t="s">
        <v>88</v>
      </c>
      <c r="E13" s="60" t="s">
        <v>117</v>
      </c>
      <c r="F13" s="13"/>
      <c r="G13" s="13" t="s">
        <v>118</v>
      </c>
      <c r="H13" s="13" t="s">
        <v>119</v>
      </c>
      <c r="I13" s="13" t="s">
        <v>88</v>
      </c>
      <c r="J13" s="13" t="s">
        <v>73</v>
      </c>
      <c r="K13" s="13" t="s">
        <v>46</v>
      </c>
      <c r="L13" s="13" t="s">
        <v>120</v>
      </c>
      <c r="M13" s="13">
        <v>6</v>
      </c>
      <c r="N13" s="46">
        <v>0.15</v>
      </c>
      <c r="O13" s="33">
        <v>0.82699999999999996</v>
      </c>
      <c r="P13" s="33">
        <v>0.83899999999999997</v>
      </c>
      <c r="Q13" s="33">
        <v>0.92100000000000004</v>
      </c>
      <c r="R13" s="33"/>
      <c r="S13" s="33"/>
      <c r="T13" s="8"/>
      <c r="U13" s="33">
        <v>2.8000000000000001E-2</v>
      </c>
      <c r="V13" s="33">
        <v>2.3E-2</v>
      </c>
      <c r="W13" s="33">
        <v>0</v>
      </c>
      <c r="X13" s="33"/>
      <c r="Y13" s="33"/>
      <c r="Z13" s="39"/>
      <c r="AA13" s="33">
        <v>0.124</v>
      </c>
      <c r="AB13" s="33">
        <v>0.13600000000000001</v>
      </c>
      <c r="AC13" s="33">
        <v>7.0999999999999994E-2</v>
      </c>
      <c r="AD13" s="33"/>
      <c r="AE13" s="33"/>
      <c r="AF13" s="8"/>
      <c r="AG13" s="33">
        <v>1.6E-2</v>
      </c>
      <c r="AH13" s="33">
        <v>2E-3</v>
      </c>
      <c r="AI13" s="33">
        <v>8.0000000000000002E-3</v>
      </c>
      <c r="AJ13" s="33"/>
      <c r="AK13" s="33"/>
      <c r="AL13" s="8"/>
      <c r="AM13" s="33">
        <v>5.0000000000000001E-3</v>
      </c>
      <c r="AN13" s="33">
        <v>0</v>
      </c>
      <c r="AO13" s="33">
        <v>0</v>
      </c>
      <c r="AP13" s="33"/>
      <c r="AQ13" s="33"/>
      <c r="AR13" s="8"/>
      <c r="AS13" s="28">
        <v>19.7</v>
      </c>
      <c r="AT13" s="28">
        <v>15</v>
      </c>
      <c r="AU13" s="28">
        <v>7.6</v>
      </c>
      <c r="AV13" s="28"/>
      <c r="AW13" s="28"/>
      <c r="AX13" s="28"/>
      <c r="AY13" s="33">
        <v>0.25800000000000001</v>
      </c>
      <c r="AZ13" s="36">
        <v>0.874</v>
      </c>
      <c r="BA13" s="40">
        <v>0.95</v>
      </c>
      <c r="BB13" s="8"/>
      <c r="BC13" s="8"/>
      <c r="BD13" s="8"/>
      <c r="BE13" s="33">
        <v>0.35099999999999998</v>
      </c>
      <c r="BF13" s="36">
        <v>0.30499999999999999</v>
      </c>
      <c r="BG13" s="36">
        <v>0.27300000000000002</v>
      </c>
      <c r="BH13" s="8"/>
      <c r="BI13" s="8"/>
      <c r="BJ13" s="8"/>
      <c r="BK13" s="33">
        <v>6.5000000000000002E-2</v>
      </c>
      <c r="BL13" s="36">
        <v>6.7000000000000004E-2</v>
      </c>
      <c r="BM13" s="36">
        <v>6.2E-2</v>
      </c>
      <c r="BN13" s="8"/>
      <c r="BO13" s="8"/>
      <c r="BP13" s="8"/>
      <c r="BQ13" s="28">
        <v>8</v>
      </c>
      <c r="BR13" s="24">
        <v>1</v>
      </c>
      <c r="BS13" s="24">
        <v>3</v>
      </c>
      <c r="BT13" s="8"/>
      <c r="BU13" s="8"/>
      <c r="BV13" s="8"/>
      <c r="BW13" s="28" t="s">
        <v>121</v>
      </c>
      <c r="BX13" s="28" t="s">
        <v>122</v>
      </c>
      <c r="BY13" s="28" t="s">
        <v>208</v>
      </c>
      <c r="BZ13" s="28"/>
      <c r="CA13" s="8"/>
      <c r="CB13" s="8"/>
      <c r="CC13" s="28" t="s">
        <v>123</v>
      </c>
      <c r="CD13" s="28" t="s">
        <v>123</v>
      </c>
      <c r="CE13" s="28" t="s">
        <v>519</v>
      </c>
      <c r="CF13" s="28"/>
      <c r="CG13" s="28"/>
      <c r="CH13" s="8"/>
      <c r="CI13" s="13"/>
      <c r="CJ13" s="13"/>
      <c r="CK13" s="13"/>
      <c r="CL13" s="13"/>
      <c r="CM13" s="13"/>
      <c r="CN13" s="13"/>
      <c r="CO13" s="13"/>
      <c r="CP13" s="13"/>
    </row>
    <row r="14" spans="1:95">
      <c r="A14" s="43">
        <v>46000</v>
      </c>
      <c r="B14" s="30">
        <v>8</v>
      </c>
      <c r="C14" s="31" t="s">
        <v>520</v>
      </c>
      <c r="D14" s="28" t="s">
        <v>503</v>
      </c>
      <c r="E14" s="13" t="s">
        <v>125</v>
      </c>
      <c r="F14" s="13"/>
      <c r="G14" s="108" t="s">
        <v>126</v>
      </c>
      <c r="H14" s="13" t="s">
        <v>127</v>
      </c>
      <c r="I14" s="13" t="s">
        <v>128</v>
      </c>
      <c r="J14" s="13" t="s">
        <v>45</v>
      </c>
      <c r="K14" s="13" t="s">
        <v>46</v>
      </c>
      <c r="L14" s="13" t="s">
        <v>129</v>
      </c>
      <c r="M14" s="13">
        <v>3</v>
      </c>
      <c r="N14" s="32">
        <v>9.6699999999999994E-2</v>
      </c>
      <c r="O14" s="33">
        <v>0.29799999999999999</v>
      </c>
      <c r="P14" s="33">
        <v>0.16800000000000001</v>
      </c>
      <c r="Q14" s="33">
        <v>0.83199999999999996</v>
      </c>
      <c r="R14" s="33"/>
      <c r="S14" s="33"/>
      <c r="T14" s="8"/>
      <c r="U14" s="33">
        <v>0.442</v>
      </c>
      <c r="V14" s="33">
        <v>0.72399999999999998</v>
      </c>
      <c r="W14" s="33">
        <v>3.1E-2</v>
      </c>
      <c r="X14" s="33"/>
      <c r="Y14" s="33"/>
      <c r="Z14" s="39"/>
      <c r="AA14" s="33">
        <v>0.25600000000000001</v>
      </c>
      <c r="AB14" s="33">
        <v>0.107</v>
      </c>
      <c r="AC14" s="33">
        <v>0.129</v>
      </c>
      <c r="AD14" s="33"/>
      <c r="AE14" s="33"/>
      <c r="AF14" s="8"/>
      <c r="AG14" s="33">
        <v>3.0000000000000001E-3</v>
      </c>
      <c r="AH14" s="33">
        <v>1E-3</v>
      </c>
      <c r="AI14" s="33">
        <v>8.0000000000000002E-3</v>
      </c>
      <c r="AJ14" s="33"/>
      <c r="AK14" s="33"/>
      <c r="AL14" s="8"/>
      <c r="AM14" s="33">
        <v>1E-3</v>
      </c>
      <c r="AN14" s="33">
        <v>0</v>
      </c>
      <c r="AO14" s="28" t="s">
        <v>130</v>
      </c>
      <c r="AP14" s="33"/>
      <c r="AQ14" s="33"/>
      <c r="AR14" s="8"/>
      <c r="AS14" s="28">
        <v>92.2</v>
      </c>
      <c r="AT14" s="28">
        <v>124.6</v>
      </c>
      <c r="AU14" s="28">
        <v>17.2</v>
      </c>
      <c r="AV14" s="28"/>
      <c r="AW14" s="28"/>
      <c r="AX14" s="28"/>
      <c r="AY14" s="33">
        <v>0.34899999999999998</v>
      </c>
      <c r="AZ14" s="36">
        <v>0.35299999999999998</v>
      </c>
      <c r="BA14" s="36">
        <v>0.85599999999999998</v>
      </c>
      <c r="BB14" s="8"/>
      <c r="BC14" s="8"/>
      <c r="BD14" s="8"/>
      <c r="BE14" s="33">
        <v>0.40899999999999997</v>
      </c>
      <c r="BF14" s="36">
        <v>0.34899999999999998</v>
      </c>
      <c r="BG14" s="36">
        <v>0.36399999999999999</v>
      </c>
      <c r="BH14" s="8"/>
      <c r="BI14" s="8"/>
      <c r="BJ14" s="8"/>
      <c r="BK14" s="33">
        <v>9.0999999999999998E-2</v>
      </c>
      <c r="BL14" s="36">
        <v>0.108</v>
      </c>
      <c r="BM14" s="24" t="s">
        <v>131</v>
      </c>
      <c r="BN14" s="8"/>
      <c r="BO14" s="8"/>
      <c r="BP14" s="8"/>
      <c r="BQ14" s="28">
        <v>1</v>
      </c>
      <c r="BR14" s="24">
        <v>1</v>
      </c>
      <c r="BS14" s="24">
        <v>2</v>
      </c>
      <c r="BT14" s="8"/>
      <c r="BU14" s="8"/>
      <c r="BV14" s="8"/>
      <c r="BW14" s="28" t="s">
        <v>132</v>
      </c>
      <c r="BX14" s="28" t="s">
        <v>133</v>
      </c>
      <c r="BY14" s="28" t="s">
        <v>48</v>
      </c>
      <c r="BZ14" s="28"/>
      <c r="CA14" s="8"/>
      <c r="CB14" s="8"/>
      <c r="CC14" s="28" t="s">
        <v>134</v>
      </c>
      <c r="CD14" s="28" t="s">
        <v>135</v>
      </c>
      <c r="CE14" s="28" t="s">
        <v>135</v>
      </c>
      <c r="CF14" s="13"/>
      <c r="CG14" s="13"/>
      <c r="CH14" s="13"/>
      <c r="CI14" s="28" t="s">
        <v>136</v>
      </c>
      <c r="CJ14" s="13"/>
      <c r="CK14" s="13"/>
      <c r="CL14" s="13"/>
      <c r="CM14" s="13"/>
      <c r="CN14" s="13"/>
      <c r="CO14" s="13"/>
      <c r="CP14" s="13"/>
    </row>
    <row r="15" spans="1:95" ht="17.25" customHeight="1">
      <c r="A15" s="47">
        <v>46001</v>
      </c>
      <c r="B15" s="30">
        <v>9</v>
      </c>
      <c r="C15" s="48" t="s">
        <v>521</v>
      </c>
      <c r="D15" s="60" t="s">
        <v>522</v>
      </c>
      <c r="E15" s="60" t="s">
        <v>138</v>
      </c>
      <c r="F15" s="105" t="s">
        <v>139</v>
      </c>
      <c r="G15" s="13"/>
      <c r="H15" s="28" t="s">
        <v>140</v>
      </c>
      <c r="I15" s="13" t="s">
        <v>72</v>
      </c>
      <c r="J15" s="13" t="s">
        <v>45</v>
      </c>
      <c r="K15" s="13" t="s">
        <v>46</v>
      </c>
      <c r="L15" s="13" t="s">
        <v>141</v>
      </c>
      <c r="M15" s="13">
        <v>3</v>
      </c>
      <c r="N15" s="32">
        <v>7.3099999999999998E-2</v>
      </c>
      <c r="O15" s="33">
        <v>0.80600000000000005</v>
      </c>
      <c r="P15" s="33">
        <v>0.82899999999999996</v>
      </c>
      <c r="Q15" s="33">
        <v>0.86799999999999999</v>
      </c>
      <c r="R15" s="33"/>
      <c r="S15" s="33"/>
      <c r="T15" s="8"/>
      <c r="U15" s="33">
        <v>3.2000000000000001E-2</v>
      </c>
      <c r="V15" s="33">
        <v>2E-3</v>
      </c>
      <c r="W15" s="33">
        <v>2E-3</v>
      </c>
      <c r="X15" s="33"/>
      <c r="Y15" s="33"/>
      <c r="Z15" s="8"/>
      <c r="AA15" s="33">
        <v>0.113</v>
      </c>
      <c r="AB15" s="33">
        <v>7.6999999999999999E-2</v>
      </c>
      <c r="AC15" s="33">
        <v>9.7000000000000003E-2</v>
      </c>
      <c r="AD15" s="33"/>
      <c r="AE15" s="33"/>
      <c r="AF15" s="8"/>
      <c r="AG15" s="33">
        <v>4.3999999999999997E-2</v>
      </c>
      <c r="AH15" s="33">
        <v>8.5999999999999993E-2</v>
      </c>
      <c r="AI15" s="33">
        <v>3.1E-2</v>
      </c>
      <c r="AJ15" s="33"/>
      <c r="AK15" s="33"/>
      <c r="AL15" s="8"/>
      <c r="AM15" s="33">
        <v>5.0000000000000001E-3</v>
      </c>
      <c r="AN15" s="33">
        <v>6.0000000000000001E-3</v>
      </c>
      <c r="AO15" s="33">
        <v>2E-3</v>
      </c>
      <c r="AP15" s="33"/>
      <c r="AQ15" s="33"/>
      <c r="AS15" s="28">
        <v>26.2</v>
      </c>
      <c r="AT15" s="28">
        <v>28.9</v>
      </c>
      <c r="AU15" s="28">
        <v>16.100000000000001</v>
      </c>
      <c r="AV15" s="28"/>
      <c r="AW15" s="28"/>
      <c r="AX15" s="28"/>
      <c r="AY15" s="33">
        <v>0.92500000000000004</v>
      </c>
      <c r="AZ15" s="40">
        <v>0.93</v>
      </c>
      <c r="BA15" s="40">
        <v>0.94</v>
      </c>
      <c r="BB15" s="8"/>
      <c r="BC15" s="8"/>
      <c r="BD15" s="8"/>
      <c r="BE15" s="33">
        <v>0.40500000000000003</v>
      </c>
      <c r="BF15" s="36">
        <v>0.34699999999999998</v>
      </c>
      <c r="BG15" s="36">
        <v>0.30599999999999999</v>
      </c>
      <c r="BH15" s="8"/>
      <c r="BI15" s="8"/>
      <c r="BJ15" s="8"/>
      <c r="BK15" s="33">
        <v>6.4000000000000001E-2</v>
      </c>
      <c r="BL15" s="36">
        <v>6.0999999999999999E-2</v>
      </c>
      <c r="BM15" s="36">
        <v>6.3E-2</v>
      </c>
      <c r="BN15" s="8"/>
      <c r="BO15" s="8"/>
      <c r="BP15" s="8"/>
      <c r="BQ15" s="28">
        <v>18</v>
      </c>
      <c r="BR15" s="24">
        <v>42</v>
      </c>
      <c r="BS15" s="24">
        <v>13</v>
      </c>
      <c r="BT15" s="8"/>
      <c r="BU15" s="8"/>
      <c r="BV15" s="8"/>
      <c r="BW15" s="28" t="s">
        <v>142</v>
      </c>
      <c r="BX15" s="28" t="s">
        <v>143</v>
      </c>
      <c r="BY15" s="28" t="s">
        <v>523</v>
      </c>
      <c r="BZ15" s="28"/>
      <c r="CA15" s="8"/>
      <c r="CB15" s="8"/>
      <c r="CC15" s="28" t="s">
        <v>144</v>
      </c>
      <c r="CD15" s="28" t="s">
        <v>145</v>
      </c>
      <c r="CE15" s="28" t="s">
        <v>524</v>
      </c>
      <c r="CF15" s="28"/>
      <c r="CG15" s="28"/>
      <c r="CH15" s="8"/>
      <c r="CI15" s="13"/>
      <c r="CJ15" s="13"/>
      <c r="CK15" s="13"/>
      <c r="CL15" s="13"/>
      <c r="CM15" s="13"/>
      <c r="CN15" s="13"/>
      <c r="CO15" s="13"/>
      <c r="CP15" s="13"/>
    </row>
    <row r="16" spans="1:95">
      <c r="A16" s="49">
        <v>45972</v>
      </c>
      <c r="B16" s="30">
        <v>10</v>
      </c>
      <c r="C16" s="42" t="s">
        <v>525</v>
      </c>
      <c r="D16" s="28" t="s">
        <v>150</v>
      </c>
      <c r="E16" s="13" t="s">
        <v>147</v>
      </c>
      <c r="F16" s="105" t="s">
        <v>148</v>
      </c>
      <c r="G16" s="13"/>
      <c r="H16" s="13" t="s">
        <v>149</v>
      </c>
      <c r="I16" s="13" t="s">
        <v>150</v>
      </c>
      <c r="J16" s="13" t="s">
        <v>45</v>
      </c>
      <c r="K16" s="13" t="s">
        <v>46</v>
      </c>
      <c r="L16" s="13" t="s">
        <v>151</v>
      </c>
      <c r="M16" s="13">
        <v>6</v>
      </c>
      <c r="N16" s="32">
        <v>0.10299999999999999</v>
      </c>
      <c r="O16" s="33">
        <v>0.94799999999999995</v>
      </c>
      <c r="P16" s="35">
        <v>0.93</v>
      </c>
      <c r="Q16" s="33">
        <v>0.95199999999999996</v>
      </c>
      <c r="R16" s="13"/>
      <c r="S16" s="13"/>
      <c r="T16" s="13"/>
      <c r="U16" s="33">
        <v>2E-3</v>
      </c>
      <c r="V16" s="35">
        <v>0.01</v>
      </c>
      <c r="W16" s="35">
        <v>0</v>
      </c>
      <c r="X16" s="13"/>
      <c r="Y16" s="13"/>
      <c r="Z16" s="13"/>
      <c r="AA16" s="33">
        <v>2.5000000000000001E-2</v>
      </c>
      <c r="AB16" s="33">
        <v>5.0999999999999997E-2</v>
      </c>
      <c r="AC16" s="33">
        <v>3.1E-2</v>
      </c>
      <c r="AD16" s="13"/>
      <c r="AE16" s="13"/>
      <c r="AF16" s="13"/>
      <c r="AG16" s="33">
        <v>2.5000000000000001E-2</v>
      </c>
      <c r="AH16" s="28">
        <v>0</v>
      </c>
      <c r="AI16" s="33">
        <v>1.6E-2</v>
      </c>
      <c r="AJ16" s="13"/>
      <c r="AK16" s="13"/>
      <c r="AL16" s="13"/>
      <c r="AM16" s="35">
        <v>0</v>
      </c>
      <c r="AN16" s="33">
        <v>1E-3</v>
      </c>
      <c r="AO16" s="33">
        <v>1E-3</v>
      </c>
      <c r="AP16" s="13"/>
      <c r="AQ16" s="13"/>
      <c r="AR16" s="13"/>
      <c r="AS16" s="28">
        <v>8.3000000000000007</v>
      </c>
      <c r="AT16" s="28">
        <v>7.9</v>
      </c>
      <c r="AU16" s="28">
        <v>6.6</v>
      </c>
      <c r="AV16" s="13"/>
      <c r="AW16" s="13"/>
      <c r="AX16" s="13"/>
      <c r="AY16" s="33">
        <v>0.25900000000000001</v>
      </c>
      <c r="AZ16" s="33">
        <v>0.26300000000000001</v>
      </c>
      <c r="BA16" s="33">
        <v>0.40500000000000003</v>
      </c>
      <c r="BB16" s="13"/>
      <c r="BC16" s="13"/>
      <c r="BD16" s="13"/>
      <c r="BE16" s="33">
        <v>0.24299999999999999</v>
      </c>
      <c r="BF16" s="33">
        <v>0.28699999999999998</v>
      </c>
      <c r="BG16" s="33">
        <v>0.23899999999999999</v>
      </c>
      <c r="BH16" s="13"/>
      <c r="BI16" s="13"/>
      <c r="BJ16" s="13"/>
      <c r="BK16" s="33">
        <v>0.06</v>
      </c>
      <c r="BL16" s="33">
        <v>6.2E-2</v>
      </c>
      <c r="BM16" s="33">
        <v>0.06</v>
      </c>
      <c r="BN16" s="13"/>
      <c r="BO16" s="13"/>
      <c r="BP16" s="13"/>
      <c r="BQ16" s="28">
        <v>14</v>
      </c>
      <c r="BR16" s="28">
        <v>5</v>
      </c>
      <c r="BS16" s="28">
        <v>7</v>
      </c>
      <c r="BT16" s="13"/>
      <c r="BU16" s="13"/>
      <c r="BV16" s="13"/>
      <c r="BW16" s="28" t="s">
        <v>152</v>
      </c>
      <c r="BX16" s="28" t="s">
        <v>153</v>
      </c>
      <c r="BY16" s="28" t="s">
        <v>526</v>
      </c>
      <c r="BZ16" s="13"/>
      <c r="CA16" s="13"/>
      <c r="CB16" s="13"/>
      <c r="CC16" s="28" t="s">
        <v>154</v>
      </c>
      <c r="CD16" s="28" t="s">
        <v>155</v>
      </c>
      <c r="CE16" s="28" t="s">
        <v>527</v>
      </c>
      <c r="CF16" s="28"/>
      <c r="CG16" s="28"/>
      <c r="CH16" s="8"/>
      <c r="CI16" s="13"/>
      <c r="CJ16" s="13"/>
      <c r="CK16" s="13"/>
      <c r="CL16" s="13"/>
      <c r="CM16" s="13"/>
      <c r="CN16" s="13"/>
      <c r="CO16" s="13"/>
      <c r="CP16" s="13"/>
    </row>
    <row r="17" spans="1:94">
      <c r="A17" s="49">
        <v>45972</v>
      </c>
      <c r="B17" s="30">
        <v>11</v>
      </c>
      <c r="C17" s="42" t="s">
        <v>528</v>
      </c>
      <c r="D17" s="28" t="s">
        <v>88</v>
      </c>
      <c r="E17" s="13" t="s">
        <v>157</v>
      </c>
      <c r="F17" s="105" t="s">
        <v>158</v>
      </c>
      <c r="G17" s="13"/>
      <c r="H17" s="13" t="s">
        <v>159</v>
      </c>
      <c r="I17" s="13" t="s">
        <v>128</v>
      </c>
      <c r="J17" s="13" t="s">
        <v>45</v>
      </c>
      <c r="K17" s="13" t="s">
        <v>46</v>
      </c>
      <c r="L17" s="13" t="s">
        <v>160</v>
      </c>
      <c r="M17" s="13">
        <v>2</v>
      </c>
      <c r="N17" s="32">
        <v>5.5E-2</v>
      </c>
      <c r="O17" s="33">
        <v>0.94099999999999995</v>
      </c>
      <c r="P17" s="33">
        <v>0.97199999999999998</v>
      </c>
      <c r="Q17" s="33">
        <v>0.94499999999999995</v>
      </c>
      <c r="R17" s="13"/>
      <c r="S17" s="13"/>
      <c r="T17" s="13"/>
      <c r="U17" s="35">
        <v>0</v>
      </c>
      <c r="V17" s="35">
        <v>0</v>
      </c>
      <c r="W17" s="35">
        <v>0</v>
      </c>
      <c r="X17" s="13"/>
      <c r="Y17" s="13"/>
      <c r="Z17" s="13"/>
      <c r="AA17" s="33">
        <v>1.2E-2</v>
      </c>
      <c r="AB17" s="33">
        <v>1.7999999999999999E-2</v>
      </c>
      <c r="AC17" s="33">
        <v>3.1E-2</v>
      </c>
      <c r="AD17" s="13"/>
      <c r="AE17" s="13"/>
      <c r="AF17" s="13"/>
      <c r="AG17" s="33">
        <v>3.9E-2</v>
      </c>
      <c r="AH17" s="33">
        <v>8.0000000000000002E-3</v>
      </c>
      <c r="AI17" s="33">
        <v>2.3E-2</v>
      </c>
      <c r="AJ17" s="13"/>
      <c r="AK17" s="13"/>
      <c r="AL17" s="13"/>
      <c r="AM17" s="35">
        <v>0</v>
      </c>
      <c r="AN17" s="33">
        <v>2E-3</v>
      </c>
      <c r="AO17" s="33">
        <v>1E-3</v>
      </c>
      <c r="AP17" s="13"/>
      <c r="AQ17" s="13"/>
      <c r="AR17" s="13"/>
      <c r="AS17" s="28">
        <v>12.7</v>
      </c>
      <c r="AT17" s="28">
        <v>4</v>
      </c>
      <c r="AU17" s="28">
        <v>8.3000000000000007</v>
      </c>
      <c r="AV17" s="13"/>
      <c r="AW17" s="13"/>
      <c r="AX17" s="13"/>
      <c r="AY17" s="33">
        <v>0.86499999999999999</v>
      </c>
      <c r="AZ17" s="33">
        <v>0.91800000000000004</v>
      </c>
      <c r="BA17" s="33">
        <v>0.95899999999999996</v>
      </c>
      <c r="BB17" s="13"/>
      <c r="BC17" s="13"/>
      <c r="BD17" s="13"/>
      <c r="BE17" s="33">
        <v>0.23100000000000001</v>
      </c>
      <c r="BF17" s="33">
        <v>0.21199999999999999</v>
      </c>
      <c r="BG17" s="33">
        <v>0.246</v>
      </c>
      <c r="BH17" s="13"/>
      <c r="BI17" s="13"/>
      <c r="BJ17" s="13"/>
      <c r="BK17" s="33">
        <v>5.8999999999999997E-2</v>
      </c>
      <c r="BL17" s="33">
        <v>0.06</v>
      </c>
      <c r="BM17" s="33">
        <v>6.0999999999999999E-2</v>
      </c>
      <c r="BN17" s="13"/>
      <c r="BO17" s="13"/>
      <c r="BP17" s="13"/>
      <c r="BQ17" s="28">
        <v>14</v>
      </c>
      <c r="BR17" s="28">
        <v>6</v>
      </c>
      <c r="BS17" s="28">
        <v>11</v>
      </c>
      <c r="BT17" s="13"/>
      <c r="BU17" s="13"/>
      <c r="BV17" s="13"/>
      <c r="BW17" s="28" t="s">
        <v>161</v>
      </c>
      <c r="BX17" s="28" t="s">
        <v>162</v>
      </c>
      <c r="BY17" s="28" t="s">
        <v>271</v>
      </c>
      <c r="BZ17" s="13"/>
      <c r="CA17" s="13"/>
      <c r="CB17" s="13"/>
      <c r="CC17" s="28" t="s">
        <v>163</v>
      </c>
      <c r="CD17" s="28" t="s">
        <v>164</v>
      </c>
      <c r="CE17" s="28" t="s">
        <v>164</v>
      </c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</row>
    <row r="18" spans="1:94">
      <c r="A18" s="49">
        <v>45972</v>
      </c>
      <c r="B18" s="30">
        <v>12</v>
      </c>
      <c r="C18" s="31" t="s">
        <v>529</v>
      </c>
      <c r="D18" s="28" t="s">
        <v>44</v>
      </c>
      <c r="E18" s="13" t="s">
        <v>166</v>
      </c>
      <c r="F18" s="13"/>
      <c r="G18" s="109" t="s">
        <v>167</v>
      </c>
      <c r="H18" s="13" t="s">
        <v>168</v>
      </c>
      <c r="I18" s="13" t="s">
        <v>128</v>
      </c>
      <c r="J18" s="13" t="s">
        <v>45</v>
      </c>
      <c r="K18" s="13" t="s">
        <v>46</v>
      </c>
      <c r="L18" s="13" t="s">
        <v>169</v>
      </c>
      <c r="M18" s="13">
        <v>4</v>
      </c>
      <c r="N18" s="32">
        <v>0.113</v>
      </c>
      <c r="O18" s="33">
        <v>0.80600000000000005</v>
      </c>
      <c r="P18" s="33">
        <v>0.77300000000000002</v>
      </c>
      <c r="Q18" s="28" t="s">
        <v>236</v>
      </c>
      <c r="R18" s="13"/>
      <c r="S18" s="13"/>
      <c r="T18" s="13"/>
      <c r="U18" s="35">
        <v>0.01</v>
      </c>
      <c r="V18" s="33">
        <v>2.7E-2</v>
      </c>
      <c r="W18" s="28" t="s">
        <v>530</v>
      </c>
      <c r="X18" s="13"/>
      <c r="Y18" s="13"/>
      <c r="Z18" s="13"/>
      <c r="AA18" s="33">
        <v>8.2000000000000003E-2</v>
      </c>
      <c r="AB18" s="35">
        <v>0.13</v>
      </c>
      <c r="AC18" s="28" t="s">
        <v>530</v>
      </c>
      <c r="AD18" s="13"/>
      <c r="AE18" s="13"/>
      <c r="AF18" s="13"/>
      <c r="AG18" s="33">
        <v>6.4000000000000001E-2</v>
      </c>
      <c r="AH18" s="33">
        <v>6.9000000000000006E-2</v>
      </c>
      <c r="AI18" s="28" t="s">
        <v>236</v>
      </c>
      <c r="AJ18" s="13"/>
      <c r="AK18" s="13"/>
      <c r="AL18" s="13"/>
      <c r="AM18" s="33">
        <v>3.7999999999999999E-2</v>
      </c>
      <c r="AN18" s="33">
        <v>1E-3</v>
      </c>
      <c r="AO18" s="28" t="s">
        <v>236</v>
      </c>
      <c r="AP18" s="13"/>
      <c r="AQ18" s="13"/>
      <c r="AR18" s="13"/>
      <c r="AS18" s="28">
        <v>34.9</v>
      </c>
      <c r="AT18" s="28">
        <v>31.6</v>
      </c>
      <c r="AU18" s="28" t="s">
        <v>530</v>
      </c>
      <c r="AV18" s="13"/>
      <c r="AW18" s="13"/>
      <c r="AX18" s="13"/>
      <c r="AY18" s="33">
        <v>0.94699999999999995</v>
      </c>
      <c r="AZ18" s="33">
        <v>0.89700000000000002</v>
      </c>
      <c r="BA18" s="28" t="s">
        <v>530</v>
      </c>
      <c r="BB18" s="13"/>
      <c r="BC18" s="13"/>
      <c r="BD18" s="13"/>
      <c r="BE18" s="33">
        <v>0.38600000000000001</v>
      </c>
      <c r="BF18" s="33">
        <v>0.377</v>
      </c>
      <c r="BG18" s="28" t="s">
        <v>530</v>
      </c>
      <c r="BH18" s="13"/>
      <c r="BI18" s="13"/>
      <c r="BJ18" s="13"/>
      <c r="BK18" s="33">
        <v>0.06</v>
      </c>
      <c r="BL18" s="33">
        <v>6.4000000000000001E-2</v>
      </c>
      <c r="BM18" s="28" t="s">
        <v>236</v>
      </c>
      <c r="BN18" s="13"/>
      <c r="BO18" s="13"/>
      <c r="BP18" s="13"/>
      <c r="BQ18" s="28">
        <v>28</v>
      </c>
      <c r="BR18" s="28">
        <v>25</v>
      </c>
      <c r="BS18" s="28" t="s">
        <v>530</v>
      </c>
      <c r="BT18" s="13"/>
      <c r="BU18" s="13"/>
      <c r="BV18" s="13"/>
      <c r="BW18" s="28" t="s">
        <v>170</v>
      </c>
      <c r="BX18" s="28" t="s">
        <v>171</v>
      </c>
      <c r="BY18" s="28" t="s">
        <v>530</v>
      </c>
      <c r="BZ18" s="13"/>
      <c r="CA18" s="13"/>
      <c r="CB18" s="13"/>
      <c r="CC18" s="28" t="s">
        <v>172</v>
      </c>
      <c r="CD18" s="28" t="s">
        <v>173</v>
      </c>
      <c r="CE18" s="28" t="s">
        <v>531</v>
      </c>
      <c r="CF18" s="28"/>
      <c r="CG18" s="28"/>
      <c r="CH18" s="8"/>
      <c r="CI18" s="28" t="s">
        <v>532</v>
      </c>
      <c r="CJ18" s="13"/>
      <c r="CK18" s="13"/>
      <c r="CL18" s="13"/>
      <c r="CM18" s="13"/>
      <c r="CN18" s="13"/>
      <c r="CO18" s="13"/>
      <c r="CP18" s="13"/>
    </row>
    <row r="19" spans="1:94" ht="14.25" customHeight="1">
      <c r="A19" s="49">
        <v>46003</v>
      </c>
      <c r="B19" s="30">
        <v>13</v>
      </c>
      <c r="C19" s="50" t="s">
        <v>533</v>
      </c>
      <c r="D19" s="60" t="s">
        <v>88</v>
      </c>
      <c r="E19" s="60" t="s">
        <v>175</v>
      </c>
      <c r="F19" s="112" t="s">
        <v>176</v>
      </c>
      <c r="G19" s="13"/>
      <c r="H19" s="13" t="s">
        <v>177</v>
      </c>
      <c r="I19" s="13" t="s">
        <v>88</v>
      </c>
      <c r="J19" s="13" t="s">
        <v>45</v>
      </c>
      <c r="K19" s="13" t="s">
        <v>178</v>
      </c>
      <c r="L19" s="13" t="s">
        <v>179</v>
      </c>
      <c r="M19" s="13">
        <v>2</v>
      </c>
      <c r="N19" s="32">
        <v>9.1499999999999998E-2</v>
      </c>
      <c r="O19" s="33">
        <v>0.246</v>
      </c>
      <c r="P19" s="33">
        <v>0.51400000000000001</v>
      </c>
      <c r="Q19" s="33">
        <v>0.90100000000000002</v>
      </c>
      <c r="R19" s="13"/>
      <c r="S19" s="13"/>
      <c r="T19" s="13"/>
      <c r="U19" s="33">
        <v>0.38900000000000001</v>
      </c>
      <c r="V19" s="33">
        <v>0.10199999999999999</v>
      </c>
      <c r="W19" s="33">
        <v>1E-3</v>
      </c>
      <c r="X19" s="13"/>
      <c r="Y19" s="13"/>
      <c r="Z19" s="13"/>
      <c r="AA19" s="33">
        <v>0.36499999999999999</v>
      </c>
      <c r="AB19" s="33">
        <v>0.376</v>
      </c>
      <c r="AC19" s="33">
        <v>9.8000000000000004E-2</v>
      </c>
      <c r="AD19" s="13"/>
      <c r="AE19" s="13"/>
      <c r="AF19" s="13"/>
      <c r="AG19" s="35">
        <v>0</v>
      </c>
      <c r="AH19" s="35">
        <v>0</v>
      </c>
      <c r="AI19" s="35">
        <v>0</v>
      </c>
      <c r="AJ19" s="13"/>
      <c r="AK19" s="13"/>
      <c r="AL19" s="13"/>
      <c r="AM19" s="35">
        <v>0</v>
      </c>
      <c r="AN19" s="33">
        <v>8.0000000000000002E-3</v>
      </c>
      <c r="AO19" s="35">
        <v>0</v>
      </c>
      <c r="AP19" s="13"/>
      <c r="AQ19" s="13"/>
      <c r="AR19" s="13"/>
      <c r="AS19" s="28">
        <v>91.4</v>
      </c>
      <c r="AT19" s="28">
        <v>48.8</v>
      </c>
      <c r="AU19" s="28">
        <v>8</v>
      </c>
      <c r="AV19" s="13"/>
      <c r="AW19" s="13"/>
      <c r="AX19" s="13"/>
      <c r="AY19" s="35">
        <v>0.55000000000000004</v>
      </c>
      <c r="AZ19" s="33">
        <v>0.755</v>
      </c>
      <c r="BA19" s="33">
        <v>0.76600000000000001</v>
      </c>
      <c r="BB19" s="13"/>
      <c r="BC19" s="13"/>
      <c r="BD19" s="13"/>
      <c r="BE19" s="33">
        <v>0.26100000000000001</v>
      </c>
      <c r="BF19" s="35">
        <v>0.28000000000000003</v>
      </c>
      <c r="BG19" s="33">
        <v>0.25800000000000001</v>
      </c>
      <c r="BH19" s="13"/>
      <c r="BI19" s="13"/>
      <c r="BJ19" s="13"/>
      <c r="BK19" s="33">
        <v>8.7999999999999995E-2</v>
      </c>
      <c r="BL19" s="33">
        <v>7.6999999999999999E-2</v>
      </c>
      <c r="BM19" s="33">
        <v>6.5000000000000002E-2</v>
      </c>
      <c r="BN19" s="13"/>
      <c r="BO19" s="13"/>
      <c r="BP19" s="13"/>
      <c r="BQ19" s="28">
        <v>0</v>
      </c>
      <c r="BR19" s="28">
        <v>2</v>
      </c>
      <c r="BS19" s="28">
        <v>0</v>
      </c>
      <c r="BT19" s="13"/>
      <c r="BU19" s="13"/>
      <c r="BV19" s="13"/>
      <c r="BW19" s="28">
        <v>0</v>
      </c>
      <c r="BX19" s="28" t="s">
        <v>180</v>
      </c>
      <c r="BY19" s="28" t="s">
        <v>112</v>
      </c>
      <c r="BZ19" s="13"/>
      <c r="CA19" s="13"/>
      <c r="CB19" s="13"/>
      <c r="CC19" s="28" t="s">
        <v>181</v>
      </c>
      <c r="CD19" s="28" t="s">
        <v>181</v>
      </c>
      <c r="CE19" s="28" t="s">
        <v>181</v>
      </c>
      <c r="CF19" s="28"/>
      <c r="CG19" s="28"/>
      <c r="CH19" s="8"/>
      <c r="CI19" s="28" t="s">
        <v>182</v>
      </c>
      <c r="CJ19" s="13"/>
      <c r="CK19" s="13"/>
      <c r="CL19" s="13"/>
      <c r="CM19" s="13"/>
      <c r="CN19" s="13"/>
      <c r="CO19" s="13"/>
      <c r="CP19" s="13"/>
    </row>
    <row r="20" spans="1:94">
      <c r="A20" s="47">
        <v>46006</v>
      </c>
      <c r="B20" s="30">
        <v>14</v>
      </c>
      <c r="C20" s="31" t="s">
        <v>183</v>
      </c>
      <c r="D20" s="28"/>
      <c r="E20" s="28" t="s">
        <v>184</v>
      </c>
      <c r="F20" s="13"/>
      <c r="G20" s="106" t="s">
        <v>185</v>
      </c>
      <c r="H20" s="28" t="s">
        <v>186</v>
      </c>
      <c r="I20" s="28" t="s">
        <v>72</v>
      </c>
      <c r="J20" s="13" t="s">
        <v>73</v>
      </c>
      <c r="K20" s="28" t="s">
        <v>46</v>
      </c>
      <c r="L20" s="28" t="s">
        <v>187</v>
      </c>
      <c r="M20" s="51">
        <v>45718</v>
      </c>
      <c r="N20" s="33">
        <v>9.4E-2</v>
      </c>
      <c r="O20" s="33">
        <v>0.77300000000000002</v>
      </c>
      <c r="P20" s="33">
        <v>0.88600000000000001</v>
      </c>
      <c r="Q20" s="13"/>
      <c r="R20" s="13"/>
      <c r="S20" s="13"/>
      <c r="T20" s="13"/>
      <c r="U20" s="33">
        <v>4.2000000000000003E-2</v>
      </c>
      <c r="V20" s="28">
        <v>1.6</v>
      </c>
      <c r="W20" s="13"/>
      <c r="X20" s="13"/>
      <c r="Y20" s="13"/>
      <c r="Z20" s="13"/>
      <c r="AA20" s="33">
        <v>0.16400000000000001</v>
      </c>
      <c r="AB20" s="33">
        <v>9.4E-2</v>
      </c>
      <c r="AC20" s="13"/>
      <c r="AD20" s="13"/>
      <c r="AE20" s="13"/>
      <c r="AF20" s="13"/>
      <c r="AG20" s="35">
        <v>0.02</v>
      </c>
      <c r="AH20" s="33">
        <v>4.0000000000000001E-3</v>
      </c>
      <c r="AI20" s="13"/>
      <c r="AJ20" s="13"/>
      <c r="AK20" s="13"/>
      <c r="AL20" s="13"/>
      <c r="AM20" s="33">
        <v>1E-3</v>
      </c>
      <c r="AN20" s="28">
        <v>0</v>
      </c>
      <c r="AO20" s="13"/>
      <c r="AP20" s="13"/>
      <c r="AQ20" s="13"/>
      <c r="AR20" s="13"/>
      <c r="AS20" s="28">
        <v>24.9</v>
      </c>
      <c r="AT20" s="28">
        <v>11</v>
      </c>
      <c r="AU20" s="13"/>
      <c r="AV20" s="13"/>
      <c r="AW20" s="13"/>
      <c r="AX20" s="13"/>
      <c r="AY20" s="33">
        <v>0.96399999999999997</v>
      </c>
      <c r="AZ20" s="33">
        <v>0.98199999999999998</v>
      </c>
      <c r="BA20" s="13"/>
      <c r="BB20" s="13"/>
      <c r="BC20" s="13"/>
      <c r="BD20" s="13"/>
      <c r="BE20" s="33">
        <v>0.33800000000000002</v>
      </c>
      <c r="BF20" s="33">
        <v>0.27600000000000002</v>
      </c>
      <c r="BG20" s="13"/>
      <c r="BH20" s="13"/>
      <c r="BI20" s="13"/>
      <c r="BJ20" s="13"/>
      <c r="BK20" s="33">
        <v>6.8000000000000005E-2</v>
      </c>
      <c r="BL20" s="33">
        <v>6.5000000000000002E-2</v>
      </c>
      <c r="BM20" s="13"/>
      <c r="BN20" s="13"/>
      <c r="BO20" s="13"/>
      <c r="BP20" s="13"/>
      <c r="BQ20" s="28">
        <v>8</v>
      </c>
      <c r="BR20" s="28">
        <v>2</v>
      </c>
      <c r="BS20" s="13"/>
      <c r="BT20" s="13"/>
      <c r="BU20" s="13"/>
      <c r="BV20" s="13"/>
      <c r="BW20" s="28" t="s">
        <v>188</v>
      </c>
      <c r="BX20" s="28" t="s">
        <v>189</v>
      </c>
      <c r="BY20" s="13"/>
      <c r="BZ20" s="13"/>
      <c r="CA20" s="13"/>
      <c r="CB20" s="13"/>
      <c r="CC20" s="28" t="s">
        <v>190</v>
      </c>
      <c r="CD20" s="28" t="s">
        <v>191</v>
      </c>
      <c r="CE20" s="28"/>
      <c r="CF20" s="28"/>
      <c r="CG20" s="28"/>
      <c r="CH20" s="8"/>
      <c r="CI20" s="13"/>
      <c r="CJ20" s="13"/>
      <c r="CK20" s="13"/>
      <c r="CL20" s="13"/>
      <c r="CM20" s="13"/>
      <c r="CN20" s="13"/>
      <c r="CO20" s="13"/>
      <c r="CP20" s="13"/>
    </row>
    <row r="21" spans="1:94">
      <c r="A21" s="52">
        <v>46006</v>
      </c>
      <c r="B21" s="30">
        <v>15</v>
      </c>
      <c r="C21" s="31" t="s">
        <v>192</v>
      </c>
      <c r="D21" s="28"/>
      <c r="E21" s="28" t="s">
        <v>193</v>
      </c>
      <c r="F21" s="106" t="s">
        <v>194</v>
      </c>
      <c r="G21" s="13"/>
      <c r="H21" s="28" t="s">
        <v>195</v>
      </c>
      <c r="I21" s="28" t="s">
        <v>196</v>
      </c>
      <c r="J21" s="13" t="s">
        <v>45</v>
      </c>
      <c r="K21" s="28" t="s">
        <v>46</v>
      </c>
      <c r="L21" s="28" t="s">
        <v>197</v>
      </c>
      <c r="M21" s="28">
        <v>2</v>
      </c>
      <c r="N21" s="33">
        <v>8.6999999999999994E-2</v>
      </c>
      <c r="O21" s="33">
        <v>0.70599999999999996</v>
      </c>
      <c r="P21" s="35">
        <v>0.68</v>
      </c>
      <c r="Q21" s="13"/>
      <c r="R21" s="13"/>
      <c r="S21" s="13"/>
      <c r="T21" s="13"/>
      <c r="U21" s="33">
        <v>8.3000000000000004E-2</v>
      </c>
      <c r="V21" s="33">
        <v>8.1000000000000003E-2</v>
      </c>
      <c r="W21" s="13"/>
      <c r="X21" s="13"/>
      <c r="Y21" s="13"/>
      <c r="Z21" s="13"/>
      <c r="AA21" s="33">
        <v>0.152</v>
      </c>
      <c r="AB21" s="33">
        <v>0.20599999999999999</v>
      </c>
      <c r="AC21" s="13"/>
      <c r="AD21" s="13"/>
      <c r="AE21" s="13"/>
      <c r="AF21" s="13"/>
      <c r="AG21" s="33">
        <v>5.8999999999999997E-2</v>
      </c>
      <c r="AH21" s="33">
        <v>3.1E-2</v>
      </c>
      <c r="AI21" s="13"/>
      <c r="AJ21" s="13"/>
      <c r="AK21" s="13"/>
      <c r="AL21" s="13"/>
      <c r="AM21" s="35">
        <v>0</v>
      </c>
      <c r="AN21" s="28">
        <v>0.2</v>
      </c>
      <c r="AO21" s="13"/>
      <c r="AP21" s="13"/>
      <c r="AQ21" s="13"/>
      <c r="AR21" s="13"/>
      <c r="AS21" s="28">
        <v>39.6</v>
      </c>
      <c r="AT21" s="28">
        <v>37.5</v>
      </c>
      <c r="AU21" s="13"/>
      <c r="AV21" s="13"/>
      <c r="AW21" s="13"/>
      <c r="AX21" s="13"/>
      <c r="AY21" s="33">
        <v>0.753</v>
      </c>
      <c r="AZ21" s="33">
        <v>0.80300000000000005</v>
      </c>
      <c r="BA21" s="13"/>
      <c r="BB21" s="13"/>
      <c r="BC21" s="13"/>
      <c r="BD21" s="13"/>
      <c r="BE21" s="33">
        <v>0.441</v>
      </c>
      <c r="BF21" s="33">
        <v>0.376</v>
      </c>
      <c r="BG21" s="13"/>
      <c r="BH21" s="13"/>
      <c r="BI21" s="13"/>
      <c r="BJ21" s="13"/>
      <c r="BK21" s="33">
        <v>6.8000000000000005E-2</v>
      </c>
      <c r="BL21" s="33">
        <v>7.0999999999999994E-2</v>
      </c>
      <c r="BM21" s="13"/>
      <c r="BN21" s="13"/>
      <c r="BO21" s="13"/>
      <c r="BP21" s="13"/>
      <c r="BQ21" s="28">
        <v>24</v>
      </c>
      <c r="BR21" s="28">
        <v>16</v>
      </c>
      <c r="BS21" s="13"/>
      <c r="BT21" s="13"/>
      <c r="BU21" s="13"/>
      <c r="BV21" s="13"/>
      <c r="BW21" s="28" t="s">
        <v>188</v>
      </c>
      <c r="BX21" s="28" t="s">
        <v>48</v>
      </c>
      <c r="BY21" s="13"/>
      <c r="BZ21" s="13"/>
      <c r="CA21" s="13"/>
      <c r="CB21" s="13"/>
      <c r="CC21" s="28" t="s">
        <v>198</v>
      </c>
      <c r="CD21" s="28" t="s">
        <v>199</v>
      </c>
      <c r="CE21" s="28"/>
      <c r="CF21" s="28"/>
      <c r="CG21" s="28"/>
      <c r="CH21" s="8"/>
      <c r="CI21" s="28" t="s">
        <v>200</v>
      </c>
      <c r="CJ21" s="13"/>
      <c r="CK21" s="13"/>
      <c r="CL21" s="13"/>
      <c r="CM21" s="13"/>
      <c r="CN21" s="13"/>
      <c r="CO21" s="13"/>
      <c r="CP21" s="13"/>
    </row>
    <row r="22" spans="1:94">
      <c r="A22" s="47">
        <v>46006</v>
      </c>
      <c r="B22" s="30">
        <v>16</v>
      </c>
      <c r="C22" s="31" t="s">
        <v>201</v>
      </c>
      <c r="D22" s="24"/>
      <c r="E22" s="24" t="s">
        <v>202</v>
      </c>
      <c r="F22" s="107" t="s">
        <v>203</v>
      </c>
      <c r="G22" s="8"/>
      <c r="H22" s="24" t="s">
        <v>204</v>
      </c>
      <c r="I22" s="24" t="s">
        <v>205</v>
      </c>
      <c r="J22" s="24" t="s">
        <v>45</v>
      </c>
      <c r="K22" s="24" t="s">
        <v>46</v>
      </c>
      <c r="L22" s="24" t="s">
        <v>206</v>
      </c>
      <c r="M22" s="24">
        <v>5</v>
      </c>
      <c r="N22" s="36">
        <v>0.107</v>
      </c>
      <c r="O22" s="33">
        <v>0.75700000000000001</v>
      </c>
      <c r="P22" s="33">
        <v>0.67100000000000004</v>
      </c>
      <c r="Q22" s="13"/>
      <c r="R22" s="13"/>
      <c r="S22" s="13"/>
      <c r="T22" s="13"/>
      <c r="U22" s="33">
        <v>2.5999999999999999E-2</v>
      </c>
      <c r="V22" s="33">
        <v>5.5E-2</v>
      </c>
      <c r="W22" s="13"/>
      <c r="X22" s="13"/>
      <c r="Y22" s="13"/>
      <c r="Z22" s="13"/>
      <c r="AA22" s="33">
        <v>0.14899999999999999</v>
      </c>
      <c r="AB22" s="33">
        <v>0.20899999999999999</v>
      </c>
      <c r="AC22" s="13"/>
      <c r="AD22" s="13"/>
      <c r="AE22" s="13"/>
      <c r="AF22" s="13"/>
      <c r="AG22" s="33">
        <v>6.3E-2</v>
      </c>
      <c r="AH22" s="33">
        <v>5.3999999999999999E-2</v>
      </c>
      <c r="AI22" s="13"/>
      <c r="AJ22" s="13"/>
      <c r="AK22" s="13"/>
      <c r="AL22" s="13"/>
      <c r="AM22" s="33">
        <v>5.0000000000000001E-3</v>
      </c>
      <c r="AN22" s="33">
        <v>1.0999999999999999E-2</v>
      </c>
      <c r="AO22" s="13"/>
      <c r="AP22" s="13"/>
      <c r="AQ22" s="13"/>
      <c r="AR22" s="13"/>
      <c r="AS22" s="28">
        <v>32.700000000000003</v>
      </c>
      <c r="AT22" s="28">
        <v>41.8</v>
      </c>
      <c r="AU22" s="13"/>
      <c r="AV22" s="13"/>
      <c r="AW22" s="13"/>
      <c r="AX22" s="13"/>
      <c r="AY22" s="33">
        <v>0.72599999999999998</v>
      </c>
      <c r="AZ22" s="33">
        <v>0.88400000000000001</v>
      </c>
      <c r="BA22" s="13"/>
      <c r="BB22" s="13"/>
      <c r="BC22" s="13"/>
      <c r="BD22" s="13"/>
      <c r="BE22" s="33">
        <v>0.38900000000000001</v>
      </c>
      <c r="BF22" s="35">
        <v>0.4</v>
      </c>
      <c r="BG22" s="13"/>
      <c r="BH22" s="13"/>
      <c r="BI22" s="13"/>
      <c r="BJ22" s="13"/>
      <c r="BK22" s="33">
        <v>6.4000000000000001E-2</v>
      </c>
      <c r="BL22" s="33">
        <v>6.8000000000000005E-2</v>
      </c>
      <c r="BM22" s="13"/>
      <c r="BN22" s="13"/>
      <c r="BO22" s="13"/>
      <c r="BP22" s="13"/>
      <c r="BQ22" s="28">
        <v>37</v>
      </c>
      <c r="BR22" s="28">
        <v>25</v>
      </c>
      <c r="BS22" s="13"/>
      <c r="BT22" s="13"/>
      <c r="BU22" s="13"/>
      <c r="BV22" s="13"/>
      <c r="BW22" s="28" t="s">
        <v>207</v>
      </c>
      <c r="BX22" s="28" t="s">
        <v>208</v>
      </c>
      <c r="BY22" s="13"/>
      <c r="BZ22" s="13"/>
      <c r="CA22" s="13"/>
      <c r="CB22" s="13"/>
      <c r="CC22" s="28" t="s">
        <v>209</v>
      </c>
      <c r="CD22" s="28" t="s">
        <v>210</v>
      </c>
      <c r="CE22" s="28"/>
      <c r="CF22" s="28"/>
      <c r="CG22" s="28"/>
      <c r="CH22" s="8"/>
      <c r="CI22" s="13"/>
      <c r="CJ22" s="13"/>
      <c r="CK22" s="13"/>
      <c r="CL22" s="13"/>
      <c r="CM22" s="13"/>
      <c r="CN22" s="13"/>
      <c r="CO22" s="13"/>
      <c r="CP22" s="13"/>
    </row>
    <row r="23" spans="1:94" ht="15.75" customHeight="1">
      <c r="A23" s="47">
        <v>46008</v>
      </c>
      <c r="B23" s="30">
        <v>17</v>
      </c>
      <c r="C23" s="41" t="s">
        <v>231</v>
      </c>
      <c r="D23" s="24"/>
      <c r="E23" s="24" t="s">
        <v>232</v>
      </c>
      <c r="F23" s="8"/>
      <c r="G23" s="110" t="s">
        <v>233</v>
      </c>
      <c r="H23" s="24" t="s">
        <v>234</v>
      </c>
      <c r="I23" s="24" t="s">
        <v>58</v>
      </c>
      <c r="J23" s="24" t="s">
        <v>225</v>
      </c>
      <c r="K23" s="24" t="s">
        <v>46</v>
      </c>
      <c r="L23" s="24" t="s">
        <v>235</v>
      </c>
      <c r="M23" s="24">
        <v>3</v>
      </c>
      <c r="N23" s="36">
        <v>0.13100000000000001</v>
      </c>
      <c r="O23" s="36">
        <v>0.67200000000000004</v>
      </c>
      <c r="P23" s="36">
        <v>0.71599999999999997</v>
      </c>
      <c r="Q23" s="8"/>
      <c r="R23" s="8"/>
      <c r="S23" s="8"/>
      <c r="T23" s="8"/>
      <c r="U23" s="36">
        <v>5.3999999999999999E-2</v>
      </c>
      <c r="V23" s="36">
        <v>3.5000000000000003E-2</v>
      </c>
      <c r="W23" s="8"/>
      <c r="X23" s="8"/>
      <c r="Y23" s="8"/>
      <c r="Z23" s="8"/>
      <c r="AA23" s="36">
        <v>0.26100000000000001</v>
      </c>
      <c r="AB23" s="36">
        <v>0.19700000000000001</v>
      </c>
      <c r="AC23" s="8"/>
      <c r="AD23" s="8"/>
      <c r="AE23" s="8"/>
      <c r="AF23" s="8"/>
      <c r="AG23" s="36">
        <v>1.2999999999999999E-2</v>
      </c>
      <c r="AH23" s="36">
        <v>2.9000000000000001E-2</v>
      </c>
      <c r="AI23" s="8"/>
      <c r="AJ23" s="8"/>
      <c r="AK23" s="8"/>
      <c r="AL23" s="8"/>
      <c r="AM23" s="40">
        <v>0</v>
      </c>
      <c r="AN23" s="36">
        <v>2.3E-2</v>
      </c>
      <c r="AO23" s="8"/>
      <c r="AP23" s="8"/>
      <c r="AQ23" s="8"/>
      <c r="AR23" s="8"/>
      <c r="AS23" s="24">
        <v>32.6</v>
      </c>
      <c r="AT23" s="24">
        <v>35.200000000000003</v>
      </c>
      <c r="AU23" s="8"/>
      <c r="AV23" s="8"/>
      <c r="AW23" s="8"/>
      <c r="AX23" s="8"/>
      <c r="AY23" s="40">
        <v>0.94</v>
      </c>
      <c r="AZ23" s="36">
        <v>0.95399999999999996</v>
      </c>
      <c r="BA23" s="8"/>
      <c r="BB23" s="8"/>
      <c r="BC23" s="8"/>
      <c r="BD23" s="8"/>
      <c r="BE23" s="40">
        <v>0.34</v>
      </c>
      <c r="BF23" s="40">
        <v>0.38</v>
      </c>
      <c r="BG23" s="8"/>
      <c r="BH23" s="8"/>
      <c r="BI23" s="8"/>
      <c r="BJ23" s="8"/>
      <c r="BK23" s="40">
        <v>7.0000000000000007E-2</v>
      </c>
      <c r="BL23" s="24" t="s">
        <v>236</v>
      </c>
      <c r="BM23" s="8"/>
      <c r="BN23" s="8"/>
      <c r="BO23" s="8"/>
      <c r="BP23" s="8"/>
      <c r="BQ23" s="24">
        <v>4</v>
      </c>
      <c r="BR23" s="24">
        <v>7</v>
      </c>
      <c r="BS23" s="8"/>
      <c r="BT23" s="8"/>
      <c r="BU23" s="8"/>
      <c r="BV23" s="8"/>
      <c r="BW23" s="24" t="s">
        <v>237</v>
      </c>
      <c r="BX23" s="24" t="s">
        <v>238</v>
      </c>
      <c r="BY23" s="8"/>
      <c r="BZ23" s="8"/>
      <c r="CA23" s="8"/>
      <c r="CB23" s="8"/>
      <c r="CC23" s="24" t="s">
        <v>239</v>
      </c>
      <c r="CD23" s="24" t="s">
        <v>239</v>
      </c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</row>
    <row r="24" spans="1:94" ht="15.75" customHeight="1">
      <c r="A24" s="47">
        <v>46008</v>
      </c>
      <c r="B24" s="30">
        <v>18</v>
      </c>
      <c r="C24" s="42" t="s">
        <v>240</v>
      </c>
      <c r="D24" s="24"/>
      <c r="E24" s="24" t="s">
        <v>241</v>
      </c>
      <c r="F24" s="8"/>
      <c r="G24" s="107" t="s">
        <v>242</v>
      </c>
      <c r="H24" s="24" t="s">
        <v>243</v>
      </c>
      <c r="I24" s="24" t="s">
        <v>58</v>
      </c>
      <c r="J24" s="24" t="s">
        <v>45</v>
      </c>
      <c r="K24" s="24" t="s">
        <v>46</v>
      </c>
      <c r="L24" s="24" t="s">
        <v>244</v>
      </c>
      <c r="M24" s="24">
        <v>3</v>
      </c>
      <c r="N24" s="36">
        <v>9.7000000000000003E-2</v>
      </c>
      <c r="O24" s="36">
        <v>0.78300000000000003</v>
      </c>
      <c r="P24" s="36">
        <v>0.77600000000000002</v>
      </c>
      <c r="Q24" s="8"/>
      <c r="R24" s="8"/>
      <c r="S24" s="8"/>
      <c r="T24" s="8"/>
      <c r="U24" s="36">
        <v>4.5999999999999999E-2</v>
      </c>
      <c r="V24" s="36">
        <v>5.0999999999999997E-2</v>
      </c>
      <c r="W24" s="8"/>
      <c r="X24" s="8"/>
      <c r="Y24" s="8"/>
      <c r="Z24" s="8"/>
      <c r="AA24" s="36">
        <v>0.14699999999999999</v>
      </c>
      <c r="AB24" s="36">
        <v>9.9000000000000005E-2</v>
      </c>
      <c r="AC24" s="8"/>
      <c r="AD24" s="8"/>
      <c r="AE24" s="8"/>
      <c r="AF24" s="8"/>
      <c r="AG24" s="36">
        <v>2.3E-2</v>
      </c>
      <c r="AH24" s="36">
        <v>4.2000000000000003E-2</v>
      </c>
      <c r="AI24" s="8"/>
      <c r="AJ24" s="8"/>
      <c r="AK24" s="8"/>
      <c r="AL24" s="8"/>
      <c r="AM24" s="36">
        <v>1E-3</v>
      </c>
      <c r="AN24" s="36">
        <v>3.2000000000000001E-2</v>
      </c>
      <c r="AO24" s="8"/>
      <c r="AP24" s="8"/>
      <c r="AQ24" s="8"/>
      <c r="AR24" s="8"/>
      <c r="AS24" s="24">
        <v>24.9</v>
      </c>
      <c r="AT24" s="24">
        <v>35.799999999999997</v>
      </c>
      <c r="AU24" s="8"/>
      <c r="AV24" s="8"/>
      <c r="AW24" s="8"/>
      <c r="AX24" s="8"/>
      <c r="AY24" s="40">
        <v>0.98</v>
      </c>
      <c r="AZ24" s="36">
        <v>0.98799999999999999</v>
      </c>
      <c r="BA24" s="8"/>
      <c r="BB24" s="8"/>
      <c r="BC24" s="8"/>
      <c r="BD24" s="8"/>
      <c r="BE24" s="36">
        <v>0.377</v>
      </c>
      <c r="BF24" s="36">
        <v>0.433</v>
      </c>
      <c r="BG24" s="8"/>
      <c r="BH24" s="8"/>
      <c r="BI24" s="8"/>
      <c r="BJ24" s="8"/>
      <c r="BK24" s="36">
        <v>6.6000000000000003E-2</v>
      </c>
      <c r="BL24" s="24" t="s">
        <v>236</v>
      </c>
      <c r="BM24" s="8"/>
      <c r="BN24" s="8"/>
      <c r="BO24" s="8"/>
      <c r="BP24" s="8"/>
      <c r="BQ24" s="24">
        <v>9</v>
      </c>
      <c r="BR24" s="24">
        <v>11</v>
      </c>
      <c r="BS24" s="8"/>
      <c r="BT24" s="8"/>
      <c r="BU24" s="8"/>
      <c r="BV24" s="8"/>
      <c r="BW24" s="24" t="s">
        <v>142</v>
      </c>
      <c r="BX24" s="24" t="s">
        <v>245</v>
      </c>
      <c r="BY24" s="8"/>
      <c r="BZ24" s="8"/>
      <c r="CA24" s="8"/>
      <c r="CB24" s="8"/>
      <c r="CC24" s="24" t="s">
        <v>246</v>
      </c>
      <c r="CD24" s="24" t="s">
        <v>247</v>
      </c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</row>
    <row r="25" spans="1:94" ht="18" customHeight="1">
      <c r="A25" s="47">
        <v>6693422</v>
      </c>
      <c r="B25" s="30">
        <v>19</v>
      </c>
      <c r="C25" s="42" t="s">
        <v>248</v>
      </c>
      <c r="D25" s="60"/>
      <c r="E25" s="60" t="s">
        <v>249</v>
      </c>
      <c r="F25" s="8"/>
      <c r="G25" s="113" t="s">
        <v>250</v>
      </c>
      <c r="H25" s="24" t="s">
        <v>251</v>
      </c>
      <c r="I25" s="24" t="s">
        <v>205</v>
      </c>
      <c r="J25" s="24" t="s">
        <v>225</v>
      </c>
      <c r="K25" s="24" t="s">
        <v>46</v>
      </c>
      <c r="L25" s="24" t="s">
        <v>252</v>
      </c>
      <c r="M25" s="24">
        <v>3</v>
      </c>
      <c r="N25" s="36">
        <v>0.114</v>
      </c>
      <c r="O25" s="40">
        <v>0.45</v>
      </c>
      <c r="P25" s="8"/>
      <c r="Q25" s="8"/>
      <c r="R25" s="8"/>
      <c r="S25" s="8"/>
      <c r="T25" s="8"/>
      <c r="U25" s="36">
        <v>0.223</v>
      </c>
      <c r="V25" s="8"/>
      <c r="W25" s="8"/>
      <c r="X25" s="8"/>
      <c r="Y25" s="8"/>
      <c r="Z25" s="8"/>
      <c r="AA25" s="36">
        <v>0.251</v>
      </c>
      <c r="AB25" s="8"/>
      <c r="AC25" s="8"/>
      <c r="AD25" s="8"/>
      <c r="AE25" s="8"/>
      <c r="AF25" s="8"/>
      <c r="AG25" s="36">
        <v>6.0999999999999999E-2</v>
      </c>
      <c r="AH25" s="8"/>
      <c r="AI25" s="8"/>
      <c r="AJ25" s="8"/>
      <c r="AK25" s="8"/>
      <c r="AL25" s="8"/>
      <c r="AM25" s="24">
        <v>1.5</v>
      </c>
      <c r="AN25" s="8"/>
      <c r="AO25" s="8"/>
      <c r="AP25" s="8"/>
      <c r="AQ25" s="8"/>
      <c r="AR25" s="8"/>
      <c r="AS25" s="24">
        <v>74.900000000000006</v>
      </c>
      <c r="AT25" s="8"/>
      <c r="AU25" s="8"/>
      <c r="AV25" s="8"/>
      <c r="AW25" s="8"/>
      <c r="AX25" s="8"/>
      <c r="AY25" s="36">
        <v>0.61299999999999999</v>
      </c>
      <c r="AZ25" s="8"/>
      <c r="BA25" s="8"/>
      <c r="BB25" s="8"/>
      <c r="BC25" s="8"/>
      <c r="BD25" s="8"/>
      <c r="BE25" s="36">
        <v>0.48599999999999999</v>
      </c>
      <c r="BF25" s="8"/>
      <c r="BG25" s="8"/>
      <c r="BH25" s="8"/>
      <c r="BI25" s="8"/>
      <c r="BJ25" s="8"/>
      <c r="BK25" s="36">
        <v>7.6999999999999999E-2</v>
      </c>
      <c r="BL25" s="8"/>
      <c r="BM25" s="8"/>
      <c r="BN25" s="8"/>
      <c r="BO25" s="8"/>
      <c r="BP25" s="8"/>
      <c r="BQ25" s="24">
        <v>19</v>
      </c>
      <c r="BR25" s="8"/>
      <c r="BS25" s="8"/>
      <c r="BT25" s="8"/>
      <c r="BU25" s="8"/>
      <c r="BV25" s="8"/>
      <c r="BW25" s="24" t="s">
        <v>253</v>
      </c>
      <c r="BX25" s="8"/>
      <c r="BY25" s="8"/>
      <c r="BZ25" s="8"/>
      <c r="CA25" s="8"/>
      <c r="CB25" s="8"/>
      <c r="CC25" s="24" t="s">
        <v>254</v>
      </c>
      <c r="CD25" s="8"/>
      <c r="CE25" s="8"/>
      <c r="CF25" s="8"/>
      <c r="CG25" s="8"/>
      <c r="CH25" s="8"/>
      <c r="CI25" s="24" t="s">
        <v>255</v>
      </c>
      <c r="CJ25" s="8"/>
      <c r="CK25" s="8"/>
      <c r="CL25" s="8"/>
      <c r="CM25" s="8"/>
      <c r="CN25" s="8"/>
      <c r="CO25" s="8"/>
      <c r="CP25" s="8"/>
    </row>
    <row r="26" spans="1:94" ht="15.75" customHeight="1">
      <c r="A26" s="47">
        <v>46009</v>
      </c>
      <c r="B26" s="30">
        <v>20</v>
      </c>
      <c r="C26" s="42" t="s">
        <v>534</v>
      </c>
      <c r="D26" s="24"/>
      <c r="E26" s="24" t="s">
        <v>257</v>
      </c>
      <c r="F26" s="8"/>
      <c r="G26" s="113" t="s">
        <v>258</v>
      </c>
      <c r="H26" s="24" t="s">
        <v>259</v>
      </c>
      <c r="I26" s="24" t="s">
        <v>196</v>
      </c>
      <c r="J26" s="24" t="s">
        <v>225</v>
      </c>
      <c r="K26" s="24" t="s">
        <v>46</v>
      </c>
      <c r="L26" s="24" t="s">
        <v>260</v>
      </c>
      <c r="M26" s="24">
        <v>3</v>
      </c>
      <c r="N26" s="36">
        <v>9.3700000000000006E-2</v>
      </c>
      <c r="O26" s="36">
        <v>0.51100000000000001</v>
      </c>
      <c r="P26" s="36">
        <v>0.50800000000000001</v>
      </c>
      <c r="Q26" s="8"/>
      <c r="R26" s="8"/>
      <c r="S26" s="8"/>
      <c r="T26" s="8"/>
      <c r="U26" s="36">
        <v>7.5999999999999998E-2</v>
      </c>
      <c r="V26" s="40">
        <v>0.22</v>
      </c>
      <c r="W26" s="8"/>
      <c r="X26" s="8"/>
      <c r="Y26" s="8"/>
      <c r="Z26" s="8"/>
      <c r="AA26" s="36">
        <v>0.20499999999999999</v>
      </c>
      <c r="AB26" s="36">
        <v>0.20100000000000001</v>
      </c>
      <c r="AC26" s="8"/>
      <c r="AD26" s="8"/>
      <c r="AE26" s="8"/>
      <c r="AF26" s="8"/>
      <c r="AG26" s="36">
        <v>0.14899999999999999</v>
      </c>
      <c r="AH26" s="36">
        <v>4.4999999999999998E-2</v>
      </c>
      <c r="AI26" s="8"/>
      <c r="AJ26" s="8"/>
      <c r="AK26" s="8"/>
      <c r="AL26" s="8"/>
      <c r="AM26" s="36">
        <v>5.8999999999999997E-2</v>
      </c>
      <c r="AN26" s="36">
        <v>2.5999999999999999E-2</v>
      </c>
      <c r="AO26" s="8"/>
      <c r="AP26" s="8"/>
      <c r="AQ26" s="8"/>
      <c r="AR26" s="8"/>
      <c r="AS26" s="24">
        <v>82</v>
      </c>
      <c r="AT26" s="24">
        <v>69.900000000000006</v>
      </c>
      <c r="AU26" s="8"/>
      <c r="AV26" s="8"/>
      <c r="AW26" s="8"/>
      <c r="AX26" s="8"/>
      <c r="AY26" s="36">
        <v>0.996</v>
      </c>
      <c r="AZ26" s="36">
        <v>0.91700000000000004</v>
      </c>
      <c r="BA26" s="8"/>
      <c r="BB26" s="8"/>
      <c r="BC26" s="8"/>
      <c r="BD26" s="8"/>
      <c r="BE26" s="24" t="s">
        <v>261</v>
      </c>
      <c r="BF26" s="36">
        <v>0.50600000000000001</v>
      </c>
      <c r="BG26" s="8"/>
      <c r="BH26" s="8"/>
      <c r="BI26" s="8"/>
      <c r="BJ26" s="8"/>
      <c r="BK26" s="24" t="s">
        <v>236</v>
      </c>
      <c r="BL26" s="36">
        <v>7.3999999999999996E-2</v>
      </c>
      <c r="BM26" s="8"/>
      <c r="BN26" s="8"/>
      <c r="BO26" s="8"/>
      <c r="BP26" s="8"/>
      <c r="BQ26" s="24">
        <v>6</v>
      </c>
      <c r="BR26" s="24">
        <v>14</v>
      </c>
      <c r="BS26" s="8"/>
      <c r="BT26" s="8"/>
      <c r="BU26" s="8"/>
      <c r="BV26" s="8"/>
      <c r="BW26" s="24" t="s">
        <v>262</v>
      </c>
      <c r="BX26" s="24" t="s">
        <v>535</v>
      </c>
      <c r="BY26" s="8"/>
      <c r="BZ26" s="8"/>
      <c r="CA26" s="8"/>
      <c r="CB26" s="8"/>
      <c r="CC26" s="24" t="s">
        <v>263</v>
      </c>
      <c r="CD26" s="24" t="s">
        <v>536</v>
      </c>
      <c r="CF26" s="8"/>
      <c r="CG26" s="8"/>
      <c r="CH26" s="8"/>
      <c r="CI26" s="24" t="s">
        <v>264</v>
      </c>
      <c r="CJ26" s="8"/>
      <c r="CK26" s="8"/>
      <c r="CL26" s="8"/>
      <c r="CM26" s="8"/>
      <c r="CN26" s="8"/>
      <c r="CO26" s="8"/>
      <c r="CP26" s="8"/>
    </row>
    <row r="27" spans="1:94" ht="15.75" customHeight="1">
      <c r="A27" s="47">
        <v>46009</v>
      </c>
      <c r="B27" s="30">
        <v>21</v>
      </c>
      <c r="C27" s="42" t="s">
        <v>265</v>
      </c>
      <c r="D27" s="24"/>
      <c r="E27" s="24" t="s">
        <v>266</v>
      </c>
      <c r="F27" s="8"/>
      <c r="G27" s="110" t="s">
        <v>267</v>
      </c>
      <c r="H27" s="24" t="s">
        <v>268</v>
      </c>
      <c r="I27" s="24" t="s">
        <v>150</v>
      </c>
      <c r="J27" s="24" t="s">
        <v>225</v>
      </c>
      <c r="K27" s="24" t="s">
        <v>46</v>
      </c>
      <c r="L27" s="24" t="s">
        <v>269</v>
      </c>
      <c r="M27" s="24">
        <v>3</v>
      </c>
      <c r="N27" s="36">
        <v>0.107</v>
      </c>
      <c r="O27" s="36">
        <v>0.63500000000000001</v>
      </c>
      <c r="P27" s="36">
        <v>0.65800000000000003</v>
      </c>
      <c r="Q27" s="8"/>
      <c r="R27" s="8"/>
      <c r="S27" s="8"/>
      <c r="T27" s="8"/>
      <c r="U27" s="40">
        <v>0.11</v>
      </c>
      <c r="V27" s="36">
        <v>3.2000000000000001E-2</v>
      </c>
      <c r="W27" s="8"/>
      <c r="X27" s="8"/>
      <c r="Y27" s="8"/>
      <c r="Z27" s="8"/>
      <c r="AA27" s="36">
        <v>0.16400000000000001</v>
      </c>
      <c r="AB27" s="40">
        <v>0.28999999999999998</v>
      </c>
      <c r="AC27" s="8"/>
      <c r="AD27" s="8"/>
      <c r="AE27" s="8"/>
      <c r="AF27" s="8"/>
      <c r="AG27" s="40">
        <v>0.09</v>
      </c>
      <c r="AH27" s="36">
        <v>1.9E-2</v>
      </c>
      <c r="AI27" s="8"/>
      <c r="AJ27" s="8"/>
      <c r="AK27" s="8"/>
      <c r="AL27" s="8"/>
      <c r="AM27" s="40">
        <v>0.01</v>
      </c>
      <c r="AN27" s="36">
        <v>1E-3</v>
      </c>
      <c r="AO27" s="8"/>
      <c r="AP27" s="8"/>
      <c r="AQ27" s="8"/>
      <c r="AR27" s="8"/>
      <c r="AS27" s="24">
        <v>52.6</v>
      </c>
      <c r="AT27" s="24">
        <v>33.200000000000003</v>
      </c>
      <c r="AU27" s="8"/>
      <c r="AV27" s="8"/>
      <c r="AW27" s="8"/>
      <c r="AX27" s="8"/>
      <c r="AY27" s="36">
        <v>0.79900000000000004</v>
      </c>
      <c r="AZ27" s="36">
        <v>0.871</v>
      </c>
      <c r="BA27" s="8"/>
      <c r="BB27" s="8"/>
      <c r="BC27" s="8"/>
      <c r="BD27" s="8"/>
      <c r="BE27" s="36">
        <v>0.503</v>
      </c>
      <c r="BF27" s="36">
        <v>0.32700000000000001</v>
      </c>
      <c r="BG27" s="8"/>
      <c r="BH27" s="8"/>
      <c r="BI27" s="8"/>
      <c r="BJ27" s="8"/>
      <c r="BK27" s="36">
        <v>6.9000000000000006E-2</v>
      </c>
      <c r="BL27" s="36">
        <v>7.0000000000000007E-2</v>
      </c>
      <c r="BM27" s="8"/>
      <c r="BN27" s="8"/>
      <c r="BO27" s="8"/>
      <c r="BP27" s="8"/>
      <c r="BQ27" s="24">
        <v>28</v>
      </c>
      <c r="BR27" s="24">
        <v>9</v>
      </c>
      <c r="BS27" s="8"/>
      <c r="BT27" s="8"/>
      <c r="BU27" s="8"/>
      <c r="BV27" s="8"/>
      <c r="BW27" s="24" t="s">
        <v>270</v>
      </c>
      <c r="BX27" s="24" t="s">
        <v>271</v>
      </c>
      <c r="BY27" s="8"/>
      <c r="BZ27" s="8"/>
      <c r="CA27" s="8"/>
      <c r="CB27" s="8"/>
      <c r="CC27" s="24" t="s">
        <v>272</v>
      </c>
      <c r="CD27" s="24" t="s">
        <v>272</v>
      </c>
      <c r="CE27" s="24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</row>
    <row r="28" spans="1:94" ht="16.5" customHeight="1">
      <c r="A28" s="47">
        <v>46009</v>
      </c>
      <c r="B28" s="30">
        <v>22</v>
      </c>
      <c r="C28" s="42" t="s">
        <v>273</v>
      </c>
      <c r="D28" s="24"/>
      <c r="E28" s="24" t="s">
        <v>274</v>
      </c>
      <c r="F28" s="8"/>
      <c r="G28" s="116" t="s">
        <v>275</v>
      </c>
      <c r="H28" s="24" t="s">
        <v>276</v>
      </c>
      <c r="I28" s="24" t="s">
        <v>150</v>
      </c>
      <c r="J28" s="24" t="s">
        <v>45</v>
      </c>
      <c r="K28" s="24" t="s">
        <v>46</v>
      </c>
      <c r="L28" s="24" t="s">
        <v>277</v>
      </c>
      <c r="M28" s="61">
        <v>45718</v>
      </c>
      <c r="N28" s="36">
        <v>8.8999999999999996E-2</v>
      </c>
      <c r="O28" s="40">
        <v>0.64</v>
      </c>
      <c r="P28" s="36">
        <v>0.78700000000000003</v>
      </c>
      <c r="Q28" s="8"/>
      <c r="R28" s="8"/>
      <c r="S28" s="8"/>
      <c r="T28" s="8"/>
      <c r="U28" s="40">
        <v>0.1</v>
      </c>
      <c r="V28" s="40">
        <v>0.03</v>
      </c>
      <c r="W28" s="8"/>
      <c r="X28" s="8"/>
      <c r="Y28" s="8"/>
      <c r="Z28" s="8"/>
      <c r="AA28" s="40">
        <v>0.26</v>
      </c>
      <c r="AB28" s="36">
        <v>0.17599999999999999</v>
      </c>
      <c r="AC28" s="8"/>
      <c r="AD28" s="8"/>
      <c r="AE28" s="8"/>
      <c r="AF28" s="8"/>
      <c r="AG28" s="40">
        <v>0</v>
      </c>
      <c r="AH28" s="36">
        <v>7.0000000000000001E-3</v>
      </c>
      <c r="AI28" s="8"/>
      <c r="AJ28" s="8"/>
      <c r="AK28" s="8"/>
      <c r="AL28" s="8"/>
      <c r="AM28" s="40">
        <v>0</v>
      </c>
      <c r="AN28" s="40">
        <v>0</v>
      </c>
      <c r="AO28" s="8"/>
      <c r="AP28" s="8"/>
      <c r="AQ28" s="8"/>
      <c r="AR28" s="8"/>
      <c r="AS28" s="24">
        <v>36.799999999999997</v>
      </c>
      <c r="AT28" s="24">
        <v>20.6</v>
      </c>
      <c r="AU28" s="8"/>
      <c r="AV28" s="8"/>
      <c r="AW28" s="8"/>
      <c r="AX28" s="8"/>
      <c r="AY28" s="36">
        <v>0.75900000000000001</v>
      </c>
      <c r="AZ28" s="36">
        <v>0.875</v>
      </c>
      <c r="BA28" s="8"/>
      <c r="BB28" s="8"/>
      <c r="BC28" s="8"/>
      <c r="BD28" s="8"/>
      <c r="BE28" s="36">
        <v>0.38400000000000001</v>
      </c>
      <c r="BF28" s="36">
        <v>0.35699999999999998</v>
      </c>
      <c r="BG28" s="8"/>
      <c r="BH28" s="8"/>
      <c r="BI28" s="8"/>
      <c r="BJ28" s="8"/>
      <c r="BK28" s="36">
        <v>7.1999999999999995E-2</v>
      </c>
      <c r="BL28" s="36">
        <v>6.7000000000000004E-2</v>
      </c>
      <c r="BM28" s="8"/>
      <c r="BN28" s="8"/>
      <c r="BO28" s="8"/>
      <c r="BP28" s="8"/>
      <c r="BQ28" s="24">
        <v>0</v>
      </c>
      <c r="BR28" s="24">
        <v>2</v>
      </c>
      <c r="BS28" s="8"/>
      <c r="BT28" s="8"/>
      <c r="BU28" s="8"/>
      <c r="BV28" s="8"/>
      <c r="BW28" s="24" t="s">
        <v>112</v>
      </c>
      <c r="BX28" s="24" t="s">
        <v>161</v>
      </c>
      <c r="BY28" s="8"/>
      <c r="BZ28" s="8"/>
      <c r="CA28" s="8"/>
      <c r="CB28" s="8"/>
      <c r="CC28" s="24" t="s">
        <v>278</v>
      </c>
      <c r="CD28" s="24" t="s">
        <v>278</v>
      </c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</row>
    <row r="29" spans="1:94" ht="15.75" customHeight="1">
      <c r="A29" s="47">
        <v>46015</v>
      </c>
      <c r="B29" s="30">
        <v>23</v>
      </c>
      <c r="C29" s="42" t="s">
        <v>537</v>
      </c>
      <c r="D29" s="24" t="s">
        <v>72</v>
      </c>
      <c r="E29" s="24" t="s">
        <v>280</v>
      </c>
      <c r="F29" s="107" t="s">
        <v>281</v>
      </c>
      <c r="G29" s="8"/>
      <c r="H29" s="24" t="s">
        <v>282</v>
      </c>
      <c r="I29" s="24" t="s">
        <v>72</v>
      </c>
      <c r="J29" s="24" t="s">
        <v>45</v>
      </c>
      <c r="K29" s="24" t="s">
        <v>46</v>
      </c>
      <c r="L29" s="24" t="s">
        <v>283</v>
      </c>
      <c r="M29" s="24">
        <v>6</v>
      </c>
      <c r="N29" s="36">
        <v>6.8400000000000002E-2</v>
      </c>
      <c r="O29" s="36">
        <v>0.85799999999999998</v>
      </c>
      <c r="P29" s="36">
        <v>0.745</v>
      </c>
      <c r="Q29" s="8"/>
      <c r="R29" s="8"/>
      <c r="S29" s="8"/>
      <c r="T29" s="8"/>
      <c r="U29" s="36">
        <v>1.7000000000000001E-2</v>
      </c>
      <c r="V29" s="36">
        <v>3.5999999999999997E-2</v>
      </c>
      <c r="W29" s="8"/>
      <c r="X29" s="8"/>
      <c r="Y29" s="8"/>
      <c r="Z29" s="8"/>
      <c r="AA29" s="36">
        <v>9.7000000000000003E-2</v>
      </c>
      <c r="AB29" s="36">
        <v>0.20899999999999999</v>
      </c>
      <c r="AC29" s="8"/>
      <c r="AD29" s="8"/>
      <c r="AE29" s="8"/>
      <c r="AF29" s="8"/>
      <c r="AG29" s="36">
        <v>2.8000000000000001E-2</v>
      </c>
      <c r="AH29" s="40">
        <v>0.01</v>
      </c>
      <c r="AI29" s="8"/>
      <c r="AJ29" s="8"/>
      <c r="AK29" s="8"/>
      <c r="AL29" s="8"/>
      <c r="AM29" s="40">
        <v>0</v>
      </c>
      <c r="AN29" s="40">
        <v>0</v>
      </c>
      <c r="AO29" s="8"/>
      <c r="AP29" s="8"/>
      <c r="AQ29" s="8"/>
      <c r="AR29" s="8"/>
      <c r="AS29" s="24">
        <v>17.2</v>
      </c>
      <c r="AT29" s="24">
        <v>24.9</v>
      </c>
      <c r="AU29" s="8"/>
      <c r="AV29" s="8"/>
      <c r="AW29" s="8"/>
      <c r="AX29" s="8"/>
      <c r="AY29" s="36">
        <v>0.69499999999999995</v>
      </c>
      <c r="AZ29" s="40">
        <v>0.91</v>
      </c>
      <c r="BA29" s="8"/>
      <c r="BB29" s="8"/>
      <c r="BC29" s="8"/>
      <c r="BD29" s="8"/>
      <c r="BE29" s="36">
        <v>0.34100000000000003</v>
      </c>
      <c r="BF29" s="36">
        <v>0.32500000000000001</v>
      </c>
      <c r="BG29" s="8"/>
      <c r="BH29" s="8"/>
      <c r="BI29" s="8"/>
      <c r="BJ29" s="8"/>
      <c r="BK29" s="36">
        <v>6.3E-2</v>
      </c>
      <c r="BL29" s="36">
        <v>6.9000000000000006E-2</v>
      </c>
      <c r="BM29" s="8"/>
      <c r="BN29" s="8"/>
      <c r="BO29" s="8"/>
      <c r="BP29" s="8"/>
      <c r="BQ29" s="24">
        <v>18</v>
      </c>
      <c r="BR29" s="24">
        <v>6</v>
      </c>
      <c r="BS29" s="8"/>
      <c r="BT29" s="8"/>
      <c r="BU29" s="8"/>
      <c r="BV29" s="8"/>
      <c r="BW29" s="24" t="s">
        <v>284</v>
      </c>
      <c r="BX29" s="24" t="s">
        <v>538</v>
      </c>
      <c r="BY29" s="8"/>
      <c r="BZ29" s="8"/>
      <c r="CA29" s="8"/>
      <c r="CB29" s="8"/>
      <c r="CC29" s="24" t="s">
        <v>285</v>
      </c>
      <c r="CD29" s="24" t="s">
        <v>539</v>
      </c>
      <c r="CE29" s="8"/>
      <c r="CF29" s="8"/>
      <c r="CG29" s="8"/>
      <c r="CH29" s="8"/>
      <c r="CI29" s="24" t="s">
        <v>286</v>
      </c>
      <c r="CJ29" s="8"/>
      <c r="CK29" s="8"/>
      <c r="CL29" s="8"/>
      <c r="CM29" s="8"/>
      <c r="CN29" s="8"/>
      <c r="CO29" s="8"/>
      <c r="CP29" s="8"/>
    </row>
    <row r="30" spans="1:94" ht="15.75" customHeight="1">
      <c r="A30" s="52">
        <v>46013</v>
      </c>
      <c r="B30" s="30">
        <v>24</v>
      </c>
      <c r="C30" s="42" t="s">
        <v>540</v>
      </c>
      <c r="D30" s="24" t="s">
        <v>72</v>
      </c>
      <c r="E30" s="24" t="s">
        <v>288</v>
      </c>
      <c r="F30" s="107" t="s">
        <v>289</v>
      </c>
      <c r="G30" s="8"/>
      <c r="H30" s="24" t="s">
        <v>290</v>
      </c>
      <c r="I30" s="24" t="s">
        <v>128</v>
      </c>
      <c r="J30" s="24" t="s">
        <v>45</v>
      </c>
      <c r="K30" s="24" t="s">
        <v>46</v>
      </c>
      <c r="L30" s="24" t="s">
        <v>291</v>
      </c>
      <c r="M30" s="61">
        <v>45718</v>
      </c>
      <c r="N30" s="36">
        <v>9.6699999999999994E-2</v>
      </c>
      <c r="O30" s="40">
        <v>0.56999999999999995</v>
      </c>
      <c r="P30" s="36">
        <v>0.76700000000000002</v>
      </c>
      <c r="Q30" s="8"/>
      <c r="R30" s="8"/>
      <c r="S30" s="8"/>
      <c r="T30" s="8"/>
      <c r="U30" s="36">
        <v>8.5999999999999993E-2</v>
      </c>
      <c r="V30" s="36">
        <v>6.0000000000000001E-3</v>
      </c>
      <c r="W30" s="8"/>
      <c r="X30" s="8"/>
      <c r="Y30" s="8"/>
      <c r="Z30" s="8"/>
      <c r="AA30" s="36">
        <v>0.14899999999999999</v>
      </c>
      <c r="AB30" s="36">
        <v>0.187</v>
      </c>
      <c r="AC30" s="8"/>
      <c r="AD30" s="8"/>
      <c r="AE30" s="8"/>
      <c r="AF30" s="8"/>
      <c r="AG30" s="36">
        <v>4.0000000000000001E-3</v>
      </c>
      <c r="AH30" s="40">
        <v>0.04</v>
      </c>
      <c r="AI30" s="8"/>
      <c r="AJ30" s="8"/>
      <c r="AK30" s="8"/>
      <c r="AL30" s="8"/>
      <c r="AM30" s="36">
        <v>0.191</v>
      </c>
      <c r="AN30" s="40">
        <v>0</v>
      </c>
      <c r="AO30" s="8"/>
      <c r="AP30" s="8"/>
      <c r="AQ30" s="8"/>
      <c r="AR30" s="8"/>
      <c r="AS30" s="24">
        <v>83.9</v>
      </c>
      <c r="AT30" s="24">
        <v>25.5</v>
      </c>
      <c r="AU30" s="8"/>
      <c r="AV30" s="8"/>
      <c r="AW30" s="8"/>
      <c r="AX30" s="8"/>
      <c r="AY30" s="36">
        <v>0.79900000000000004</v>
      </c>
      <c r="AZ30" s="40">
        <v>0.94</v>
      </c>
      <c r="BA30" s="8"/>
      <c r="BB30" s="8"/>
      <c r="BC30" s="8"/>
      <c r="BD30" s="8"/>
      <c r="BE30" s="36">
        <v>0.55600000000000005</v>
      </c>
      <c r="BF30" s="36">
        <v>0.36099999999999999</v>
      </c>
      <c r="BG30" s="8"/>
      <c r="BH30" s="8"/>
      <c r="BI30" s="8"/>
      <c r="BJ30" s="8"/>
      <c r="BK30" s="36">
        <v>6.5000000000000002E-2</v>
      </c>
      <c r="BL30" s="36">
        <v>6.5000000000000002E-2</v>
      </c>
      <c r="BM30" s="8"/>
      <c r="BN30" s="8"/>
      <c r="BO30" s="8"/>
      <c r="BP30" s="8"/>
      <c r="BQ30" s="24">
        <v>2</v>
      </c>
      <c r="BR30" s="24">
        <v>17</v>
      </c>
      <c r="BS30" s="8"/>
      <c r="BT30" s="8"/>
      <c r="BU30" s="8"/>
      <c r="BV30" s="8"/>
      <c r="BW30" s="24" t="s">
        <v>292</v>
      </c>
      <c r="BX30" s="24" t="s">
        <v>541</v>
      </c>
      <c r="BY30" s="8"/>
      <c r="BZ30" s="8"/>
      <c r="CA30" s="8"/>
      <c r="CB30" s="8"/>
      <c r="CC30" s="24" t="s">
        <v>293</v>
      </c>
      <c r="CD30" s="24" t="s">
        <v>542</v>
      </c>
      <c r="CE30" s="8"/>
      <c r="CF30" s="8"/>
      <c r="CG30" s="8"/>
      <c r="CH30" s="8"/>
      <c r="CI30" s="24" t="s">
        <v>294</v>
      </c>
      <c r="CJ30" s="8"/>
      <c r="CK30" s="8"/>
      <c r="CL30" s="8"/>
      <c r="CM30" s="8"/>
      <c r="CN30" s="8"/>
      <c r="CO30" s="8"/>
      <c r="CP30" s="8"/>
    </row>
    <row r="31" spans="1:94" ht="15.75" customHeight="1">
      <c r="A31" s="52">
        <v>46013</v>
      </c>
      <c r="B31" s="30">
        <v>25</v>
      </c>
      <c r="C31" s="42" t="s">
        <v>543</v>
      </c>
      <c r="D31" s="24" t="s">
        <v>88</v>
      </c>
      <c r="E31" s="24" t="s">
        <v>296</v>
      </c>
      <c r="F31" s="8"/>
      <c r="G31" s="107" t="s">
        <v>297</v>
      </c>
      <c r="H31" s="24" t="s">
        <v>298</v>
      </c>
      <c r="I31" s="24" t="s">
        <v>88</v>
      </c>
      <c r="J31" s="24" t="s">
        <v>225</v>
      </c>
      <c r="K31" s="24" t="s">
        <v>46</v>
      </c>
      <c r="L31" s="24" t="s">
        <v>299</v>
      </c>
      <c r="M31" s="24">
        <v>6</v>
      </c>
      <c r="N31" s="36">
        <v>0.127</v>
      </c>
      <c r="O31" s="36">
        <v>0.51300000000000001</v>
      </c>
      <c r="P31" s="36">
        <v>0.94499999999999995</v>
      </c>
      <c r="Q31" s="8"/>
      <c r="R31" s="8"/>
      <c r="S31" s="8"/>
      <c r="T31" s="8"/>
      <c r="U31" s="36">
        <v>0.122</v>
      </c>
      <c r="V31" s="40">
        <v>0</v>
      </c>
      <c r="W31" s="8"/>
      <c r="X31" s="8"/>
      <c r="Y31" s="8"/>
      <c r="Z31" s="8"/>
      <c r="AA31" s="36">
        <v>0.36499999999999999</v>
      </c>
      <c r="AB31" s="36">
        <v>5.2999999999999999E-2</v>
      </c>
      <c r="AC31" s="8"/>
      <c r="AD31" s="8"/>
      <c r="AE31" s="8"/>
      <c r="AF31" s="8"/>
      <c r="AG31" s="24">
        <v>0</v>
      </c>
      <c r="AH31" s="36">
        <v>2E-3</v>
      </c>
      <c r="AI31" s="8"/>
      <c r="AJ31" s="8"/>
      <c r="AK31" s="8"/>
      <c r="AL31" s="8"/>
      <c r="AM31" s="24">
        <v>0</v>
      </c>
      <c r="AN31" s="40">
        <v>0</v>
      </c>
      <c r="AO31" s="8"/>
      <c r="AP31" s="8"/>
      <c r="AQ31" s="8"/>
      <c r="AR31" s="8"/>
      <c r="AS31" s="24">
        <v>48.7</v>
      </c>
      <c r="AT31" s="24">
        <v>4.7</v>
      </c>
      <c r="AU31" s="8"/>
      <c r="AV31" s="8"/>
      <c r="AW31" s="8"/>
      <c r="AX31" s="8"/>
      <c r="AY31" s="36">
        <v>0.81899999999999995</v>
      </c>
      <c r="AZ31" s="36">
        <v>0.53900000000000003</v>
      </c>
      <c r="BA31" s="8"/>
      <c r="BB31" s="8"/>
      <c r="BC31" s="8"/>
      <c r="BD31" s="8"/>
      <c r="BE31" s="36">
        <v>0.311</v>
      </c>
      <c r="BF31" s="36">
        <v>0.24199999999999999</v>
      </c>
      <c r="BG31" s="8"/>
      <c r="BH31" s="8"/>
      <c r="BI31" s="8"/>
      <c r="BJ31" s="8"/>
      <c r="BK31" s="36">
        <v>7.6999999999999999E-2</v>
      </c>
      <c r="BL31" s="36">
        <v>6.2E-2</v>
      </c>
      <c r="BM31" s="8"/>
      <c r="BN31" s="8"/>
      <c r="BO31" s="8"/>
      <c r="BP31" s="8"/>
      <c r="BQ31" s="24">
        <v>0</v>
      </c>
      <c r="BR31" s="24">
        <v>2</v>
      </c>
      <c r="BS31" s="8"/>
      <c r="BT31" s="8"/>
      <c r="BU31" s="8"/>
      <c r="BV31" s="8"/>
      <c r="BW31" s="24" t="s">
        <v>112</v>
      </c>
      <c r="BX31" s="24" t="s">
        <v>544</v>
      </c>
      <c r="BY31" s="8"/>
      <c r="BZ31" s="8"/>
      <c r="CA31" s="8"/>
      <c r="CB31" s="8"/>
      <c r="CC31" s="24" t="s">
        <v>300</v>
      </c>
      <c r="CD31" s="24" t="s">
        <v>545</v>
      </c>
      <c r="CE31" s="8"/>
      <c r="CF31" s="8"/>
      <c r="CG31" s="8"/>
      <c r="CH31" s="8"/>
      <c r="CI31" s="24" t="s">
        <v>301</v>
      </c>
      <c r="CJ31" s="8"/>
      <c r="CK31" s="8"/>
      <c r="CL31" s="8"/>
      <c r="CM31" s="8"/>
      <c r="CN31" s="8"/>
      <c r="CO31" s="8"/>
      <c r="CP31" s="8"/>
    </row>
    <row r="32" spans="1:94" ht="15.75" customHeight="1">
      <c r="A32" s="52">
        <v>46013</v>
      </c>
      <c r="B32" s="30">
        <v>26</v>
      </c>
      <c r="C32" s="42" t="s">
        <v>546</v>
      </c>
      <c r="D32" s="24" t="s">
        <v>205</v>
      </c>
      <c r="E32" s="24" t="s">
        <v>303</v>
      </c>
      <c r="F32" s="8"/>
      <c r="G32" s="24" t="s">
        <v>304</v>
      </c>
      <c r="H32" s="24" t="s">
        <v>305</v>
      </c>
      <c r="I32" s="24" t="s">
        <v>128</v>
      </c>
      <c r="J32" s="24" t="s">
        <v>45</v>
      </c>
      <c r="K32" s="24" t="s">
        <v>46</v>
      </c>
      <c r="L32" s="24" t="s">
        <v>306</v>
      </c>
      <c r="M32" s="24">
        <v>2</v>
      </c>
      <c r="N32" s="36">
        <v>0.112</v>
      </c>
      <c r="O32" s="36">
        <v>0.68600000000000005</v>
      </c>
      <c r="P32" s="36">
        <v>0.86399999999999999</v>
      </c>
      <c r="Q32" s="8"/>
      <c r="R32" s="8"/>
      <c r="S32" s="8"/>
      <c r="T32" s="8"/>
      <c r="U32" s="36">
        <v>8.1000000000000003E-2</v>
      </c>
      <c r="V32" s="40">
        <v>0.03</v>
      </c>
      <c r="W32" s="8"/>
      <c r="X32" s="8"/>
      <c r="Y32" s="8"/>
      <c r="Z32" s="8"/>
      <c r="AA32" s="36">
        <v>0.217</v>
      </c>
      <c r="AB32" s="40">
        <v>0.1</v>
      </c>
      <c r="AC32" s="8"/>
      <c r="AD32" s="8"/>
      <c r="AE32" s="8"/>
      <c r="AF32" s="8"/>
      <c r="AG32" s="36">
        <v>1.2999999999999999E-2</v>
      </c>
      <c r="AH32" s="36">
        <v>6.0000000000000001E-3</v>
      </c>
      <c r="AI32" s="8"/>
      <c r="AJ32" s="8"/>
      <c r="AK32" s="8"/>
      <c r="AL32" s="8"/>
      <c r="AM32" s="36">
        <v>3.0000000000000001E-3</v>
      </c>
      <c r="AN32" s="40">
        <v>0</v>
      </c>
      <c r="AO32" s="8"/>
      <c r="AP32" s="8"/>
      <c r="AQ32" s="8"/>
      <c r="AR32" s="8"/>
      <c r="AS32" s="24">
        <v>34.299999999999997</v>
      </c>
      <c r="AT32" s="24">
        <v>14.2</v>
      </c>
      <c r="AU32" s="8"/>
      <c r="AV32" s="8"/>
      <c r="AW32" s="8"/>
      <c r="AX32" s="8"/>
      <c r="AY32" s="36">
        <v>0.185</v>
      </c>
      <c r="AZ32" s="40">
        <v>0.2</v>
      </c>
      <c r="BA32" s="8"/>
      <c r="BB32" s="8"/>
      <c r="BC32" s="8"/>
      <c r="BD32" s="8"/>
      <c r="BE32" s="36">
        <v>0.38800000000000001</v>
      </c>
      <c r="BF32" s="36">
        <v>0.307</v>
      </c>
      <c r="BG32" s="8"/>
      <c r="BH32" s="8"/>
      <c r="BI32" s="8"/>
      <c r="BJ32" s="8"/>
      <c r="BK32" s="36">
        <v>6.9000000000000006E-2</v>
      </c>
      <c r="BL32" s="36">
        <v>6.7000000000000004E-2</v>
      </c>
      <c r="BM32" s="8"/>
      <c r="BN32" s="8"/>
      <c r="BO32" s="8"/>
      <c r="BP32" s="8"/>
      <c r="BQ32" s="24">
        <v>5</v>
      </c>
      <c r="BR32" s="24">
        <v>3</v>
      </c>
      <c r="BS32" s="8"/>
      <c r="BT32" s="8"/>
      <c r="BU32" s="8"/>
      <c r="BV32" s="8"/>
      <c r="BW32" s="24" t="s">
        <v>307</v>
      </c>
      <c r="BX32" s="24" t="s">
        <v>547</v>
      </c>
      <c r="BY32" s="8"/>
      <c r="BZ32" s="8"/>
      <c r="CA32" s="8"/>
      <c r="CB32" s="8"/>
      <c r="CC32" s="24" t="s">
        <v>308</v>
      </c>
      <c r="CD32" s="24" t="s">
        <v>308</v>
      </c>
      <c r="CE32" s="8"/>
      <c r="CF32" s="8"/>
      <c r="CG32" s="8"/>
      <c r="CH32" s="8"/>
      <c r="CI32" s="24" t="s">
        <v>548</v>
      </c>
      <c r="CJ32" s="8"/>
      <c r="CK32" s="8"/>
      <c r="CL32" s="8"/>
      <c r="CM32" s="8"/>
      <c r="CN32" s="24" t="s">
        <v>549</v>
      </c>
      <c r="CO32" s="8"/>
      <c r="CP32" s="8"/>
    </row>
    <row r="33" spans="1:94" ht="15.75" customHeight="1">
      <c r="A33" s="47">
        <v>46014</v>
      </c>
      <c r="B33" s="30">
        <v>27</v>
      </c>
      <c r="C33" s="42" t="s">
        <v>550</v>
      </c>
      <c r="D33" s="24" t="s">
        <v>99</v>
      </c>
      <c r="E33" s="24" t="s">
        <v>311</v>
      </c>
      <c r="F33" s="8"/>
      <c r="G33" s="107" t="s">
        <v>312</v>
      </c>
      <c r="H33" s="24" t="s">
        <v>313</v>
      </c>
      <c r="I33" s="24" t="s">
        <v>314</v>
      </c>
      <c r="J33" s="24" t="s">
        <v>45</v>
      </c>
      <c r="K33" s="24" t="s">
        <v>46</v>
      </c>
      <c r="L33" s="24" t="s">
        <v>315</v>
      </c>
      <c r="M33" s="61">
        <v>45718</v>
      </c>
      <c r="N33" s="36">
        <v>9.3299999999999994E-2</v>
      </c>
      <c r="O33" s="36">
        <v>0.68700000000000006</v>
      </c>
      <c r="P33" s="36">
        <v>0.78200000000000003</v>
      </c>
      <c r="Q33" s="8"/>
      <c r="R33" s="8"/>
      <c r="S33" s="8"/>
      <c r="T33" s="8"/>
      <c r="U33" s="36">
        <v>6.9000000000000006E-2</v>
      </c>
      <c r="V33" s="36">
        <v>2.1000000000000001E-2</v>
      </c>
      <c r="W33" s="8"/>
      <c r="X33" s="8"/>
      <c r="Y33" s="8"/>
      <c r="Z33" s="8"/>
      <c r="AA33" s="36">
        <v>0.221</v>
      </c>
      <c r="AB33" s="36">
        <v>0.18099999999999999</v>
      </c>
      <c r="AC33" s="8"/>
      <c r="AD33" s="8"/>
      <c r="AE33" s="8"/>
      <c r="AF33" s="8"/>
      <c r="AG33" s="36">
        <v>1.2999999999999999E-2</v>
      </c>
      <c r="AH33" s="36">
        <v>1.4999999999999999E-2</v>
      </c>
      <c r="AI33" s="8"/>
      <c r="AJ33" s="8"/>
      <c r="AK33" s="8"/>
      <c r="AL33" s="8"/>
      <c r="AM33" s="40">
        <v>0.01</v>
      </c>
      <c r="AN33" s="36">
        <v>1E-3</v>
      </c>
      <c r="AO33" s="8"/>
      <c r="AP33" s="8"/>
      <c r="AQ33" s="8"/>
      <c r="AR33" s="8"/>
      <c r="AS33" s="24">
        <v>34.799999999999997</v>
      </c>
      <c r="AT33" s="24">
        <v>21.7</v>
      </c>
      <c r="AU33" s="8"/>
      <c r="AV33" s="8"/>
      <c r="AW33" s="8"/>
      <c r="AX33" s="8"/>
      <c r="AY33" s="36">
        <v>0.97099999999999997</v>
      </c>
      <c r="AZ33" s="36">
        <v>0.97299999999999998</v>
      </c>
      <c r="BA33" s="8"/>
      <c r="BB33" s="8"/>
      <c r="BC33" s="8"/>
      <c r="BD33" s="8"/>
      <c r="BE33" s="40">
        <v>0.39</v>
      </c>
      <c r="BF33" s="36">
        <v>0.317</v>
      </c>
      <c r="BG33" s="8"/>
      <c r="BH33" s="8"/>
      <c r="BI33" s="8"/>
      <c r="BJ33" s="8"/>
      <c r="BK33" s="40">
        <v>7.0000000000000007E-2</v>
      </c>
      <c r="BL33" s="36">
        <v>6.8000000000000005E-2</v>
      </c>
      <c r="BM33" s="8"/>
      <c r="BN33" s="8"/>
      <c r="BO33" s="8"/>
      <c r="BP33" s="8"/>
      <c r="BQ33" s="24">
        <v>8</v>
      </c>
      <c r="BR33" s="24">
        <v>6</v>
      </c>
      <c r="BS33" s="8"/>
      <c r="BT33" s="8"/>
      <c r="BU33" s="8"/>
      <c r="BV33" s="8"/>
      <c r="BW33" s="24" t="s">
        <v>316</v>
      </c>
      <c r="BX33" s="24" t="s">
        <v>316</v>
      </c>
      <c r="BY33" s="8"/>
      <c r="BZ33" s="8"/>
      <c r="CA33" s="8"/>
      <c r="CB33" s="8"/>
      <c r="CC33" s="24" t="s">
        <v>317</v>
      </c>
      <c r="CD33" s="24" t="s">
        <v>551</v>
      </c>
      <c r="CE33" s="8"/>
      <c r="CF33" s="8"/>
      <c r="CG33" s="8"/>
      <c r="CH33" s="8"/>
      <c r="CI33" s="24" t="s">
        <v>318</v>
      </c>
      <c r="CJ33" s="8"/>
      <c r="CK33" s="8"/>
      <c r="CL33" s="8"/>
      <c r="CM33" s="8"/>
      <c r="CN33" s="8"/>
      <c r="CO33" s="8"/>
      <c r="CP33" s="8"/>
    </row>
    <row r="34" spans="1:94" ht="15.75" customHeight="1">
      <c r="A34" s="47">
        <v>46015</v>
      </c>
      <c r="B34" s="30">
        <v>28</v>
      </c>
      <c r="C34" s="42" t="s">
        <v>552</v>
      </c>
      <c r="D34" s="24" t="s">
        <v>553</v>
      </c>
      <c r="E34" s="24" t="s">
        <v>320</v>
      </c>
      <c r="F34" s="8"/>
      <c r="G34" s="107" t="s">
        <v>321</v>
      </c>
      <c r="H34" s="24" t="s">
        <v>322</v>
      </c>
      <c r="I34" s="24" t="s">
        <v>323</v>
      </c>
      <c r="J34" s="24" t="s">
        <v>45</v>
      </c>
      <c r="K34" s="24" t="s">
        <v>46</v>
      </c>
      <c r="L34" s="24" t="s">
        <v>324</v>
      </c>
      <c r="M34" s="61">
        <v>45718</v>
      </c>
      <c r="N34" s="36">
        <v>0.109</v>
      </c>
      <c r="O34" s="36">
        <v>0.54300000000000004</v>
      </c>
      <c r="P34" s="36">
        <v>0.745</v>
      </c>
      <c r="Q34" s="8"/>
      <c r="R34" s="8"/>
      <c r="S34" s="8"/>
      <c r="T34" s="8"/>
      <c r="U34" s="40">
        <v>0.11</v>
      </c>
      <c r="V34" s="36">
        <v>1.4E-2</v>
      </c>
      <c r="W34" s="8"/>
      <c r="X34" s="8"/>
      <c r="Y34" s="8"/>
      <c r="Z34" s="8"/>
      <c r="AA34" s="36">
        <v>0.34399999999999997</v>
      </c>
      <c r="AB34" s="36">
        <v>0.24099999999999999</v>
      </c>
      <c r="AC34" s="8"/>
      <c r="AD34" s="8"/>
      <c r="AE34" s="8"/>
      <c r="AF34" s="8"/>
      <c r="AG34" s="36">
        <v>3.0000000000000001E-3</v>
      </c>
      <c r="AH34" s="40">
        <v>0</v>
      </c>
      <c r="AI34" s="8"/>
      <c r="AJ34" s="8"/>
      <c r="AK34" s="8"/>
      <c r="AL34" s="8"/>
      <c r="AM34" s="40">
        <v>0</v>
      </c>
      <c r="AN34" s="40">
        <v>0</v>
      </c>
      <c r="AO34" s="8"/>
      <c r="AP34" s="8"/>
      <c r="AQ34" s="8"/>
      <c r="AR34" s="8"/>
      <c r="AS34" s="24">
        <v>45.8</v>
      </c>
      <c r="AT34" s="24">
        <v>21.5</v>
      </c>
      <c r="AU34" s="8"/>
      <c r="AV34" s="8"/>
      <c r="AW34" s="8"/>
      <c r="AX34" s="8"/>
      <c r="AY34" s="36">
        <v>0.98199999999999998</v>
      </c>
      <c r="AZ34" s="36">
        <v>0.99399999999999999</v>
      </c>
      <c r="BA34" s="8"/>
      <c r="BB34" s="8"/>
      <c r="BC34" s="8"/>
      <c r="BD34" s="8"/>
      <c r="BE34" s="36">
        <v>0.28599999999999998</v>
      </c>
      <c r="BF34" s="36">
        <v>0.25</v>
      </c>
      <c r="BG34" s="8"/>
      <c r="BH34" s="8"/>
      <c r="BI34" s="8"/>
      <c r="BJ34" s="8"/>
      <c r="BK34" s="36">
        <v>7.6999999999999999E-2</v>
      </c>
      <c r="BL34" s="36">
        <v>7.0000000000000007E-2</v>
      </c>
      <c r="BM34" s="8"/>
      <c r="BN34" s="8"/>
      <c r="BO34" s="8"/>
      <c r="BP34" s="8"/>
      <c r="BQ34" s="24">
        <v>1</v>
      </c>
      <c r="BR34" s="24">
        <v>0</v>
      </c>
      <c r="BS34" s="8"/>
      <c r="BT34" s="8"/>
      <c r="BU34" s="8"/>
      <c r="BV34" s="8"/>
      <c r="BW34" s="24" t="s">
        <v>325</v>
      </c>
      <c r="BX34" s="24" t="s">
        <v>554</v>
      </c>
      <c r="BY34" s="8"/>
      <c r="BZ34" s="8"/>
      <c r="CA34" s="8"/>
      <c r="CB34" s="8"/>
      <c r="CC34" s="24" t="s">
        <v>326</v>
      </c>
      <c r="CD34" s="24" t="s">
        <v>326</v>
      </c>
      <c r="CE34" s="8"/>
      <c r="CF34" s="8"/>
      <c r="CG34" s="8"/>
      <c r="CH34" s="8"/>
      <c r="CI34" s="24" t="s">
        <v>327</v>
      </c>
      <c r="CJ34" s="8"/>
      <c r="CK34" s="8"/>
      <c r="CL34" s="8"/>
      <c r="CM34" s="8"/>
      <c r="CN34" s="8"/>
      <c r="CO34" s="8"/>
      <c r="CP34" s="8"/>
    </row>
    <row r="35" spans="1:94" ht="15.75" customHeight="1">
      <c r="A35" s="47">
        <v>46017</v>
      </c>
      <c r="B35" s="30">
        <v>29</v>
      </c>
      <c r="C35" s="42" t="s">
        <v>328</v>
      </c>
      <c r="D35" s="24"/>
      <c r="E35" s="24" t="s">
        <v>329</v>
      </c>
      <c r="F35" s="107" t="s">
        <v>330</v>
      </c>
      <c r="G35" s="8"/>
      <c r="H35" s="24" t="s">
        <v>331</v>
      </c>
      <c r="I35" s="24" t="s">
        <v>88</v>
      </c>
      <c r="J35" s="24" t="s">
        <v>332</v>
      </c>
      <c r="K35" s="24" t="s">
        <v>46</v>
      </c>
      <c r="L35" s="24" t="s">
        <v>333</v>
      </c>
      <c r="M35" s="61">
        <v>46083</v>
      </c>
      <c r="N35" s="36">
        <v>0.89400000000000002</v>
      </c>
      <c r="O35" s="36"/>
      <c r="P35" s="8"/>
      <c r="Q35" s="8"/>
      <c r="R35" s="8"/>
      <c r="S35" s="8"/>
      <c r="T35" s="8"/>
      <c r="U35" s="36">
        <v>3.0000000000000001E-3</v>
      </c>
      <c r="V35" s="36"/>
      <c r="W35" s="8"/>
      <c r="X35" s="8"/>
      <c r="Y35" s="8"/>
      <c r="Z35" s="8"/>
      <c r="AA35" s="40">
        <v>7.0000000000000007E-2</v>
      </c>
      <c r="AB35" s="40"/>
      <c r="AC35" s="8"/>
      <c r="AD35" s="8"/>
      <c r="AE35" s="8"/>
      <c r="AF35" s="8"/>
      <c r="AG35" s="36">
        <v>2.8000000000000001E-2</v>
      </c>
      <c r="AH35" s="8"/>
      <c r="AI35" s="8"/>
      <c r="AJ35" s="8"/>
      <c r="AK35" s="8"/>
      <c r="AL35" s="8"/>
      <c r="AM35" s="36">
        <v>5.0000000000000001E-3</v>
      </c>
      <c r="AN35" s="8"/>
      <c r="AO35" s="8"/>
      <c r="AP35" s="8"/>
      <c r="AQ35" s="8"/>
      <c r="AR35" s="8"/>
      <c r="AS35" s="24">
        <v>14.3</v>
      </c>
      <c r="AT35" s="8"/>
      <c r="AU35" s="8"/>
      <c r="AV35" s="8"/>
      <c r="AW35" s="8"/>
      <c r="AX35" s="8"/>
      <c r="AY35" s="40">
        <v>0.26</v>
      </c>
      <c r="AZ35" s="8"/>
      <c r="BA35" s="8"/>
      <c r="BB35" s="8"/>
      <c r="BC35" s="8"/>
      <c r="BD35" s="8"/>
      <c r="BE35" s="36">
        <v>0.28699999999999998</v>
      </c>
      <c r="BF35" s="8"/>
      <c r="BG35" s="8"/>
      <c r="BH35" s="8"/>
      <c r="BI35" s="8"/>
      <c r="BJ35" s="8"/>
      <c r="BK35" s="36">
        <v>6.2E-2</v>
      </c>
      <c r="BL35" s="8"/>
      <c r="BM35" s="8"/>
      <c r="BN35" s="8"/>
      <c r="BO35" s="8"/>
      <c r="BP35" s="8"/>
      <c r="BQ35" s="24">
        <v>11</v>
      </c>
      <c r="BR35" s="8"/>
      <c r="BS35" s="8"/>
      <c r="BT35" s="8"/>
      <c r="BU35" s="8"/>
      <c r="BV35" s="8"/>
      <c r="BW35" s="24" t="s">
        <v>325</v>
      </c>
      <c r="BX35" s="8"/>
      <c r="BY35" s="8"/>
      <c r="BZ35" s="8"/>
      <c r="CA35" s="8"/>
      <c r="CB35" s="8"/>
      <c r="CC35" s="24" t="s">
        <v>334</v>
      </c>
      <c r="CD35" s="8"/>
      <c r="CE35" s="8"/>
      <c r="CF35" s="8"/>
      <c r="CG35" s="8"/>
      <c r="CH35" s="8"/>
      <c r="CI35" s="8"/>
    </row>
    <row r="36" spans="1:94" ht="15.75" customHeight="1">
      <c r="A36" s="24" t="s">
        <v>335</v>
      </c>
      <c r="B36" s="30">
        <v>30</v>
      </c>
      <c r="C36" s="42" t="s">
        <v>336</v>
      </c>
      <c r="D36" s="24"/>
      <c r="E36" s="24" t="s">
        <v>337</v>
      </c>
      <c r="F36" s="107" t="s">
        <v>338</v>
      </c>
      <c r="G36" s="8"/>
      <c r="H36" s="24" t="s">
        <v>339</v>
      </c>
      <c r="I36" s="24" t="s">
        <v>58</v>
      </c>
      <c r="J36" s="24" t="s">
        <v>73</v>
      </c>
      <c r="K36" s="24" t="s">
        <v>340</v>
      </c>
      <c r="L36" s="24" t="s">
        <v>341</v>
      </c>
      <c r="M36" s="61">
        <v>46083</v>
      </c>
      <c r="N36" s="36">
        <v>0.109</v>
      </c>
      <c r="O36" s="36">
        <v>0.41399999999999998</v>
      </c>
      <c r="P36" s="8"/>
      <c r="Q36" s="8"/>
      <c r="R36" s="8"/>
      <c r="S36" s="8"/>
      <c r="T36" s="8"/>
      <c r="U36" s="36">
        <v>0.27700000000000002</v>
      </c>
      <c r="V36" s="8"/>
      <c r="W36" s="8"/>
      <c r="X36" s="8"/>
      <c r="Y36" s="8"/>
      <c r="Z36" s="8"/>
      <c r="AA36" s="36">
        <v>0.28899999999999998</v>
      </c>
      <c r="AB36" s="8"/>
      <c r="AC36" s="8"/>
      <c r="AD36" s="8"/>
      <c r="AE36" s="8"/>
      <c r="AF36" s="8"/>
      <c r="AG36" s="40">
        <v>0.02</v>
      </c>
      <c r="AH36" s="8"/>
      <c r="AI36" s="8"/>
      <c r="AJ36" s="8"/>
      <c r="AK36" s="8"/>
      <c r="AL36" s="8"/>
      <c r="AM36" s="40">
        <v>0</v>
      </c>
      <c r="AN36" s="8"/>
      <c r="AO36" s="8"/>
      <c r="AP36" s="8"/>
      <c r="AQ36" s="8"/>
      <c r="AR36" s="8"/>
      <c r="AS36" s="24">
        <v>72.2</v>
      </c>
      <c r="AT36" s="8"/>
      <c r="AU36" s="8"/>
      <c r="AV36" s="8"/>
      <c r="AW36" s="8"/>
      <c r="AX36" s="8"/>
      <c r="AY36" s="36">
        <v>0.72699999999999998</v>
      </c>
      <c r="AZ36" s="8"/>
      <c r="BA36" s="8"/>
      <c r="BB36" s="8"/>
      <c r="BC36" s="8"/>
      <c r="BD36" s="8"/>
      <c r="BE36" s="36">
        <v>0.41599999999999998</v>
      </c>
      <c r="BF36" s="8"/>
      <c r="BG36" s="8"/>
      <c r="BH36" s="8"/>
      <c r="BI36" s="8"/>
      <c r="BJ36" s="8"/>
      <c r="BK36" s="36">
        <v>0.08</v>
      </c>
      <c r="BL36" s="8"/>
      <c r="BM36" s="8"/>
      <c r="BN36" s="8"/>
      <c r="BO36" s="8"/>
      <c r="BP36" s="8"/>
      <c r="BQ36" s="24">
        <v>7</v>
      </c>
      <c r="BR36" s="8"/>
      <c r="BS36" s="8"/>
      <c r="BT36" s="8"/>
      <c r="BU36" s="8"/>
      <c r="BV36" s="8"/>
      <c r="BW36" s="24" t="s">
        <v>316</v>
      </c>
      <c r="BX36" s="8"/>
      <c r="BY36" s="8"/>
      <c r="BZ36" s="8"/>
      <c r="CA36" s="8"/>
      <c r="CB36" s="8"/>
      <c r="CC36" s="24" t="s">
        <v>342</v>
      </c>
      <c r="CD36" s="24" t="s">
        <v>343</v>
      </c>
      <c r="CE36" s="8"/>
      <c r="CF36" s="8"/>
      <c r="CG36" s="8"/>
      <c r="CH36" s="8"/>
      <c r="CI36" s="8"/>
    </row>
    <row r="37" spans="1:94" ht="15.75" customHeight="1">
      <c r="A37" s="63">
        <v>46036</v>
      </c>
      <c r="B37" s="30">
        <v>31</v>
      </c>
      <c r="C37" s="65" t="s">
        <v>555</v>
      </c>
      <c r="D37" s="24" t="s">
        <v>553</v>
      </c>
      <c r="E37" s="24" t="s">
        <v>349</v>
      </c>
      <c r="F37" s="8"/>
      <c r="G37" s="113" t="s">
        <v>350</v>
      </c>
      <c r="H37" s="24" t="s">
        <v>351</v>
      </c>
      <c r="I37" s="24" t="s">
        <v>323</v>
      </c>
      <c r="J37" s="24" t="s">
        <v>73</v>
      </c>
      <c r="K37" s="24" t="s">
        <v>340</v>
      </c>
      <c r="L37" s="24" t="s">
        <v>352</v>
      </c>
      <c r="M37" s="61">
        <v>46083</v>
      </c>
      <c r="N37" s="36">
        <v>0.13100000000000001</v>
      </c>
      <c r="O37" s="36">
        <v>0.51900000000000002</v>
      </c>
      <c r="P37" s="8"/>
      <c r="Q37" s="8"/>
      <c r="R37" s="8"/>
      <c r="S37" s="8"/>
      <c r="T37" s="8"/>
      <c r="U37" s="36">
        <v>0.20899999999999999</v>
      </c>
      <c r="V37" s="8"/>
      <c r="W37" s="8"/>
      <c r="X37" s="8"/>
      <c r="Y37" s="8"/>
      <c r="Z37" s="8"/>
      <c r="AA37" s="36">
        <v>0.27200000000000002</v>
      </c>
      <c r="AB37" s="8"/>
      <c r="AC37" s="8"/>
      <c r="AD37" s="8"/>
      <c r="AE37" s="8"/>
      <c r="AF37" s="8"/>
      <c r="AG37" s="40">
        <v>0</v>
      </c>
      <c r="AH37" s="8"/>
      <c r="AI37" s="8"/>
      <c r="AJ37" s="8"/>
      <c r="AK37" s="8"/>
      <c r="AL37" s="8"/>
      <c r="AM37" s="40">
        <v>0</v>
      </c>
      <c r="AN37" s="8"/>
      <c r="AO37" s="8"/>
      <c r="AP37" s="8"/>
      <c r="AQ37" s="8"/>
      <c r="AR37" s="8"/>
      <c r="AS37" s="24">
        <v>55.2</v>
      </c>
      <c r="AT37" s="8"/>
      <c r="AU37" s="8"/>
      <c r="AV37" s="8"/>
      <c r="AW37" s="8"/>
      <c r="AX37" s="8"/>
      <c r="AY37" s="40">
        <v>0.6</v>
      </c>
      <c r="AZ37" s="8"/>
      <c r="BA37" s="8"/>
      <c r="BB37" s="8"/>
      <c r="BC37" s="8"/>
      <c r="BD37" s="8"/>
      <c r="BE37" s="36">
        <v>0.38400000000000001</v>
      </c>
      <c r="BF37" s="8"/>
      <c r="BG37" s="8"/>
      <c r="BH37" s="8"/>
      <c r="BI37" s="8"/>
      <c r="BJ37" s="8"/>
      <c r="BK37" s="36">
        <v>7.9000000000000001E-2</v>
      </c>
      <c r="BL37" s="8"/>
      <c r="BM37" s="8"/>
      <c r="BN37" s="8"/>
      <c r="BO37" s="8"/>
      <c r="BP37" s="8"/>
      <c r="BQ37" s="24">
        <v>0</v>
      </c>
      <c r="BR37" s="8"/>
      <c r="BS37" s="8"/>
      <c r="BT37" s="8"/>
      <c r="BU37" s="8"/>
      <c r="BV37" s="8"/>
      <c r="BW37" s="24" t="s">
        <v>112</v>
      </c>
      <c r="BX37" s="8"/>
      <c r="BY37" s="8"/>
      <c r="BZ37" s="8"/>
      <c r="CA37" s="8"/>
      <c r="CB37" s="8"/>
      <c r="CC37" s="24" t="s">
        <v>556</v>
      </c>
      <c r="CD37" s="8"/>
      <c r="CE37" s="8"/>
      <c r="CF37" s="8"/>
      <c r="CG37" s="8"/>
      <c r="CH37" s="8"/>
      <c r="CI37" s="8"/>
    </row>
    <row r="38" spans="1:94" ht="15.75" customHeight="1">
      <c r="A38" s="63">
        <v>46037</v>
      </c>
      <c r="B38" s="30">
        <v>32</v>
      </c>
      <c r="C38" s="31" t="s">
        <v>557</v>
      </c>
      <c r="D38" s="24" t="s">
        <v>128</v>
      </c>
      <c r="E38" s="24" t="s">
        <v>354</v>
      </c>
      <c r="F38" s="8"/>
      <c r="G38" s="116" t="s">
        <v>355</v>
      </c>
      <c r="H38" s="24" t="s">
        <v>356</v>
      </c>
      <c r="I38" s="24" t="s">
        <v>58</v>
      </c>
      <c r="J38" s="24" t="s">
        <v>73</v>
      </c>
      <c r="K38" s="24" t="s">
        <v>46</v>
      </c>
      <c r="L38" s="24" t="s">
        <v>357</v>
      </c>
      <c r="M38" s="24">
        <v>6</v>
      </c>
      <c r="N38" s="36">
        <v>0.72299999999999998</v>
      </c>
      <c r="O38" s="8"/>
      <c r="P38" s="8"/>
      <c r="Q38" s="8"/>
      <c r="R38" s="8"/>
      <c r="S38" s="8"/>
      <c r="T38" s="8"/>
      <c r="U38" s="36">
        <v>5.6000000000000001E-2</v>
      </c>
      <c r="V38" s="8"/>
      <c r="W38" s="8"/>
      <c r="X38" s="8"/>
      <c r="Y38" s="8"/>
      <c r="Z38" s="8"/>
      <c r="AA38" s="36">
        <v>0.20799999999999999</v>
      </c>
      <c r="AB38" s="8"/>
      <c r="AC38" s="8"/>
      <c r="AD38" s="8"/>
      <c r="AE38" s="8"/>
      <c r="AF38" s="8"/>
      <c r="AG38" s="36">
        <v>8.9999999999999993E-3</v>
      </c>
      <c r="AH38" s="8"/>
      <c r="AI38" s="8"/>
      <c r="AJ38" s="8"/>
      <c r="AK38" s="8"/>
      <c r="AL38" s="8"/>
      <c r="AM38" s="36">
        <v>4.0000000000000001E-3</v>
      </c>
      <c r="AN38" s="8"/>
      <c r="AO38" s="8"/>
      <c r="AP38" s="8"/>
      <c r="AQ38" s="8"/>
      <c r="AR38" s="8"/>
      <c r="AS38" s="24">
        <v>29</v>
      </c>
      <c r="AT38" s="8"/>
      <c r="AU38" s="8"/>
      <c r="AV38" s="8"/>
      <c r="AW38" s="8"/>
      <c r="AX38" s="8"/>
      <c r="AY38" s="36">
        <v>0.56200000000000006</v>
      </c>
      <c r="AZ38" s="8"/>
      <c r="BA38" s="8"/>
      <c r="BB38" s="8"/>
      <c r="BC38" s="8"/>
      <c r="BD38" s="8"/>
      <c r="BE38" s="36">
        <v>0.35499999999999998</v>
      </c>
      <c r="BF38" s="8"/>
      <c r="BG38" s="8"/>
      <c r="BH38" s="8"/>
      <c r="BI38" s="8"/>
      <c r="BJ38" s="8"/>
      <c r="BK38" s="36">
        <v>6.9000000000000006E-2</v>
      </c>
      <c r="BL38" s="8"/>
      <c r="BM38" s="8"/>
      <c r="BN38" s="8"/>
      <c r="BO38" s="8"/>
      <c r="BP38" s="8"/>
      <c r="BQ38" s="24">
        <v>5</v>
      </c>
      <c r="BR38" s="8"/>
      <c r="BS38" s="8"/>
      <c r="BT38" s="8"/>
      <c r="BU38" s="8"/>
      <c r="BV38" s="8"/>
      <c r="BW38" s="24" t="s">
        <v>558</v>
      </c>
      <c r="BX38" s="8"/>
      <c r="BY38" s="8"/>
      <c r="BZ38" s="8"/>
      <c r="CA38" s="8"/>
      <c r="CB38" s="8"/>
      <c r="CC38" s="24" t="s">
        <v>559</v>
      </c>
      <c r="CD38" s="8"/>
      <c r="CE38" s="8"/>
      <c r="CF38" s="8"/>
      <c r="CG38" s="8"/>
      <c r="CH38" s="8"/>
      <c r="CI38" s="8"/>
    </row>
    <row r="39" spans="1:94" ht="18.75" customHeight="1">
      <c r="A39" s="63">
        <v>46050</v>
      </c>
      <c r="B39" s="30">
        <v>33</v>
      </c>
      <c r="C39" s="64" t="s">
        <v>497</v>
      </c>
      <c r="D39" s="66" t="s">
        <v>215</v>
      </c>
      <c r="E39" s="66" t="s">
        <v>560</v>
      </c>
      <c r="F39" s="114" t="s">
        <v>561</v>
      </c>
      <c r="H39" s="24" t="s">
        <v>562</v>
      </c>
      <c r="I39" s="24" t="s">
        <v>499</v>
      </c>
      <c r="J39" s="24" t="s">
        <v>73</v>
      </c>
      <c r="K39" s="24" t="s">
        <v>563</v>
      </c>
      <c r="L39" s="24" t="s">
        <v>564</v>
      </c>
      <c r="M39" s="66">
        <v>3</v>
      </c>
      <c r="N39" s="78">
        <v>6.9900000000000004E-2</v>
      </c>
    </row>
    <row r="40" spans="1:94" ht="15.75" customHeight="1">
      <c r="A40" s="74">
        <v>46052</v>
      </c>
      <c r="B40" s="30">
        <v>34</v>
      </c>
      <c r="C40" s="64" t="s">
        <v>498</v>
      </c>
      <c r="D40" s="66" t="s">
        <v>88</v>
      </c>
      <c r="E40" s="66" t="s">
        <v>565</v>
      </c>
      <c r="G40" s="117" t="s">
        <v>566</v>
      </c>
      <c r="H40" s="24" t="s">
        <v>567</v>
      </c>
      <c r="I40" s="24" t="s">
        <v>88</v>
      </c>
      <c r="J40" s="24" t="s">
        <v>45</v>
      </c>
      <c r="K40" s="24" t="s">
        <v>563</v>
      </c>
      <c r="L40" s="24" t="s">
        <v>568</v>
      </c>
      <c r="M40" s="66">
        <v>6</v>
      </c>
      <c r="N40" s="78">
        <v>0.13800000000000001</v>
      </c>
    </row>
    <row r="41" spans="1:94" ht="15.75" customHeight="1">
      <c r="B41" s="1"/>
      <c r="C41" s="1"/>
    </row>
    <row r="42" spans="1:94" ht="15.75" customHeight="1">
      <c r="B42" s="1"/>
      <c r="C42" s="1"/>
    </row>
    <row r="43" spans="1:94" ht="15.75" customHeight="1">
      <c r="B43" s="1"/>
      <c r="C43" s="1"/>
    </row>
    <row r="44" spans="1:94" ht="15.75" customHeight="1">
      <c r="B44" s="1"/>
      <c r="C44" s="1"/>
    </row>
    <row r="45" spans="1:94" ht="15.75" customHeight="1">
      <c r="B45" s="1"/>
      <c r="C45" s="1"/>
    </row>
    <row r="46" spans="1:94" ht="15.75" customHeight="1">
      <c r="B46" s="1"/>
      <c r="C46" s="1"/>
    </row>
    <row r="47" spans="1:94" ht="15.75" customHeight="1">
      <c r="B47" s="1"/>
      <c r="C47" s="1"/>
    </row>
    <row r="48" spans="1:94" ht="15.75" customHeight="1">
      <c r="B48" s="1"/>
      <c r="C48" s="1"/>
    </row>
    <row r="49" spans="2:3" ht="15.75" customHeight="1">
      <c r="B49" s="1"/>
      <c r="C49" s="1"/>
    </row>
    <row r="50" spans="2:3" ht="15.75" customHeight="1">
      <c r="B50" s="1"/>
      <c r="C50" s="1"/>
    </row>
    <row r="51" spans="2:3" ht="15.75" customHeight="1">
      <c r="B51" s="1"/>
      <c r="C51" s="1"/>
    </row>
    <row r="52" spans="2:3" ht="15.75" customHeight="1">
      <c r="B52" s="1"/>
      <c r="C52" s="1"/>
    </row>
    <row r="53" spans="2:3" ht="15.75" customHeight="1">
      <c r="B53" s="1"/>
      <c r="C53" s="1"/>
    </row>
    <row r="54" spans="2:3" ht="15.75" customHeight="1">
      <c r="B54" s="1"/>
      <c r="C54" s="1"/>
    </row>
    <row r="55" spans="2:3" ht="15.75" customHeight="1">
      <c r="B55" s="1"/>
      <c r="C55" s="1"/>
    </row>
    <row r="56" spans="2:3" ht="15.75" customHeight="1">
      <c r="B56" s="1"/>
      <c r="C56" s="1"/>
    </row>
    <row r="57" spans="2:3" ht="15.75" customHeight="1">
      <c r="B57" s="1"/>
      <c r="C57" s="1"/>
    </row>
    <row r="58" spans="2:3" ht="15.75" customHeight="1">
      <c r="B58" s="1"/>
      <c r="C58" s="1"/>
    </row>
    <row r="59" spans="2:3" ht="15.75" customHeight="1">
      <c r="B59" s="1"/>
      <c r="C59" s="1"/>
    </row>
    <row r="60" spans="2:3" ht="15.75" customHeight="1">
      <c r="B60" s="1"/>
      <c r="C60" s="1"/>
    </row>
    <row r="61" spans="2:3" ht="15.75" customHeight="1">
      <c r="B61" s="1"/>
      <c r="C61" s="1"/>
    </row>
    <row r="62" spans="2:3" ht="15.75" customHeight="1">
      <c r="B62" s="1"/>
      <c r="C62" s="1"/>
    </row>
    <row r="63" spans="2:3" ht="15.75" customHeight="1">
      <c r="B63" s="1"/>
      <c r="C63" s="1"/>
    </row>
    <row r="64" spans="2:3" ht="15.75" customHeight="1">
      <c r="B64" s="1"/>
      <c r="C64" s="1"/>
    </row>
    <row r="65" spans="2:3" ht="15.75" customHeight="1">
      <c r="B65" s="1"/>
      <c r="C65" s="1"/>
    </row>
    <row r="66" spans="2:3" ht="15.75" customHeight="1">
      <c r="B66" s="1"/>
      <c r="C66" s="1"/>
    </row>
    <row r="67" spans="2:3" ht="15.75" customHeight="1">
      <c r="B67" s="1"/>
      <c r="C67" s="1"/>
    </row>
    <row r="68" spans="2:3" ht="15.75" customHeight="1">
      <c r="B68" s="1"/>
      <c r="C68" s="1"/>
    </row>
    <row r="69" spans="2:3" ht="15.75" customHeight="1">
      <c r="B69" s="1"/>
      <c r="C69" s="1"/>
    </row>
    <row r="70" spans="2:3" ht="15.75" customHeight="1">
      <c r="B70" s="1"/>
      <c r="C70" s="1"/>
    </row>
    <row r="71" spans="2:3" ht="15.75" customHeight="1">
      <c r="B71" s="1"/>
      <c r="C71" s="1"/>
    </row>
    <row r="72" spans="2:3" ht="15.75" customHeight="1">
      <c r="B72" s="1"/>
      <c r="C72" s="1"/>
    </row>
    <row r="73" spans="2:3" ht="15.75" customHeight="1">
      <c r="B73" s="1"/>
      <c r="C73" s="1"/>
    </row>
    <row r="74" spans="2:3" ht="15.75" customHeight="1">
      <c r="B74" s="1"/>
      <c r="C74" s="1"/>
    </row>
    <row r="75" spans="2:3" ht="15.75" customHeight="1">
      <c r="B75" s="1"/>
      <c r="C75" s="1"/>
    </row>
    <row r="76" spans="2:3" ht="15.75" customHeight="1">
      <c r="B76" s="1"/>
      <c r="C76" s="1"/>
    </row>
    <row r="77" spans="2:3" ht="15.75" customHeight="1">
      <c r="B77" s="1"/>
      <c r="C77" s="1"/>
    </row>
    <row r="78" spans="2:3" ht="15.75" customHeight="1">
      <c r="B78" s="1"/>
      <c r="C78" s="1"/>
    </row>
    <row r="79" spans="2:3" ht="15.75" customHeight="1">
      <c r="B79" s="1"/>
      <c r="C79" s="1"/>
    </row>
    <row r="80" spans="2:3" ht="15.75" customHeight="1">
      <c r="B80" s="1"/>
      <c r="C80" s="1"/>
    </row>
    <row r="81" spans="2:3" ht="15.75" customHeight="1">
      <c r="B81" s="1"/>
      <c r="C81" s="1"/>
    </row>
    <row r="82" spans="2:3" ht="15.75" customHeight="1">
      <c r="B82" s="1"/>
      <c r="C82" s="1"/>
    </row>
    <row r="83" spans="2:3" ht="15.75" customHeight="1">
      <c r="B83" s="1"/>
      <c r="C83" s="1"/>
    </row>
    <row r="84" spans="2:3" ht="15.75" customHeight="1">
      <c r="B84" s="1"/>
      <c r="C84" s="1"/>
    </row>
    <row r="85" spans="2:3" ht="15.75" customHeight="1">
      <c r="B85" s="1"/>
      <c r="C85" s="1"/>
    </row>
    <row r="86" spans="2:3" ht="15.75" customHeight="1">
      <c r="B86" s="1"/>
      <c r="C86" s="1"/>
    </row>
    <row r="87" spans="2:3" ht="15.75" customHeight="1">
      <c r="B87" s="1"/>
      <c r="C87" s="1"/>
    </row>
    <row r="88" spans="2:3" ht="15.75" customHeight="1">
      <c r="B88" s="1"/>
      <c r="C88" s="1"/>
    </row>
    <row r="89" spans="2:3" ht="15.75" customHeight="1">
      <c r="B89" s="1"/>
      <c r="C89" s="1"/>
    </row>
    <row r="90" spans="2:3" ht="15.75" customHeight="1">
      <c r="B90" s="1"/>
      <c r="C90" s="1"/>
    </row>
    <row r="91" spans="2:3" ht="15.75" customHeight="1">
      <c r="B91" s="1"/>
      <c r="C91" s="1"/>
    </row>
    <row r="92" spans="2:3" ht="15.75" customHeight="1">
      <c r="B92" s="1"/>
      <c r="C92" s="1"/>
    </row>
    <row r="93" spans="2:3" ht="15.75" customHeight="1">
      <c r="B93" s="1"/>
      <c r="C93" s="1"/>
    </row>
    <row r="94" spans="2:3" ht="15.75" customHeight="1">
      <c r="B94" s="1"/>
      <c r="C94" s="1"/>
    </row>
    <row r="95" spans="2:3" ht="15.75" customHeight="1">
      <c r="B95" s="1"/>
      <c r="C95" s="1"/>
    </row>
    <row r="96" spans="2:3" ht="15.75" customHeight="1">
      <c r="B96" s="1"/>
      <c r="C96" s="1"/>
    </row>
    <row r="97" spans="2:3" ht="15.75" customHeight="1">
      <c r="B97" s="1"/>
      <c r="C97" s="1"/>
    </row>
    <row r="98" spans="2:3" ht="15.75" customHeight="1">
      <c r="B98" s="1"/>
      <c r="C98" s="1"/>
    </row>
    <row r="99" spans="2:3" ht="15.75" customHeight="1">
      <c r="B99" s="1"/>
      <c r="C99" s="1"/>
    </row>
    <row r="100" spans="2:3" ht="15.75" customHeight="1">
      <c r="B100" s="1"/>
      <c r="C100" s="1"/>
    </row>
    <row r="101" spans="2:3" ht="15.75" customHeight="1">
      <c r="B101" s="1"/>
      <c r="C101" s="1"/>
    </row>
    <row r="102" spans="2:3" ht="15.75" customHeight="1">
      <c r="B102" s="1"/>
      <c r="C102" s="1"/>
    </row>
    <row r="103" spans="2:3" ht="15.75" customHeight="1">
      <c r="B103" s="1"/>
      <c r="C103" s="1"/>
    </row>
    <row r="104" spans="2:3" ht="15.75" customHeight="1">
      <c r="B104" s="1"/>
      <c r="C104" s="1"/>
    </row>
    <row r="105" spans="2:3" ht="15.75" customHeight="1">
      <c r="B105" s="1"/>
      <c r="C105" s="1"/>
    </row>
    <row r="106" spans="2:3" ht="15.75" customHeight="1">
      <c r="B106" s="1"/>
      <c r="C106" s="1"/>
    </row>
    <row r="107" spans="2:3" ht="15.75" customHeight="1">
      <c r="B107" s="1"/>
      <c r="C107" s="1"/>
    </row>
    <row r="108" spans="2:3" ht="15.75" customHeight="1">
      <c r="B108" s="1"/>
      <c r="C108" s="1"/>
    </row>
    <row r="109" spans="2:3" ht="15.75" customHeight="1">
      <c r="B109" s="1"/>
      <c r="C109" s="1"/>
    </row>
    <row r="110" spans="2:3" ht="15.75" customHeight="1">
      <c r="B110" s="1"/>
      <c r="C110" s="1"/>
    </row>
    <row r="111" spans="2:3" ht="15.75" customHeight="1">
      <c r="B111" s="1"/>
      <c r="C111" s="1"/>
    </row>
    <row r="112" spans="2:3" ht="15.75" customHeight="1">
      <c r="B112" s="1"/>
      <c r="C112" s="1"/>
    </row>
    <row r="113" spans="2:3" ht="15.75" customHeight="1">
      <c r="B113" s="1"/>
      <c r="C113" s="1"/>
    </row>
    <row r="114" spans="2:3" ht="15.75" customHeight="1">
      <c r="B114" s="1"/>
      <c r="C114" s="1"/>
    </row>
    <row r="115" spans="2:3" ht="15.75" customHeight="1">
      <c r="B115" s="1"/>
      <c r="C115" s="1"/>
    </row>
    <row r="116" spans="2:3" ht="15.75" customHeight="1">
      <c r="B116" s="1"/>
      <c r="C116" s="1"/>
    </row>
    <row r="117" spans="2:3" ht="15.75" customHeight="1">
      <c r="B117" s="1"/>
      <c r="C117" s="1"/>
    </row>
    <row r="118" spans="2:3" ht="15.75" customHeight="1">
      <c r="B118" s="1"/>
      <c r="C118" s="1"/>
    </row>
    <row r="119" spans="2:3" ht="15.75" customHeight="1">
      <c r="B119" s="1"/>
      <c r="C119" s="1"/>
    </row>
    <row r="120" spans="2:3" ht="15.75" customHeight="1">
      <c r="B120" s="1"/>
      <c r="C120" s="1"/>
    </row>
    <row r="121" spans="2:3" ht="15.75" customHeight="1">
      <c r="B121" s="1"/>
      <c r="C121" s="1"/>
    </row>
    <row r="122" spans="2:3" ht="15.75" customHeight="1">
      <c r="B122" s="1"/>
      <c r="C122" s="1"/>
    </row>
    <row r="123" spans="2:3" ht="15.75" customHeight="1">
      <c r="B123" s="1"/>
      <c r="C123" s="1"/>
    </row>
    <row r="124" spans="2:3" ht="15.75" customHeight="1">
      <c r="B124" s="1"/>
      <c r="C124" s="1"/>
    </row>
    <row r="125" spans="2:3" ht="15.75" customHeight="1">
      <c r="B125" s="1"/>
      <c r="C125" s="1"/>
    </row>
    <row r="126" spans="2:3" ht="15.75" customHeight="1">
      <c r="B126" s="1"/>
      <c r="C126" s="1"/>
    </row>
    <row r="127" spans="2:3" ht="15.75" customHeight="1">
      <c r="B127" s="1"/>
      <c r="C127" s="1"/>
    </row>
    <row r="128" spans="2:3" ht="15.75" customHeight="1">
      <c r="B128" s="1"/>
      <c r="C128" s="1"/>
    </row>
    <row r="129" spans="2:3" ht="15.75" customHeight="1">
      <c r="B129" s="1"/>
      <c r="C129" s="1"/>
    </row>
    <row r="130" spans="2:3" ht="15.75" customHeight="1">
      <c r="B130" s="1"/>
      <c r="C130" s="1"/>
    </row>
    <row r="131" spans="2:3" ht="15.75" customHeight="1">
      <c r="B131" s="1"/>
      <c r="C131" s="1"/>
    </row>
    <row r="132" spans="2:3" ht="15.75" customHeight="1">
      <c r="B132" s="1"/>
      <c r="C132" s="1"/>
    </row>
    <row r="133" spans="2:3" ht="15.75" customHeight="1">
      <c r="B133" s="1"/>
      <c r="C133" s="1"/>
    </row>
    <row r="134" spans="2:3" ht="15.75" customHeight="1">
      <c r="B134" s="1"/>
      <c r="C134" s="1"/>
    </row>
    <row r="135" spans="2:3" ht="15.75" customHeight="1">
      <c r="B135" s="1"/>
      <c r="C135" s="1"/>
    </row>
    <row r="136" spans="2:3" ht="15.75" customHeight="1">
      <c r="B136" s="1"/>
      <c r="C136" s="1"/>
    </row>
    <row r="137" spans="2:3" ht="15.75" customHeight="1">
      <c r="B137" s="1"/>
      <c r="C137" s="1"/>
    </row>
    <row r="138" spans="2:3" ht="15.75" customHeight="1">
      <c r="B138" s="1"/>
      <c r="C138" s="1"/>
    </row>
    <row r="139" spans="2:3" ht="15.75" customHeight="1">
      <c r="B139" s="1"/>
      <c r="C139" s="1"/>
    </row>
    <row r="140" spans="2:3" ht="15.75" customHeight="1">
      <c r="B140" s="1"/>
      <c r="C140" s="1"/>
    </row>
    <row r="141" spans="2:3" ht="15.75" customHeight="1">
      <c r="B141" s="1"/>
      <c r="C141" s="1"/>
    </row>
    <row r="142" spans="2:3" ht="15.75" customHeight="1">
      <c r="B142" s="1"/>
      <c r="C142" s="1"/>
    </row>
    <row r="143" spans="2:3" ht="15.75" customHeight="1">
      <c r="B143" s="1"/>
      <c r="C143" s="1"/>
    </row>
    <row r="144" spans="2:3" ht="15.75" customHeight="1">
      <c r="B144" s="1"/>
      <c r="C144" s="1"/>
    </row>
    <row r="145" spans="2:3" ht="15.75" customHeight="1">
      <c r="B145" s="1"/>
      <c r="C145" s="1"/>
    </row>
    <row r="146" spans="2:3" ht="15.75" customHeight="1">
      <c r="B146" s="1"/>
      <c r="C146" s="1"/>
    </row>
    <row r="147" spans="2:3" ht="15.75" customHeight="1">
      <c r="B147" s="1"/>
      <c r="C147" s="1"/>
    </row>
    <row r="148" spans="2:3" ht="15.75" customHeight="1">
      <c r="B148" s="1"/>
      <c r="C148" s="1"/>
    </row>
    <row r="149" spans="2:3" ht="15.75" customHeight="1">
      <c r="B149" s="1"/>
      <c r="C149" s="1"/>
    </row>
    <row r="150" spans="2:3" ht="15.75" customHeight="1">
      <c r="B150" s="1"/>
      <c r="C150" s="1"/>
    </row>
    <row r="151" spans="2:3" ht="15.75" customHeight="1">
      <c r="B151" s="1"/>
      <c r="C151" s="1"/>
    </row>
    <row r="152" spans="2:3" ht="15.75" customHeight="1">
      <c r="B152" s="1"/>
      <c r="C152" s="1"/>
    </row>
    <row r="153" spans="2:3" ht="15.75" customHeight="1">
      <c r="B153" s="1"/>
      <c r="C153" s="1"/>
    </row>
    <row r="154" spans="2:3" ht="15.75" customHeight="1">
      <c r="B154" s="1"/>
      <c r="C154" s="1"/>
    </row>
    <row r="155" spans="2:3" ht="15.75" customHeight="1">
      <c r="B155" s="1"/>
      <c r="C155" s="1"/>
    </row>
    <row r="156" spans="2:3" ht="15.75" customHeight="1">
      <c r="B156" s="1"/>
      <c r="C156" s="1"/>
    </row>
    <row r="157" spans="2:3" ht="15.75" customHeight="1">
      <c r="B157" s="1"/>
      <c r="C157" s="1"/>
    </row>
    <row r="158" spans="2:3" ht="15.75" customHeight="1">
      <c r="B158" s="1"/>
      <c r="C158" s="1"/>
    </row>
    <row r="159" spans="2:3" ht="15.75" customHeight="1">
      <c r="B159" s="1"/>
      <c r="C159" s="1"/>
    </row>
    <row r="160" spans="2:3" ht="15.75" customHeight="1">
      <c r="B160" s="1"/>
      <c r="C160" s="1"/>
    </row>
    <row r="161" spans="2:3" ht="15.75" customHeight="1">
      <c r="B161" s="1"/>
      <c r="C161" s="1"/>
    </row>
    <row r="162" spans="2:3" ht="15.75" customHeight="1">
      <c r="B162" s="1"/>
      <c r="C162" s="1"/>
    </row>
    <row r="163" spans="2:3" ht="15.75" customHeight="1">
      <c r="B163" s="1"/>
      <c r="C163" s="1"/>
    </row>
    <row r="164" spans="2:3" ht="15.75" customHeight="1">
      <c r="B164" s="1"/>
      <c r="C164" s="1"/>
    </row>
    <row r="165" spans="2:3" ht="15.75" customHeight="1">
      <c r="B165" s="1"/>
      <c r="C165" s="1"/>
    </row>
    <row r="166" spans="2:3" ht="15.75" customHeight="1">
      <c r="B166" s="1"/>
      <c r="C166" s="1"/>
    </row>
    <row r="167" spans="2:3" ht="15.75" customHeight="1">
      <c r="B167" s="1"/>
      <c r="C167" s="1"/>
    </row>
    <row r="168" spans="2:3" ht="15.75" customHeight="1">
      <c r="B168" s="1"/>
      <c r="C168" s="1"/>
    </row>
    <row r="169" spans="2:3" ht="15.75" customHeight="1">
      <c r="B169" s="1"/>
      <c r="C169" s="1"/>
    </row>
    <row r="170" spans="2:3" ht="15.75" customHeight="1">
      <c r="B170" s="1"/>
      <c r="C170" s="1"/>
    </row>
    <row r="171" spans="2:3" ht="15.75" customHeight="1">
      <c r="B171" s="1"/>
      <c r="C171" s="1"/>
    </row>
    <row r="172" spans="2:3" ht="15.75" customHeight="1">
      <c r="B172" s="1"/>
      <c r="C172" s="1"/>
    </row>
    <row r="173" spans="2:3" ht="15.75" customHeight="1">
      <c r="B173" s="1"/>
      <c r="C173" s="1"/>
    </row>
    <row r="174" spans="2:3" ht="15.75" customHeight="1">
      <c r="B174" s="1"/>
      <c r="C174" s="1"/>
    </row>
    <row r="175" spans="2:3" ht="15.75" customHeight="1">
      <c r="B175" s="1"/>
      <c r="C175" s="1"/>
    </row>
    <row r="176" spans="2:3" ht="15.75" customHeight="1">
      <c r="B176" s="1"/>
      <c r="C176" s="1"/>
    </row>
    <row r="177" spans="2:3" ht="15.75" customHeight="1">
      <c r="B177" s="1"/>
      <c r="C177" s="1"/>
    </row>
    <row r="178" spans="2:3" ht="15.75" customHeight="1">
      <c r="B178" s="1"/>
      <c r="C178" s="1"/>
    </row>
    <row r="179" spans="2:3" ht="15.75" customHeight="1">
      <c r="B179" s="1"/>
      <c r="C179" s="1"/>
    </row>
    <row r="180" spans="2:3" ht="15.75" customHeight="1">
      <c r="B180" s="1"/>
      <c r="C180" s="1"/>
    </row>
    <row r="181" spans="2:3" ht="15.75" customHeight="1">
      <c r="B181" s="1"/>
      <c r="C181" s="1"/>
    </row>
    <row r="182" spans="2:3" ht="15.75" customHeight="1">
      <c r="B182" s="1"/>
      <c r="C182" s="1"/>
    </row>
    <row r="183" spans="2:3" ht="15.75" customHeight="1">
      <c r="B183" s="1"/>
      <c r="C183" s="1"/>
    </row>
    <row r="184" spans="2:3" ht="15.75" customHeight="1">
      <c r="B184" s="1"/>
      <c r="C184" s="1"/>
    </row>
    <row r="185" spans="2:3" ht="15.75" customHeight="1">
      <c r="B185" s="1"/>
      <c r="C185" s="1"/>
    </row>
    <row r="186" spans="2:3" ht="15.75" customHeight="1">
      <c r="B186" s="1"/>
      <c r="C186" s="1"/>
    </row>
    <row r="187" spans="2:3" ht="15.75" customHeight="1">
      <c r="B187" s="1"/>
      <c r="C187" s="1"/>
    </row>
    <row r="188" spans="2:3" ht="15.75" customHeight="1">
      <c r="B188" s="1"/>
      <c r="C188" s="1"/>
    </row>
    <row r="189" spans="2:3" ht="15.75" customHeight="1">
      <c r="B189" s="1"/>
      <c r="C189" s="1"/>
    </row>
    <row r="190" spans="2:3" ht="15.75" customHeight="1">
      <c r="B190" s="1"/>
      <c r="C190" s="1"/>
    </row>
    <row r="191" spans="2:3" ht="15.75" customHeight="1">
      <c r="B191" s="1"/>
      <c r="C191" s="1"/>
    </row>
    <row r="192" spans="2:3" ht="15.75" customHeight="1">
      <c r="B192" s="1"/>
      <c r="C192" s="1"/>
    </row>
    <row r="193" spans="2:3" ht="15.75" customHeight="1">
      <c r="B193" s="1"/>
      <c r="C193" s="1"/>
    </row>
    <row r="194" spans="2:3" ht="15.75" customHeight="1">
      <c r="B194" s="1"/>
      <c r="C194" s="1"/>
    </row>
    <row r="195" spans="2:3" ht="15.75" customHeight="1">
      <c r="B195" s="1"/>
      <c r="C195" s="1"/>
    </row>
    <row r="196" spans="2:3" ht="15.75" customHeight="1">
      <c r="B196" s="1"/>
      <c r="C196" s="1"/>
    </row>
    <row r="197" spans="2:3" ht="15.75" customHeight="1">
      <c r="B197" s="1"/>
      <c r="C197" s="1"/>
    </row>
    <row r="198" spans="2:3" ht="15.75" customHeight="1">
      <c r="B198" s="1"/>
      <c r="C198" s="1"/>
    </row>
    <row r="199" spans="2:3" ht="15.75" customHeight="1">
      <c r="B199" s="1"/>
      <c r="C199" s="1"/>
    </row>
    <row r="200" spans="2:3" ht="15.75" customHeight="1">
      <c r="B200" s="1"/>
      <c r="C200" s="1"/>
    </row>
    <row r="201" spans="2:3" ht="15.75" customHeight="1">
      <c r="B201" s="1"/>
      <c r="C201" s="1"/>
    </row>
    <row r="202" spans="2:3" ht="15.75" customHeight="1">
      <c r="B202" s="1"/>
      <c r="C202" s="1"/>
    </row>
    <row r="203" spans="2:3" ht="15.75" customHeight="1">
      <c r="B203" s="1"/>
      <c r="C203" s="1"/>
    </row>
    <row r="204" spans="2:3" ht="15.75" customHeight="1">
      <c r="B204" s="1"/>
      <c r="C204" s="1"/>
    </row>
    <row r="205" spans="2:3" ht="15.75" customHeight="1">
      <c r="B205" s="1"/>
      <c r="C205" s="1"/>
    </row>
    <row r="206" spans="2:3" ht="15.75" customHeight="1">
      <c r="B206" s="1"/>
      <c r="C206" s="1"/>
    </row>
    <row r="207" spans="2:3" ht="15.75" customHeight="1">
      <c r="B207" s="1"/>
      <c r="C207" s="1"/>
    </row>
    <row r="208" spans="2:3" ht="15.75" customHeight="1">
      <c r="B208" s="1"/>
      <c r="C208" s="1"/>
    </row>
    <row r="209" spans="2:3" ht="15.75" customHeight="1">
      <c r="B209" s="1"/>
      <c r="C209" s="1"/>
    </row>
    <row r="210" spans="2:3" ht="15.75" customHeight="1">
      <c r="B210" s="1"/>
      <c r="C210" s="1"/>
    </row>
    <row r="211" spans="2:3" ht="15.75" customHeight="1">
      <c r="B211" s="1"/>
      <c r="C211" s="1"/>
    </row>
    <row r="212" spans="2:3" ht="15.75" customHeight="1">
      <c r="B212" s="1"/>
      <c r="C212" s="1"/>
    </row>
    <row r="213" spans="2:3" ht="15.75" customHeight="1">
      <c r="B213" s="1"/>
      <c r="C213" s="1"/>
    </row>
    <row r="214" spans="2:3" ht="15.75" customHeight="1">
      <c r="B214" s="1"/>
      <c r="C214" s="1"/>
    </row>
    <row r="215" spans="2:3" ht="15.75" customHeight="1">
      <c r="B215" s="1"/>
      <c r="C215" s="1"/>
    </row>
    <row r="216" spans="2:3" ht="15.75" customHeight="1">
      <c r="B216" s="1"/>
      <c r="C216" s="1"/>
    </row>
    <row r="217" spans="2:3" ht="15.75" customHeight="1">
      <c r="B217" s="1"/>
      <c r="C217" s="1"/>
    </row>
    <row r="218" spans="2:3" ht="15.75" customHeight="1">
      <c r="B218" s="1"/>
      <c r="C218" s="1"/>
    </row>
    <row r="219" spans="2:3" ht="15.75" customHeight="1">
      <c r="B219" s="1"/>
      <c r="C219" s="1"/>
    </row>
    <row r="220" spans="2:3" ht="15.75" customHeight="1">
      <c r="B220" s="1"/>
      <c r="C220" s="1"/>
    </row>
    <row r="221" spans="2:3" ht="15.75" customHeight="1">
      <c r="B221" s="1"/>
      <c r="C221" s="1"/>
    </row>
    <row r="222" spans="2:3" ht="15.75" customHeight="1">
      <c r="B222" s="1"/>
      <c r="C222" s="1"/>
    </row>
    <row r="223" spans="2:3" ht="15.75" customHeight="1">
      <c r="B223" s="1"/>
      <c r="C223" s="1"/>
    </row>
    <row r="224" spans="2:3" ht="15.75" customHeight="1">
      <c r="B224" s="1"/>
      <c r="C224" s="1"/>
    </row>
    <row r="225" spans="2:3" ht="15.75" customHeight="1">
      <c r="B225" s="1"/>
      <c r="C225" s="1"/>
    </row>
    <row r="226" spans="2:3" ht="15.75" customHeight="1">
      <c r="B226" s="1"/>
      <c r="C226" s="1"/>
    </row>
    <row r="227" spans="2:3" ht="15.75" customHeight="1">
      <c r="B227" s="1"/>
      <c r="C227" s="1"/>
    </row>
    <row r="228" spans="2:3" ht="15.75" customHeight="1">
      <c r="B228" s="1"/>
      <c r="C228" s="1"/>
    </row>
    <row r="229" spans="2:3" ht="15.75" customHeight="1">
      <c r="B229" s="1"/>
      <c r="C229" s="1"/>
    </row>
    <row r="230" spans="2:3" ht="15.75" customHeight="1">
      <c r="B230" s="1"/>
      <c r="C230" s="1"/>
    </row>
    <row r="231" spans="2:3" ht="15.75" customHeight="1">
      <c r="B231" s="1"/>
      <c r="C231" s="1"/>
    </row>
    <row r="232" spans="2:3" ht="15.75" customHeight="1">
      <c r="B232" s="1"/>
      <c r="C232" s="1"/>
    </row>
    <row r="233" spans="2:3" ht="15.75" customHeight="1">
      <c r="B233" s="1"/>
      <c r="C233" s="1"/>
    </row>
    <row r="234" spans="2:3" ht="15.75" customHeight="1">
      <c r="B234" s="1"/>
      <c r="C234" s="1"/>
    </row>
    <row r="235" spans="2:3" ht="15.75" customHeight="1">
      <c r="B235" s="1"/>
      <c r="C235" s="1"/>
    </row>
    <row r="236" spans="2:3" ht="15.75" customHeight="1">
      <c r="B236" s="1"/>
      <c r="C236" s="1"/>
    </row>
    <row r="237" spans="2:3" ht="15.75" customHeight="1">
      <c r="B237" s="1"/>
      <c r="C237" s="1"/>
    </row>
    <row r="238" spans="2:3" ht="15.75" customHeight="1">
      <c r="B238" s="1"/>
      <c r="C238" s="1"/>
    </row>
    <row r="239" spans="2:3" ht="15.75" customHeight="1">
      <c r="B239" s="1"/>
      <c r="C239" s="1"/>
    </row>
    <row r="240" spans="2:3" ht="15.75" customHeight="1">
      <c r="B240" s="1"/>
      <c r="C240" s="1"/>
    </row>
    <row r="241" spans="2:3" ht="15.75" customHeight="1">
      <c r="B241" s="1"/>
      <c r="C241" s="1"/>
    </row>
    <row r="242" spans="2:3" ht="15.75" customHeight="1">
      <c r="B242" s="1"/>
      <c r="C242" s="1"/>
    </row>
    <row r="243" spans="2:3" ht="15.75" customHeight="1">
      <c r="B243" s="1"/>
      <c r="C243" s="1"/>
    </row>
    <row r="244" spans="2:3" ht="15.75" customHeight="1">
      <c r="B244" s="1"/>
      <c r="C244" s="1"/>
    </row>
    <row r="245" spans="2:3" ht="15.75" customHeight="1">
      <c r="B245" s="1"/>
      <c r="C245" s="1"/>
    </row>
    <row r="246" spans="2:3" ht="15.75" customHeight="1">
      <c r="B246" s="1"/>
      <c r="C246" s="1"/>
    </row>
    <row r="247" spans="2:3" ht="15.75" customHeight="1">
      <c r="B247" s="1"/>
      <c r="C247" s="1"/>
    </row>
    <row r="248" spans="2:3" ht="15.75" customHeight="1">
      <c r="B248" s="1"/>
      <c r="C248" s="1"/>
    </row>
    <row r="249" spans="2:3" ht="15.75" customHeight="1">
      <c r="B249" s="1"/>
      <c r="C249" s="1"/>
    </row>
    <row r="250" spans="2:3" ht="15.75" customHeight="1">
      <c r="B250" s="1"/>
      <c r="C250" s="1"/>
    </row>
    <row r="251" spans="2:3" ht="15.75" customHeight="1">
      <c r="B251" s="1"/>
      <c r="C251" s="1"/>
    </row>
    <row r="252" spans="2:3" ht="15.75" customHeight="1">
      <c r="B252" s="1"/>
      <c r="C252" s="1"/>
    </row>
    <row r="253" spans="2:3" ht="15.75" customHeight="1">
      <c r="B253" s="1"/>
      <c r="C253" s="1"/>
    </row>
    <row r="254" spans="2:3" ht="15.75" customHeight="1">
      <c r="B254" s="1"/>
      <c r="C254" s="1"/>
    </row>
    <row r="255" spans="2:3" ht="15.75" customHeight="1">
      <c r="B255" s="1"/>
      <c r="C255" s="1"/>
    </row>
    <row r="256" spans="2:3" ht="15.75" customHeight="1">
      <c r="B256" s="1"/>
      <c r="C256" s="1"/>
    </row>
    <row r="257" spans="2:3" ht="15.75" customHeight="1">
      <c r="B257" s="1"/>
      <c r="C257" s="1"/>
    </row>
    <row r="258" spans="2:3" ht="15.75" customHeight="1">
      <c r="B258" s="1"/>
      <c r="C258" s="1"/>
    </row>
    <row r="259" spans="2:3" ht="15.75" customHeight="1">
      <c r="B259" s="1"/>
      <c r="C259" s="1"/>
    </row>
    <row r="260" spans="2:3" ht="15.75" customHeight="1">
      <c r="B260" s="1"/>
      <c r="C260" s="1"/>
    </row>
    <row r="261" spans="2:3" ht="15.75" customHeight="1">
      <c r="B261" s="1"/>
      <c r="C261" s="1"/>
    </row>
    <row r="262" spans="2:3" ht="15.75" customHeight="1">
      <c r="B262" s="1"/>
      <c r="C262" s="1"/>
    </row>
    <row r="263" spans="2:3" ht="15.75" customHeight="1">
      <c r="B263" s="1"/>
      <c r="C263" s="1"/>
    </row>
    <row r="264" spans="2:3" ht="15.75" customHeight="1">
      <c r="B264" s="1"/>
      <c r="C264" s="1"/>
    </row>
    <row r="265" spans="2:3" ht="15.75" customHeight="1">
      <c r="B265" s="1"/>
      <c r="C265" s="1"/>
    </row>
    <row r="266" spans="2:3" ht="15.75" customHeight="1">
      <c r="B266" s="1"/>
      <c r="C266" s="1"/>
    </row>
    <row r="267" spans="2:3" ht="15.75" customHeight="1">
      <c r="B267" s="1"/>
      <c r="C267" s="1"/>
    </row>
    <row r="268" spans="2:3" ht="15.75" customHeight="1">
      <c r="B268" s="1"/>
      <c r="C268" s="1"/>
    </row>
    <row r="269" spans="2:3" ht="15.75" customHeight="1">
      <c r="B269" s="1"/>
      <c r="C269" s="1"/>
    </row>
    <row r="270" spans="2:3" ht="15.75" customHeight="1">
      <c r="B270" s="1"/>
      <c r="C270" s="1"/>
    </row>
    <row r="271" spans="2:3" ht="15.75" customHeight="1">
      <c r="B271" s="1"/>
      <c r="C271" s="1"/>
    </row>
    <row r="272" spans="2:3" ht="15.75" customHeight="1">
      <c r="B272" s="1"/>
      <c r="C272" s="1"/>
    </row>
    <row r="273" spans="2:3" ht="15.75" customHeight="1">
      <c r="B273" s="1"/>
      <c r="C273" s="1"/>
    </row>
    <row r="274" spans="2:3" ht="15.75" customHeight="1">
      <c r="B274" s="1"/>
      <c r="C274" s="1"/>
    </row>
    <row r="275" spans="2:3" ht="15.75" customHeight="1">
      <c r="B275" s="1"/>
      <c r="C275" s="1"/>
    </row>
    <row r="276" spans="2:3" ht="15.75" customHeight="1">
      <c r="B276" s="1"/>
      <c r="C276" s="1"/>
    </row>
    <row r="277" spans="2:3" ht="15.75" customHeight="1">
      <c r="B277" s="1"/>
      <c r="C277" s="1"/>
    </row>
    <row r="278" spans="2:3" ht="15.75" customHeight="1">
      <c r="B278" s="1"/>
      <c r="C278" s="1"/>
    </row>
    <row r="279" spans="2:3" ht="15.75" customHeight="1">
      <c r="B279" s="1"/>
      <c r="C279" s="1"/>
    </row>
    <row r="280" spans="2:3" ht="15.75" customHeight="1">
      <c r="B280" s="1"/>
      <c r="C280" s="1"/>
    </row>
    <row r="281" spans="2:3" ht="15.75" customHeight="1">
      <c r="B281" s="1"/>
      <c r="C281" s="1"/>
    </row>
    <row r="282" spans="2:3" ht="15.75" customHeight="1">
      <c r="B282" s="1"/>
      <c r="C282" s="1"/>
    </row>
    <row r="283" spans="2:3" ht="15.75" customHeight="1">
      <c r="B283" s="1"/>
      <c r="C283" s="1"/>
    </row>
    <row r="284" spans="2:3" ht="15.75" customHeight="1">
      <c r="B284" s="1"/>
      <c r="C284" s="1"/>
    </row>
    <row r="285" spans="2:3" ht="15.75" customHeight="1">
      <c r="B285" s="1"/>
      <c r="C285" s="1"/>
    </row>
    <row r="286" spans="2:3" ht="15.75" customHeight="1">
      <c r="B286" s="1"/>
      <c r="C286" s="1"/>
    </row>
    <row r="287" spans="2:3" ht="15.75" customHeight="1">
      <c r="B287" s="1"/>
      <c r="C287" s="1"/>
    </row>
    <row r="288" spans="2:3" ht="15.75" customHeight="1">
      <c r="B288" s="1"/>
      <c r="C288" s="1"/>
    </row>
    <row r="289" spans="2:3" ht="15.75" customHeight="1">
      <c r="B289" s="1"/>
      <c r="C289" s="1"/>
    </row>
    <row r="290" spans="2:3" ht="15.75" customHeight="1">
      <c r="B290" s="1"/>
      <c r="C290" s="1"/>
    </row>
    <row r="291" spans="2:3" ht="15.75" customHeight="1">
      <c r="B291" s="1"/>
      <c r="C291" s="1"/>
    </row>
    <row r="292" spans="2:3" ht="15.75" customHeight="1">
      <c r="B292" s="1"/>
      <c r="C292" s="1"/>
    </row>
    <row r="293" spans="2:3" ht="15.75" customHeight="1">
      <c r="B293" s="1"/>
      <c r="C293" s="1"/>
    </row>
    <row r="294" spans="2:3" ht="15.75" customHeight="1">
      <c r="B294" s="1"/>
      <c r="C294" s="1"/>
    </row>
    <row r="295" spans="2:3" ht="15.75" customHeight="1">
      <c r="B295" s="1"/>
      <c r="C295" s="1"/>
    </row>
    <row r="296" spans="2:3" ht="15.75" customHeight="1">
      <c r="B296" s="1"/>
      <c r="C296" s="1"/>
    </row>
    <row r="297" spans="2:3" ht="15.75" customHeight="1">
      <c r="B297" s="1"/>
      <c r="C297" s="1"/>
    </row>
    <row r="298" spans="2:3" ht="15.75" customHeight="1">
      <c r="B298" s="1"/>
      <c r="C298" s="1"/>
    </row>
    <row r="299" spans="2:3" ht="15.75" customHeight="1">
      <c r="B299" s="1"/>
      <c r="C299" s="1"/>
    </row>
    <row r="300" spans="2:3" ht="15.75" customHeight="1">
      <c r="B300" s="1"/>
      <c r="C300" s="1"/>
    </row>
    <row r="301" spans="2:3" ht="15.75" customHeight="1">
      <c r="B301" s="1"/>
      <c r="C301" s="1"/>
    </row>
    <row r="302" spans="2:3" ht="15.75" customHeight="1">
      <c r="B302" s="1"/>
      <c r="C302" s="1"/>
    </row>
    <row r="303" spans="2:3" ht="15.75" customHeight="1">
      <c r="B303" s="1"/>
      <c r="C303" s="1"/>
    </row>
    <row r="304" spans="2:3" ht="15.75" customHeight="1">
      <c r="B304" s="1"/>
      <c r="C304" s="1"/>
    </row>
    <row r="305" spans="2:3" ht="15.75" customHeight="1">
      <c r="B305" s="1"/>
      <c r="C305" s="1"/>
    </row>
    <row r="306" spans="2:3" ht="15.75" customHeight="1">
      <c r="B306" s="1"/>
      <c r="C306" s="1"/>
    </row>
    <row r="307" spans="2:3" ht="15.75" customHeight="1">
      <c r="B307" s="1"/>
      <c r="C307" s="1"/>
    </row>
    <row r="308" spans="2:3" ht="15.75" customHeight="1">
      <c r="B308" s="1"/>
      <c r="C308" s="1"/>
    </row>
    <row r="309" spans="2:3" ht="15.75" customHeight="1">
      <c r="B309" s="1"/>
      <c r="C309" s="1"/>
    </row>
    <row r="310" spans="2:3" ht="15.75" customHeight="1">
      <c r="B310" s="1"/>
      <c r="C310" s="1"/>
    </row>
    <row r="311" spans="2:3" ht="15.75" customHeight="1">
      <c r="B311" s="1"/>
      <c r="C311" s="1"/>
    </row>
    <row r="312" spans="2:3" ht="15.75" customHeight="1">
      <c r="B312" s="1"/>
      <c r="C312" s="1"/>
    </row>
    <row r="313" spans="2:3" ht="15.75" customHeight="1">
      <c r="B313" s="1"/>
      <c r="C313" s="1"/>
    </row>
    <row r="314" spans="2:3" ht="15.75" customHeight="1">
      <c r="B314" s="1"/>
      <c r="C314" s="1"/>
    </row>
    <row r="315" spans="2:3" ht="15.75" customHeight="1">
      <c r="B315" s="1"/>
      <c r="C315" s="1"/>
    </row>
    <row r="316" spans="2:3" ht="15.75" customHeight="1">
      <c r="B316" s="1"/>
      <c r="C316" s="1"/>
    </row>
    <row r="317" spans="2:3" ht="15.75" customHeight="1">
      <c r="B317" s="1"/>
      <c r="C317" s="1"/>
    </row>
    <row r="318" spans="2:3" ht="15.75" customHeight="1">
      <c r="B318" s="1"/>
      <c r="C318" s="1"/>
    </row>
    <row r="319" spans="2:3" ht="15.75" customHeight="1">
      <c r="B319" s="1"/>
      <c r="C319" s="1"/>
    </row>
    <row r="320" spans="2:3" ht="15.75" customHeight="1">
      <c r="B320" s="1"/>
      <c r="C320" s="1"/>
    </row>
    <row r="321" spans="2:3" ht="15.75" customHeight="1">
      <c r="B321" s="1"/>
      <c r="C321" s="1"/>
    </row>
    <row r="322" spans="2:3" ht="15.75" customHeight="1">
      <c r="B322" s="1"/>
      <c r="C322" s="1"/>
    </row>
    <row r="323" spans="2:3" ht="15.75" customHeight="1">
      <c r="B323" s="1"/>
      <c r="C323" s="1"/>
    </row>
    <row r="324" spans="2:3" ht="15.75" customHeight="1">
      <c r="B324" s="1"/>
      <c r="C324" s="1"/>
    </row>
    <row r="325" spans="2:3" ht="15.75" customHeight="1">
      <c r="B325" s="1"/>
      <c r="C325" s="1"/>
    </row>
    <row r="326" spans="2:3" ht="15.75" customHeight="1">
      <c r="B326" s="1"/>
      <c r="C326" s="1"/>
    </row>
    <row r="327" spans="2:3" ht="15.75" customHeight="1">
      <c r="B327" s="1"/>
      <c r="C327" s="1"/>
    </row>
    <row r="328" spans="2:3" ht="15.75" customHeight="1">
      <c r="B328" s="1"/>
      <c r="C328" s="1"/>
    </row>
    <row r="329" spans="2:3" ht="15.75" customHeight="1">
      <c r="B329" s="1"/>
      <c r="C329" s="1"/>
    </row>
    <row r="330" spans="2:3" ht="15.75" customHeight="1">
      <c r="B330" s="1"/>
      <c r="C330" s="1"/>
    </row>
    <row r="331" spans="2:3" ht="15.75" customHeight="1">
      <c r="B331" s="1"/>
      <c r="C331" s="1"/>
    </row>
    <row r="332" spans="2:3" ht="15.75" customHeight="1">
      <c r="B332" s="1"/>
      <c r="C332" s="1"/>
    </row>
    <row r="333" spans="2:3" ht="15.75" customHeight="1">
      <c r="B333" s="1"/>
      <c r="C333" s="1"/>
    </row>
    <row r="334" spans="2:3" ht="15.75" customHeight="1">
      <c r="B334" s="1"/>
      <c r="C334" s="1"/>
    </row>
    <row r="335" spans="2:3" ht="15.75" customHeight="1">
      <c r="B335" s="1"/>
      <c r="C335" s="1"/>
    </row>
    <row r="336" spans="2:3" ht="15.75" customHeight="1">
      <c r="B336" s="1"/>
      <c r="C336" s="1"/>
    </row>
    <row r="337" spans="2:3" ht="15.75" customHeight="1">
      <c r="B337" s="1"/>
      <c r="C337" s="1"/>
    </row>
    <row r="338" spans="2:3" ht="15.75" customHeight="1">
      <c r="B338" s="1"/>
      <c r="C338" s="1"/>
    </row>
    <row r="339" spans="2:3" ht="15.75" customHeight="1">
      <c r="B339" s="1"/>
      <c r="C339" s="1"/>
    </row>
    <row r="340" spans="2:3" ht="15.75" customHeight="1">
      <c r="B340" s="1"/>
      <c r="C340" s="1"/>
    </row>
    <row r="341" spans="2:3" ht="15.75" customHeight="1">
      <c r="B341" s="1"/>
      <c r="C341" s="1"/>
    </row>
    <row r="342" spans="2:3" ht="15.75" customHeight="1">
      <c r="B342" s="1"/>
      <c r="C342" s="1"/>
    </row>
    <row r="343" spans="2:3" ht="15.75" customHeight="1">
      <c r="B343" s="1"/>
      <c r="C343" s="1"/>
    </row>
    <row r="344" spans="2:3" ht="15.75" customHeight="1">
      <c r="B344" s="1"/>
      <c r="C344" s="1"/>
    </row>
    <row r="345" spans="2:3" ht="15.75" customHeight="1">
      <c r="B345" s="1"/>
      <c r="C345" s="1"/>
    </row>
    <row r="346" spans="2:3" ht="15.75" customHeight="1">
      <c r="B346" s="1"/>
      <c r="C346" s="1"/>
    </row>
    <row r="347" spans="2:3" ht="15.75" customHeight="1">
      <c r="B347" s="1"/>
      <c r="C347" s="1"/>
    </row>
    <row r="348" spans="2:3" ht="15.75" customHeight="1">
      <c r="B348" s="1"/>
      <c r="C348" s="1"/>
    </row>
    <row r="349" spans="2:3" ht="15.75" customHeight="1">
      <c r="B349" s="1"/>
      <c r="C349" s="1"/>
    </row>
    <row r="350" spans="2:3" ht="15.75" customHeight="1">
      <c r="B350" s="1"/>
      <c r="C350" s="1"/>
    </row>
    <row r="351" spans="2:3" ht="15.75" customHeight="1">
      <c r="B351" s="1"/>
      <c r="C351" s="1"/>
    </row>
    <row r="352" spans="2:3" ht="15.75" customHeight="1">
      <c r="B352" s="1"/>
      <c r="C352" s="1"/>
    </row>
    <row r="353" spans="2:3" ht="15.75" customHeight="1">
      <c r="B353" s="1"/>
      <c r="C353" s="1"/>
    </row>
    <row r="354" spans="2:3" ht="15.75" customHeight="1">
      <c r="B354" s="1"/>
      <c r="C354" s="1"/>
    </row>
    <row r="355" spans="2:3" ht="15.75" customHeight="1">
      <c r="B355" s="1"/>
      <c r="C355" s="1"/>
    </row>
    <row r="356" spans="2:3" ht="15.75" customHeight="1">
      <c r="B356" s="1"/>
      <c r="C356" s="1"/>
    </row>
    <row r="357" spans="2:3" ht="15.75" customHeight="1">
      <c r="B357" s="1"/>
      <c r="C357" s="1"/>
    </row>
    <row r="358" spans="2:3" ht="15.75" customHeight="1">
      <c r="B358" s="1"/>
      <c r="C358" s="1"/>
    </row>
    <row r="359" spans="2:3" ht="15.75" customHeight="1">
      <c r="B359" s="1"/>
      <c r="C359" s="1"/>
    </row>
    <row r="360" spans="2:3" ht="15.75" customHeight="1">
      <c r="B360" s="1"/>
      <c r="C360" s="1"/>
    </row>
    <row r="361" spans="2:3" ht="15.75" customHeight="1">
      <c r="B361" s="1"/>
      <c r="C361" s="1"/>
    </row>
    <row r="362" spans="2:3" ht="15.75" customHeight="1">
      <c r="B362" s="1"/>
      <c r="C362" s="1"/>
    </row>
    <row r="363" spans="2:3" ht="15.75" customHeight="1">
      <c r="B363" s="1"/>
      <c r="C363" s="1"/>
    </row>
    <row r="364" spans="2:3" ht="15.75" customHeight="1">
      <c r="B364" s="1"/>
      <c r="C364" s="1"/>
    </row>
    <row r="365" spans="2:3" ht="15.75" customHeight="1">
      <c r="B365" s="1"/>
      <c r="C365" s="1"/>
    </row>
    <row r="366" spans="2:3" ht="15.75" customHeight="1">
      <c r="B366" s="1"/>
      <c r="C366" s="1"/>
    </row>
    <row r="367" spans="2:3" ht="15.75" customHeight="1">
      <c r="B367" s="1"/>
      <c r="C367" s="1"/>
    </row>
    <row r="368" spans="2:3" ht="15.75" customHeight="1">
      <c r="B368" s="1"/>
      <c r="C368" s="1"/>
    </row>
    <row r="369" spans="2:3" ht="15.75" customHeight="1">
      <c r="B369" s="1"/>
      <c r="C369" s="1"/>
    </row>
    <row r="370" spans="2:3" ht="15.75" customHeight="1">
      <c r="B370" s="1"/>
      <c r="C370" s="1"/>
    </row>
    <row r="371" spans="2:3" ht="15.75" customHeight="1">
      <c r="B371" s="1"/>
      <c r="C371" s="1"/>
    </row>
    <row r="372" spans="2:3" ht="15.75" customHeight="1">
      <c r="B372" s="1"/>
      <c r="C372" s="1"/>
    </row>
    <row r="373" spans="2:3" ht="15.75" customHeight="1">
      <c r="B373" s="1"/>
      <c r="C373" s="1"/>
    </row>
    <row r="374" spans="2:3" ht="15.75" customHeight="1">
      <c r="B374" s="1"/>
      <c r="C374" s="1"/>
    </row>
    <row r="375" spans="2:3" ht="15.75" customHeight="1">
      <c r="B375" s="1"/>
      <c r="C375" s="1"/>
    </row>
    <row r="376" spans="2:3" ht="15.75" customHeight="1">
      <c r="B376" s="1"/>
      <c r="C376" s="1"/>
    </row>
    <row r="377" spans="2:3" ht="15.75" customHeight="1">
      <c r="B377" s="1"/>
      <c r="C377" s="1"/>
    </row>
    <row r="378" spans="2:3" ht="15.75" customHeight="1">
      <c r="B378" s="1"/>
      <c r="C378" s="1"/>
    </row>
    <row r="379" spans="2:3" ht="15.75" customHeight="1">
      <c r="B379" s="1"/>
      <c r="C379" s="1"/>
    </row>
    <row r="380" spans="2:3" ht="15.75" customHeight="1">
      <c r="B380" s="1"/>
      <c r="C380" s="1"/>
    </row>
    <row r="381" spans="2:3" ht="15.75" customHeight="1">
      <c r="B381" s="1"/>
      <c r="C381" s="1"/>
    </row>
    <row r="382" spans="2:3" ht="15.75" customHeight="1">
      <c r="B382" s="1"/>
      <c r="C382" s="1"/>
    </row>
    <row r="383" spans="2:3" ht="15.75" customHeight="1">
      <c r="B383" s="1"/>
      <c r="C383" s="1"/>
    </row>
    <row r="384" spans="2:3" ht="15.75" customHeight="1">
      <c r="B384" s="1"/>
      <c r="C384" s="1"/>
    </row>
    <row r="385" spans="2:3" ht="15.75" customHeight="1">
      <c r="B385" s="1"/>
      <c r="C385" s="1"/>
    </row>
    <row r="386" spans="2:3" ht="15.75" customHeight="1">
      <c r="B386" s="1"/>
      <c r="C386" s="1"/>
    </row>
    <row r="387" spans="2:3" ht="15.75" customHeight="1">
      <c r="B387" s="1"/>
      <c r="C387" s="1"/>
    </row>
    <row r="388" spans="2:3" ht="15.75" customHeight="1">
      <c r="B388" s="1"/>
      <c r="C388" s="1"/>
    </row>
    <row r="389" spans="2:3" ht="15.75" customHeight="1">
      <c r="B389" s="1"/>
      <c r="C389" s="1"/>
    </row>
    <row r="390" spans="2:3" ht="15.75" customHeight="1">
      <c r="B390" s="1"/>
      <c r="C390" s="1"/>
    </row>
    <row r="391" spans="2:3" ht="15.75" customHeight="1">
      <c r="B391" s="1"/>
      <c r="C391" s="1"/>
    </row>
    <row r="392" spans="2:3" ht="15.75" customHeight="1">
      <c r="B392" s="1"/>
      <c r="C392" s="1"/>
    </row>
    <row r="393" spans="2:3" ht="15.75" customHeight="1">
      <c r="B393" s="1"/>
      <c r="C393" s="1"/>
    </row>
    <row r="394" spans="2:3" ht="15.75" customHeight="1">
      <c r="B394" s="1"/>
      <c r="C394" s="1"/>
    </row>
    <row r="395" spans="2:3" ht="15.75" customHeight="1">
      <c r="B395" s="1"/>
      <c r="C395" s="1"/>
    </row>
    <row r="396" spans="2:3" ht="15.75" customHeight="1">
      <c r="B396" s="1"/>
      <c r="C396" s="1"/>
    </row>
    <row r="397" spans="2:3" ht="15.75" customHeight="1">
      <c r="B397" s="1"/>
      <c r="C397" s="1"/>
    </row>
    <row r="398" spans="2:3" ht="15.75" customHeight="1">
      <c r="B398" s="1"/>
      <c r="C398" s="1"/>
    </row>
    <row r="399" spans="2:3" ht="15.75" customHeight="1">
      <c r="B399" s="1"/>
      <c r="C399" s="1"/>
    </row>
    <row r="400" spans="2:3" ht="15.75" customHeight="1">
      <c r="B400" s="1"/>
      <c r="C400" s="1"/>
    </row>
    <row r="401" spans="2:3" ht="15.75" customHeight="1">
      <c r="B401" s="1"/>
      <c r="C401" s="1"/>
    </row>
    <row r="402" spans="2:3" ht="15.75" customHeight="1">
      <c r="B402" s="1"/>
      <c r="C402" s="1"/>
    </row>
    <row r="403" spans="2:3" ht="15.75" customHeight="1">
      <c r="B403" s="1"/>
      <c r="C403" s="1"/>
    </row>
    <row r="404" spans="2:3" ht="15.75" customHeight="1">
      <c r="B404" s="1"/>
      <c r="C404" s="1"/>
    </row>
    <row r="405" spans="2:3" ht="15.75" customHeight="1">
      <c r="B405" s="1"/>
      <c r="C405" s="1"/>
    </row>
    <row r="406" spans="2:3" ht="15.75" customHeight="1">
      <c r="B406" s="1"/>
      <c r="C406" s="1"/>
    </row>
    <row r="407" spans="2:3" ht="15.75" customHeight="1">
      <c r="B407" s="1"/>
      <c r="C407" s="1"/>
    </row>
    <row r="408" spans="2:3" ht="15.75" customHeight="1">
      <c r="B408" s="1"/>
      <c r="C408" s="1"/>
    </row>
    <row r="409" spans="2:3" ht="15.75" customHeight="1">
      <c r="B409" s="1"/>
      <c r="C409" s="1"/>
    </row>
    <row r="410" spans="2:3" ht="15.75" customHeight="1">
      <c r="B410" s="1"/>
      <c r="C410" s="1"/>
    </row>
    <row r="411" spans="2:3" ht="15.75" customHeight="1">
      <c r="B411" s="1"/>
      <c r="C411" s="1"/>
    </row>
    <row r="412" spans="2:3" ht="15.75" customHeight="1">
      <c r="B412" s="1"/>
      <c r="C412" s="1"/>
    </row>
    <row r="413" spans="2:3" ht="15.75" customHeight="1">
      <c r="B413" s="1"/>
      <c r="C413" s="1"/>
    </row>
    <row r="414" spans="2:3" ht="15.75" customHeight="1">
      <c r="B414" s="1"/>
      <c r="C414" s="1"/>
    </row>
    <row r="415" spans="2:3" ht="15.75" customHeight="1">
      <c r="B415" s="1"/>
      <c r="C415" s="1"/>
    </row>
    <row r="416" spans="2:3" ht="15.75" customHeight="1">
      <c r="B416" s="1"/>
      <c r="C416" s="1"/>
    </row>
    <row r="417" spans="2:3" ht="15.75" customHeight="1">
      <c r="B417" s="1"/>
      <c r="C417" s="1"/>
    </row>
    <row r="418" spans="2:3" ht="15.75" customHeight="1">
      <c r="B418" s="1"/>
      <c r="C418" s="1"/>
    </row>
    <row r="419" spans="2:3" ht="15.75" customHeight="1">
      <c r="B419" s="1"/>
      <c r="C419" s="1"/>
    </row>
    <row r="420" spans="2:3" ht="15.75" customHeight="1">
      <c r="B420" s="1"/>
      <c r="C420" s="1"/>
    </row>
    <row r="421" spans="2:3" ht="15.75" customHeight="1">
      <c r="B421" s="1"/>
      <c r="C421" s="1"/>
    </row>
    <row r="422" spans="2:3" ht="15.75" customHeight="1">
      <c r="B422" s="1"/>
      <c r="C422" s="1"/>
    </row>
    <row r="423" spans="2:3" ht="15.75" customHeight="1">
      <c r="B423" s="1"/>
      <c r="C423" s="1"/>
    </row>
    <row r="424" spans="2:3" ht="15.75" customHeight="1">
      <c r="B424" s="1"/>
      <c r="C424" s="1"/>
    </row>
    <row r="425" spans="2:3" ht="15.75" customHeight="1">
      <c r="B425" s="1"/>
      <c r="C425" s="1"/>
    </row>
    <row r="426" spans="2:3" ht="15.75" customHeight="1">
      <c r="B426" s="1"/>
      <c r="C426" s="1"/>
    </row>
    <row r="427" spans="2:3" ht="15.75" customHeight="1">
      <c r="B427" s="1"/>
      <c r="C427" s="1"/>
    </row>
    <row r="428" spans="2:3" ht="15.75" customHeight="1">
      <c r="B428" s="1"/>
      <c r="C428" s="1"/>
    </row>
    <row r="429" spans="2:3" ht="15.75" customHeight="1">
      <c r="B429" s="1"/>
      <c r="C429" s="1"/>
    </row>
    <row r="430" spans="2:3" ht="15.75" customHeight="1">
      <c r="B430" s="1"/>
      <c r="C430" s="1"/>
    </row>
    <row r="431" spans="2:3" ht="15.75" customHeight="1">
      <c r="B431" s="1"/>
      <c r="C431" s="1"/>
    </row>
    <row r="432" spans="2:3" ht="15.75" customHeight="1">
      <c r="B432" s="1"/>
      <c r="C432" s="1"/>
    </row>
    <row r="433" spans="2:3" ht="15.75" customHeight="1">
      <c r="B433" s="1"/>
      <c r="C433" s="1"/>
    </row>
    <row r="434" spans="2:3" ht="15.75" customHeight="1">
      <c r="B434" s="1"/>
      <c r="C434" s="1"/>
    </row>
    <row r="435" spans="2:3" ht="15.75" customHeight="1">
      <c r="B435" s="1"/>
      <c r="C435" s="1"/>
    </row>
    <row r="436" spans="2:3" ht="15.75" customHeight="1">
      <c r="B436" s="1"/>
      <c r="C436" s="1"/>
    </row>
    <row r="437" spans="2:3" ht="15.75" customHeight="1">
      <c r="B437" s="1"/>
      <c r="C437" s="1"/>
    </row>
    <row r="438" spans="2:3" ht="15.75" customHeight="1">
      <c r="B438" s="1"/>
      <c r="C438" s="1"/>
    </row>
    <row r="439" spans="2:3" ht="15.75" customHeight="1">
      <c r="B439" s="1"/>
      <c r="C439" s="1"/>
    </row>
    <row r="440" spans="2:3" ht="15.75" customHeight="1">
      <c r="B440" s="1"/>
      <c r="C440" s="1"/>
    </row>
    <row r="441" spans="2:3" ht="15.75" customHeight="1">
      <c r="B441" s="1"/>
      <c r="C441" s="1"/>
    </row>
    <row r="442" spans="2:3" ht="15.75" customHeight="1">
      <c r="B442" s="1"/>
      <c r="C442" s="1"/>
    </row>
    <row r="443" spans="2:3" ht="15.75" customHeight="1">
      <c r="B443" s="1"/>
      <c r="C443" s="1"/>
    </row>
    <row r="444" spans="2:3" ht="15.75" customHeight="1">
      <c r="B444" s="1"/>
      <c r="C444" s="1"/>
    </row>
    <row r="445" spans="2:3" ht="15.75" customHeight="1">
      <c r="B445" s="1"/>
      <c r="C445" s="1"/>
    </row>
    <row r="446" spans="2:3" ht="15.75" customHeight="1">
      <c r="B446" s="1"/>
      <c r="C446" s="1"/>
    </row>
    <row r="447" spans="2:3" ht="15.75" customHeight="1">
      <c r="B447" s="1"/>
      <c r="C447" s="1"/>
    </row>
    <row r="448" spans="2:3" ht="15.75" customHeight="1">
      <c r="B448" s="1"/>
      <c r="C448" s="1"/>
    </row>
    <row r="449" spans="2:3" ht="15.75" customHeight="1">
      <c r="B449" s="1"/>
      <c r="C449" s="1"/>
    </row>
    <row r="450" spans="2:3" ht="15.75" customHeight="1">
      <c r="B450" s="1"/>
      <c r="C450" s="1"/>
    </row>
    <row r="451" spans="2:3" ht="15.75" customHeight="1">
      <c r="B451" s="1"/>
      <c r="C451" s="1"/>
    </row>
    <row r="452" spans="2:3" ht="15.75" customHeight="1">
      <c r="B452" s="1"/>
      <c r="C452" s="1"/>
    </row>
    <row r="453" spans="2:3" ht="15.75" customHeight="1">
      <c r="B453" s="1"/>
      <c r="C453" s="1"/>
    </row>
    <row r="454" spans="2:3" ht="15.75" customHeight="1">
      <c r="B454" s="1"/>
      <c r="C454" s="1"/>
    </row>
    <row r="455" spans="2:3" ht="15.75" customHeight="1">
      <c r="B455" s="1"/>
      <c r="C455" s="1"/>
    </row>
    <row r="456" spans="2:3" ht="15.75" customHeight="1">
      <c r="B456" s="1"/>
      <c r="C456" s="1"/>
    </row>
    <row r="457" spans="2:3" ht="15.75" customHeight="1">
      <c r="B457" s="1"/>
      <c r="C457" s="1"/>
    </row>
    <row r="458" spans="2:3" ht="15.75" customHeight="1">
      <c r="B458" s="1"/>
      <c r="C458" s="1"/>
    </row>
    <row r="459" spans="2:3" ht="15.75" customHeight="1">
      <c r="B459" s="1"/>
      <c r="C459" s="1"/>
    </row>
    <row r="460" spans="2:3" ht="15.75" customHeight="1">
      <c r="B460" s="1"/>
      <c r="C460" s="1"/>
    </row>
    <row r="461" spans="2:3" ht="15.75" customHeight="1">
      <c r="B461" s="1"/>
      <c r="C461" s="1"/>
    </row>
    <row r="462" spans="2:3" ht="15.75" customHeight="1">
      <c r="B462" s="1"/>
      <c r="C462" s="1"/>
    </row>
    <row r="463" spans="2:3" ht="15.75" customHeight="1">
      <c r="B463" s="1"/>
      <c r="C463" s="1"/>
    </row>
    <row r="464" spans="2:3" ht="15.75" customHeight="1">
      <c r="B464" s="1"/>
      <c r="C464" s="1"/>
    </row>
    <row r="465" spans="2:3" ht="15.75" customHeight="1">
      <c r="B465" s="1"/>
      <c r="C465" s="1"/>
    </row>
    <row r="466" spans="2:3" ht="15.75" customHeight="1">
      <c r="B466" s="1"/>
      <c r="C466" s="1"/>
    </row>
    <row r="467" spans="2:3" ht="15.75" customHeight="1">
      <c r="B467" s="1"/>
      <c r="C467" s="1"/>
    </row>
    <row r="468" spans="2:3" ht="15.75" customHeight="1">
      <c r="B468" s="1"/>
      <c r="C468" s="1"/>
    </row>
    <row r="469" spans="2:3" ht="15.75" customHeight="1">
      <c r="B469" s="1"/>
      <c r="C469" s="1"/>
    </row>
    <row r="470" spans="2:3" ht="15.75" customHeight="1">
      <c r="B470" s="1"/>
      <c r="C470" s="1"/>
    </row>
    <row r="471" spans="2:3" ht="15.75" customHeight="1">
      <c r="B471" s="1"/>
      <c r="C471" s="1"/>
    </row>
    <row r="472" spans="2:3" ht="15.75" customHeight="1">
      <c r="B472" s="1"/>
      <c r="C472" s="1"/>
    </row>
    <row r="473" spans="2:3" ht="15.75" customHeight="1">
      <c r="B473" s="1"/>
      <c r="C473" s="1"/>
    </row>
    <row r="474" spans="2:3" ht="15.75" customHeight="1">
      <c r="B474" s="1"/>
      <c r="C474" s="1"/>
    </row>
    <row r="475" spans="2:3" ht="15.75" customHeight="1">
      <c r="B475" s="1"/>
      <c r="C475" s="1"/>
    </row>
    <row r="476" spans="2:3" ht="15.75" customHeight="1">
      <c r="B476" s="1"/>
      <c r="C476" s="1"/>
    </row>
    <row r="477" spans="2:3" ht="15.75" customHeight="1">
      <c r="B477" s="1"/>
      <c r="C477" s="1"/>
    </row>
    <row r="478" spans="2:3" ht="15.75" customHeight="1">
      <c r="B478" s="1"/>
      <c r="C478" s="1"/>
    </row>
    <row r="479" spans="2:3" ht="15.75" customHeight="1">
      <c r="B479" s="1"/>
      <c r="C479" s="1"/>
    </row>
    <row r="480" spans="2:3" ht="15.75" customHeight="1">
      <c r="B480" s="1"/>
      <c r="C480" s="1"/>
    </row>
    <row r="481" spans="2:3" ht="15.75" customHeight="1">
      <c r="B481" s="1"/>
      <c r="C481" s="1"/>
    </row>
    <row r="482" spans="2:3" ht="15.75" customHeight="1">
      <c r="B482" s="1"/>
      <c r="C482" s="1"/>
    </row>
    <row r="483" spans="2:3" ht="15.75" customHeight="1">
      <c r="B483" s="1"/>
      <c r="C483" s="1"/>
    </row>
    <row r="484" spans="2:3" ht="15.75" customHeight="1">
      <c r="B484" s="1"/>
      <c r="C484" s="1"/>
    </row>
    <row r="485" spans="2:3" ht="15.75" customHeight="1">
      <c r="B485" s="1"/>
      <c r="C485" s="1"/>
    </row>
    <row r="486" spans="2:3" ht="15.75" customHeight="1">
      <c r="B486" s="1"/>
      <c r="C486" s="1"/>
    </row>
    <row r="487" spans="2:3" ht="15.75" customHeight="1">
      <c r="B487" s="1"/>
      <c r="C487" s="1"/>
    </row>
    <row r="488" spans="2:3" ht="15.75" customHeight="1">
      <c r="B488" s="1"/>
      <c r="C488" s="1"/>
    </row>
    <row r="489" spans="2:3" ht="15.75" customHeight="1">
      <c r="B489" s="1"/>
      <c r="C489" s="1"/>
    </row>
    <row r="490" spans="2:3" ht="15.75" customHeight="1">
      <c r="B490" s="1"/>
      <c r="C490" s="1"/>
    </row>
    <row r="491" spans="2:3" ht="15.75" customHeight="1">
      <c r="B491" s="1"/>
      <c r="C491" s="1"/>
    </row>
    <row r="492" spans="2:3" ht="15.75" customHeight="1">
      <c r="B492" s="1"/>
      <c r="C492" s="1"/>
    </row>
    <row r="493" spans="2:3" ht="15.75" customHeight="1">
      <c r="B493" s="1"/>
      <c r="C493" s="1"/>
    </row>
    <row r="494" spans="2:3" ht="15.75" customHeight="1">
      <c r="B494" s="1"/>
      <c r="C494" s="1"/>
    </row>
    <row r="495" spans="2:3" ht="15.75" customHeight="1">
      <c r="B495" s="1"/>
      <c r="C495" s="1"/>
    </row>
    <row r="496" spans="2:3" ht="15.75" customHeight="1">
      <c r="B496" s="1"/>
      <c r="C496" s="1"/>
    </row>
    <row r="497" spans="2:3" ht="15.75" customHeight="1">
      <c r="B497" s="1"/>
      <c r="C497" s="1"/>
    </row>
    <row r="498" spans="2:3" ht="15.75" customHeight="1">
      <c r="B498" s="1"/>
      <c r="C498" s="1"/>
    </row>
    <row r="499" spans="2:3" ht="15.75" customHeight="1">
      <c r="B499" s="1"/>
      <c r="C499" s="1"/>
    </row>
    <row r="500" spans="2:3" ht="15.75" customHeight="1">
      <c r="B500" s="1"/>
      <c r="C500" s="1"/>
    </row>
    <row r="501" spans="2:3" ht="15.75" customHeight="1">
      <c r="B501" s="1"/>
      <c r="C501" s="1"/>
    </row>
    <row r="502" spans="2:3" ht="15.75" customHeight="1">
      <c r="B502" s="1"/>
      <c r="C502" s="1"/>
    </row>
    <row r="503" spans="2:3" ht="15.75" customHeight="1">
      <c r="B503" s="1"/>
      <c r="C503" s="1"/>
    </row>
    <row r="504" spans="2:3" ht="15.75" customHeight="1">
      <c r="B504" s="1"/>
      <c r="C504" s="1"/>
    </row>
    <row r="505" spans="2:3" ht="15.75" customHeight="1">
      <c r="B505" s="1"/>
      <c r="C505" s="1"/>
    </row>
    <row r="506" spans="2:3" ht="15.75" customHeight="1">
      <c r="B506" s="1"/>
      <c r="C506" s="1"/>
    </row>
    <row r="507" spans="2:3" ht="15.75" customHeight="1">
      <c r="B507" s="1"/>
      <c r="C507" s="1"/>
    </row>
    <row r="508" spans="2:3" ht="15.75" customHeight="1">
      <c r="B508" s="1"/>
      <c r="C508" s="1"/>
    </row>
    <row r="509" spans="2:3" ht="15.75" customHeight="1">
      <c r="B509" s="1"/>
      <c r="C509" s="1"/>
    </row>
    <row r="510" spans="2:3" ht="15.75" customHeight="1">
      <c r="B510" s="1"/>
      <c r="C510" s="1"/>
    </row>
    <row r="511" spans="2:3" ht="15.75" customHeight="1">
      <c r="B511" s="1"/>
      <c r="C511" s="1"/>
    </row>
    <row r="512" spans="2:3" ht="15.75" customHeight="1">
      <c r="B512" s="1"/>
      <c r="C512" s="1"/>
    </row>
    <row r="513" spans="2:3" ht="15.75" customHeight="1">
      <c r="B513" s="1"/>
      <c r="C513" s="1"/>
    </row>
    <row r="514" spans="2:3" ht="15.75" customHeight="1">
      <c r="B514" s="1"/>
      <c r="C514" s="1"/>
    </row>
    <row r="515" spans="2:3" ht="15.75" customHeight="1">
      <c r="B515" s="1"/>
      <c r="C515" s="1"/>
    </row>
    <row r="516" spans="2:3" ht="15.75" customHeight="1">
      <c r="B516" s="1"/>
      <c r="C516" s="1"/>
    </row>
    <row r="517" spans="2:3" ht="15.75" customHeight="1">
      <c r="B517" s="1"/>
      <c r="C517" s="1"/>
    </row>
    <row r="518" spans="2:3" ht="15.75" customHeight="1">
      <c r="B518" s="1"/>
      <c r="C518" s="1"/>
    </row>
    <row r="519" spans="2:3" ht="15.75" customHeight="1">
      <c r="B519" s="1"/>
      <c r="C519" s="1"/>
    </row>
    <row r="520" spans="2:3" ht="15.75" customHeight="1">
      <c r="B520" s="1"/>
      <c r="C520" s="1"/>
    </row>
    <row r="521" spans="2:3" ht="15.75" customHeight="1">
      <c r="B521" s="1"/>
      <c r="C521" s="1"/>
    </row>
    <row r="522" spans="2:3" ht="15.75" customHeight="1">
      <c r="B522" s="1"/>
      <c r="C522" s="1"/>
    </row>
    <row r="523" spans="2:3" ht="15.75" customHeight="1">
      <c r="B523" s="1"/>
      <c r="C523" s="1"/>
    </row>
    <row r="524" spans="2:3" ht="15.75" customHeight="1">
      <c r="B524" s="1"/>
      <c r="C524" s="1"/>
    </row>
    <row r="525" spans="2:3" ht="15.75" customHeight="1">
      <c r="B525" s="1"/>
      <c r="C525" s="1"/>
    </row>
    <row r="526" spans="2:3" ht="15.75" customHeight="1">
      <c r="B526" s="1"/>
      <c r="C526" s="1"/>
    </row>
    <row r="527" spans="2:3" ht="15.75" customHeight="1">
      <c r="B527" s="1"/>
      <c r="C527" s="1"/>
    </row>
    <row r="528" spans="2:3" ht="15.75" customHeight="1">
      <c r="B528" s="1"/>
      <c r="C528" s="1"/>
    </row>
    <row r="529" spans="2:3" ht="15.75" customHeight="1">
      <c r="B529" s="1"/>
      <c r="C529" s="1"/>
    </row>
    <row r="530" spans="2:3" ht="15.75" customHeight="1">
      <c r="B530" s="1"/>
      <c r="C530" s="1"/>
    </row>
    <row r="531" spans="2:3" ht="15.75" customHeight="1">
      <c r="B531" s="1"/>
      <c r="C531" s="1"/>
    </row>
    <row r="532" spans="2:3" ht="15.75" customHeight="1">
      <c r="B532" s="1"/>
      <c r="C532" s="1"/>
    </row>
    <row r="533" spans="2:3" ht="15.75" customHeight="1">
      <c r="B533" s="1"/>
      <c r="C533" s="1"/>
    </row>
    <row r="534" spans="2:3" ht="15.75" customHeight="1">
      <c r="B534" s="1"/>
      <c r="C534" s="1"/>
    </row>
    <row r="535" spans="2:3" ht="15.75" customHeight="1">
      <c r="B535" s="1"/>
      <c r="C535" s="1"/>
    </row>
    <row r="536" spans="2:3" ht="15.75" customHeight="1">
      <c r="B536" s="1"/>
      <c r="C536" s="1"/>
    </row>
    <row r="537" spans="2:3" ht="15.75" customHeight="1">
      <c r="B537" s="1"/>
      <c r="C537" s="1"/>
    </row>
    <row r="538" spans="2:3" ht="15.75" customHeight="1">
      <c r="B538" s="1"/>
      <c r="C538" s="1"/>
    </row>
    <row r="539" spans="2:3" ht="15.75" customHeight="1">
      <c r="B539" s="1"/>
      <c r="C539" s="1"/>
    </row>
    <row r="540" spans="2:3" ht="15.75" customHeight="1">
      <c r="B540" s="1"/>
      <c r="C540" s="1"/>
    </row>
    <row r="541" spans="2:3" ht="15.75" customHeight="1">
      <c r="B541" s="1"/>
      <c r="C541" s="1"/>
    </row>
    <row r="542" spans="2:3" ht="15.75" customHeight="1">
      <c r="B542" s="1"/>
      <c r="C542" s="1"/>
    </row>
    <row r="543" spans="2:3" ht="15.75" customHeight="1">
      <c r="B543" s="1"/>
      <c r="C543" s="1"/>
    </row>
    <row r="544" spans="2:3" ht="15.75" customHeight="1">
      <c r="B544" s="1"/>
      <c r="C544" s="1"/>
    </row>
    <row r="545" spans="2:3" ht="15.75" customHeight="1">
      <c r="B545" s="1"/>
      <c r="C545" s="1"/>
    </row>
    <row r="546" spans="2:3" ht="15.75" customHeight="1">
      <c r="B546" s="1"/>
      <c r="C546" s="1"/>
    </row>
    <row r="547" spans="2:3" ht="15.75" customHeight="1">
      <c r="B547" s="1"/>
      <c r="C547" s="1"/>
    </row>
    <row r="548" spans="2:3" ht="15.75" customHeight="1">
      <c r="B548" s="1"/>
      <c r="C548" s="1"/>
    </row>
    <row r="549" spans="2:3" ht="15.75" customHeight="1">
      <c r="B549" s="1"/>
      <c r="C549" s="1"/>
    </row>
    <row r="550" spans="2:3" ht="15.75" customHeight="1">
      <c r="B550" s="1"/>
      <c r="C550" s="1"/>
    </row>
    <row r="551" spans="2:3" ht="15.75" customHeight="1">
      <c r="B551" s="1"/>
      <c r="C551" s="1"/>
    </row>
    <row r="552" spans="2:3" ht="15.75" customHeight="1">
      <c r="B552" s="1"/>
      <c r="C552" s="1"/>
    </row>
    <row r="553" spans="2:3" ht="15.75" customHeight="1">
      <c r="B553" s="1"/>
      <c r="C553" s="1"/>
    </row>
    <row r="554" spans="2:3" ht="15.75" customHeight="1">
      <c r="B554" s="1"/>
      <c r="C554" s="1"/>
    </row>
    <row r="555" spans="2:3" ht="15.75" customHeight="1">
      <c r="B555" s="1"/>
      <c r="C555" s="1"/>
    </row>
    <row r="556" spans="2:3" ht="15.75" customHeight="1">
      <c r="B556" s="1"/>
      <c r="C556" s="1"/>
    </row>
    <row r="557" spans="2:3" ht="15.75" customHeight="1">
      <c r="B557" s="1"/>
      <c r="C557" s="1"/>
    </row>
    <row r="558" spans="2:3" ht="15.75" customHeight="1">
      <c r="B558" s="1"/>
      <c r="C558" s="1"/>
    </row>
    <row r="559" spans="2:3" ht="15.75" customHeight="1">
      <c r="B559" s="1"/>
      <c r="C559" s="1"/>
    </row>
    <row r="560" spans="2:3" ht="15.75" customHeight="1">
      <c r="B560" s="1"/>
      <c r="C560" s="1"/>
    </row>
    <row r="561" spans="2:3" ht="15.75" customHeight="1">
      <c r="B561" s="1"/>
      <c r="C561" s="1"/>
    </row>
    <row r="562" spans="2:3" ht="15.75" customHeight="1">
      <c r="B562" s="1"/>
      <c r="C562" s="1"/>
    </row>
    <row r="563" spans="2:3" ht="15.75" customHeight="1">
      <c r="B563" s="1"/>
      <c r="C563" s="1"/>
    </row>
    <row r="564" spans="2:3" ht="15.75" customHeight="1">
      <c r="B564" s="1"/>
      <c r="C564" s="1"/>
    </row>
    <row r="565" spans="2:3" ht="15.75" customHeight="1">
      <c r="B565" s="1"/>
      <c r="C565" s="1"/>
    </row>
    <row r="566" spans="2:3" ht="15.75" customHeight="1">
      <c r="B566" s="1"/>
      <c r="C566" s="1"/>
    </row>
    <row r="567" spans="2:3" ht="15.75" customHeight="1">
      <c r="B567" s="1"/>
      <c r="C567" s="1"/>
    </row>
    <row r="568" spans="2:3" ht="15.75" customHeight="1">
      <c r="B568" s="1"/>
      <c r="C568" s="1"/>
    </row>
    <row r="569" spans="2:3" ht="15.75" customHeight="1">
      <c r="B569" s="1"/>
      <c r="C569" s="1"/>
    </row>
    <row r="570" spans="2:3" ht="15.75" customHeight="1">
      <c r="B570" s="1"/>
      <c r="C570" s="1"/>
    </row>
    <row r="571" spans="2:3" ht="15.75" customHeight="1">
      <c r="B571" s="1"/>
      <c r="C571" s="1"/>
    </row>
    <row r="572" spans="2:3" ht="15.75" customHeight="1">
      <c r="B572" s="1"/>
      <c r="C572" s="1"/>
    </row>
    <row r="573" spans="2:3" ht="15.75" customHeight="1">
      <c r="B573" s="1"/>
      <c r="C573" s="1"/>
    </row>
    <row r="574" spans="2:3" ht="15.75" customHeight="1">
      <c r="B574" s="1"/>
      <c r="C574" s="1"/>
    </row>
    <row r="575" spans="2:3" ht="15.75" customHeight="1">
      <c r="B575" s="1"/>
      <c r="C575" s="1"/>
    </row>
    <row r="576" spans="2:3" ht="15.75" customHeight="1">
      <c r="B576" s="1"/>
      <c r="C576" s="1"/>
    </row>
    <row r="577" spans="2:3" ht="15.75" customHeight="1">
      <c r="B577" s="1"/>
      <c r="C577" s="1"/>
    </row>
    <row r="578" spans="2:3" ht="15.75" customHeight="1">
      <c r="B578" s="1"/>
      <c r="C578" s="1"/>
    </row>
    <row r="579" spans="2:3" ht="15.75" customHeight="1">
      <c r="B579" s="1"/>
      <c r="C579" s="1"/>
    </row>
    <row r="580" spans="2:3" ht="15.75" customHeight="1">
      <c r="B580" s="1"/>
      <c r="C580" s="1"/>
    </row>
    <row r="581" spans="2:3" ht="15.75" customHeight="1">
      <c r="B581" s="1"/>
      <c r="C581" s="1"/>
    </row>
    <row r="582" spans="2:3" ht="15.75" customHeight="1">
      <c r="B582" s="1"/>
      <c r="C582" s="1"/>
    </row>
    <row r="583" spans="2:3" ht="15.75" customHeight="1">
      <c r="B583" s="1"/>
      <c r="C583" s="1"/>
    </row>
    <row r="584" spans="2:3" ht="15.75" customHeight="1">
      <c r="B584" s="1"/>
      <c r="C584" s="1"/>
    </row>
    <row r="585" spans="2:3" ht="15.75" customHeight="1">
      <c r="B585" s="1"/>
      <c r="C585" s="1"/>
    </row>
    <row r="586" spans="2:3" ht="15.75" customHeight="1">
      <c r="B586" s="1"/>
      <c r="C586" s="1"/>
    </row>
    <row r="587" spans="2:3" ht="15.75" customHeight="1">
      <c r="B587" s="1"/>
      <c r="C587" s="1"/>
    </row>
    <row r="588" spans="2:3" ht="15.75" customHeight="1">
      <c r="B588" s="1"/>
      <c r="C588" s="1"/>
    </row>
    <row r="589" spans="2:3" ht="15.75" customHeight="1">
      <c r="B589" s="1"/>
      <c r="C589" s="1"/>
    </row>
    <row r="590" spans="2:3" ht="15.75" customHeight="1">
      <c r="B590" s="1"/>
      <c r="C590" s="1"/>
    </row>
    <row r="591" spans="2:3" ht="15.75" customHeight="1">
      <c r="B591" s="1"/>
      <c r="C591" s="1"/>
    </row>
    <row r="592" spans="2:3" ht="15.75" customHeight="1">
      <c r="B592" s="1"/>
      <c r="C592" s="1"/>
    </row>
    <row r="593" spans="2:3" ht="15.75" customHeight="1">
      <c r="B593" s="1"/>
      <c r="C593" s="1"/>
    </row>
    <row r="594" spans="2:3" ht="15.75" customHeight="1">
      <c r="B594" s="1"/>
      <c r="C594" s="1"/>
    </row>
    <row r="595" spans="2:3" ht="15.75" customHeight="1">
      <c r="B595" s="1"/>
      <c r="C595" s="1"/>
    </row>
    <row r="596" spans="2:3" ht="15.75" customHeight="1">
      <c r="B596" s="1"/>
      <c r="C596" s="1"/>
    </row>
    <row r="597" spans="2:3" ht="15.75" customHeight="1">
      <c r="B597" s="1"/>
      <c r="C597" s="1"/>
    </row>
    <row r="598" spans="2:3" ht="15.75" customHeight="1">
      <c r="B598" s="1"/>
      <c r="C598" s="1"/>
    </row>
    <row r="599" spans="2:3" ht="15.75" customHeight="1">
      <c r="B599" s="1"/>
      <c r="C599" s="1"/>
    </row>
    <row r="600" spans="2:3" ht="15.75" customHeight="1">
      <c r="B600" s="1"/>
      <c r="C600" s="1"/>
    </row>
    <row r="601" spans="2:3" ht="15.75" customHeight="1">
      <c r="B601" s="1"/>
      <c r="C601" s="1"/>
    </row>
    <row r="602" spans="2:3" ht="15.75" customHeight="1">
      <c r="B602" s="1"/>
      <c r="C602" s="1"/>
    </row>
    <row r="603" spans="2:3" ht="15.75" customHeight="1">
      <c r="B603" s="1"/>
      <c r="C603" s="1"/>
    </row>
    <row r="604" spans="2:3" ht="15.75" customHeight="1">
      <c r="B604" s="1"/>
      <c r="C604" s="1"/>
    </row>
    <row r="605" spans="2:3" ht="15.75" customHeight="1">
      <c r="B605" s="1"/>
      <c r="C605" s="1"/>
    </row>
    <row r="606" spans="2:3" ht="15.75" customHeight="1">
      <c r="B606" s="1"/>
      <c r="C606" s="1"/>
    </row>
    <row r="607" spans="2:3" ht="15.75" customHeight="1">
      <c r="B607" s="1"/>
      <c r="C607" s="1"/>
    </row>
    <row r="608" spans="2:3" ht="15.75" customHeight="1">
      <c r="B608" s="1"/>
      <c r="C608" s="1"/>
    </row>
    <row r="609" spans="2:3" ht="15.75" customHeight="1">
      <c r="B609" s="1"/>
      <c r="C609" s="1"/>
    </row>
    <row r="610" spans="2:3" ht="15.75" customHeight="1">
      <c r="B610" s="1"/>
      <c r="C610" s="1"/>
    </row>
    <row r="611" spans="2:3" ht="15.75" customHeight="1">
      <c r="B611" s="1"/>
      <c r="C611" s="1"/>
    </row>
    <row r="612" spans="2:3" ht="15.75" customHeight="1">
      <c r="B612" s="1"/>
      <c r="C612" s="1"/>
    </row>
    <row r="613" spans="2:3" ht="15.75" customHeight="1">
      <c r="B613" s="1"/>
      <c r="C613" s="1"/>
    </row>
    <row r="614" spans="2:3" ht="15.75" customHeight="1">
      <c r="B614" s="1"/>
      <c r="C614" s="1"/>
    </row>
    <row r="615" spans="2:3" ht="15.75" customHeight="1">
      <c r="B615" s="1"/>
      <c r="C615" s="1"/>
    </row>
    <row r="616" spans="2:3" ht="15.75" customHeight="1">
      <c r="B616" s="1"/>
      <c r="C616" s="1"/>
    </row>
    <row r="617" spans="2:3" ht="15.75" customHeight="1">
      <c r="B617" s="1"/>
      <c r="C617" s="1"/>
    </row>
    <row r="618" spans="2:3" ht="15.75" customHeight="1">
      <c r="B618" s="1"/>
      <c r="C618" s="1"/>
    </row>
    <row r="619" spans="2:3" ht="15.75" customHeight="1">
      <c r="B619" s="1"/>
      <c r="C619" s="1"/>
    </row>
    <row r="620" spans="2:3" ht="15.75" customHeight="1">
      <c r="B620" s="1"/>
      <c r="C620" s="1"/>
    </row>
    <row r="621" spans="2:3" ht="15.75" customHeight="1">
      <c r="B621" s="1"/>
      <c r="C621" s="1"/>
    </row>
    <row r="622" spans="2:3" ht="15.75" customHeight="1">
      <c r="B622" s="1"/>
      <c r="C622" s="1"/>
    </row>
    <row r="623" spans="2:3" ht="15.75" customHeight="1">
      <c r="B623" s="1"/>
      <c r="C623" s="1"/>
    </row>
    <row r="624" spans="2:3" ht="15.75" customHeight="1">
      <c r="B624" s="1"/>
      <c r="C624" s="1"/>
    </row>
    <row r="625" spans="2:3" ht="15.75" customHeight="1">
      <c r="B625" s="1"/>
      <c r="C625" s="1"/>
    </row>
    <row r="626" spans="2:3" ht="15.75" customHeight="1">
      <c r="B626" s="1"/>
      <c r="C626" s="1"/>
    </row>
    <row r="627" spans="2:3" ht="15.75" customHeight="1">
      <c r="B627" s="1"/>
      <c r="C627" s="1"/>
    </row>
    <row r="628" spans="2:3" ht="15.75" customHeight="1">
      <c r="B628" s="1"/>
      <c r="C628" s="1"/>
    </row>
    <row r="629" spans="2:3" ht="15.75" customHeight="1">
      <c r="B629" s="1"/>
      <c r="C629" s="1"/>
    </row>
    <row r="630" spans="2:3" ht="15.75" customHeight="1">
      <c r="B630" s="1"/>
      <c r="C630" s="1"/>
    </row>
    <row r="631" spans="2:3" ht="15.75" customHeight="1">
      <c r="B631" s="1"/>
      <c r="C631" s="1"/>
    </row>
    <row r="632" spans="2:3" ht="15.75" customHeight="1">
      <c r="B632" s="1"/>
      <c r="C632" s="1"/>
    </row>
    <row r="633" spans="2:3" ht="15.75" customHeight="1">
      <c r="B633" s="1"/>
      <c r="C633" s="1"/>
    </row>
    <row r="634" spans="2:3" ht="15.75" customHeight="1">
      <c r="B634" s="1"/>
      <c r="C634" s="1"/>
    </row>
    <row r="635" spans="2:3" ht="15.75" customHeight="1">
      <c r="B635" s="1"/>
      <c r="C635" s="1"/>
    </row>
    <row r="636" spans="2:3" ht="15.75" customHeight="1">
      <c r="B636" s="1"/>
      <c r="C636" s="1"/>
    </row>
    <row r="637" spans="2:3" ht="15.75" customHeight="1">
      <c r="B637" s="1"/>
      <c r="C637" s="1"/>
    </row>
    <row r="638" spans="2:3" ht="15.75" customHeight="1">
      <c r="B638" s="1"/>
      <c r="C638" s="1"/>
    </row>
    <row r="639" spans="2:3" ht="15.75" customHeight="1">
      <c r="B639" s="1"/>
      <c r="C639" s="1"/>
    </row>
    <row r="640" spans="2:3" ht="15.75" customHeight="1">
      <c r="B640" s="1"/>
      <c r="C640" s="1"/>
    </row>
    <row r="641" spans="2:3" ht="15.75" customHeight="1">
      <c r="B641" s="1"/>
      <c r="C641" s="1"/>
    </row>
    <row r="642" spans="2:3" ht="15.75" customHeight="1">
      <c r="B642" s="1"/>
      <c r="C642" s="1"/>
    </row>
    <row r="643" spans="2:3" ht="15.75" customHeight="1">
      <c r="B643" s="1"/>
      <c r="C643" s="1"/>
    </row>
    <row r="644" spans="2:3" ht="15.75" customHeight="1">
      <c r="B644" s="1"/>
      <c r="C644" s="1"/>
    </row>
    <row r="645" spans="2:3" ht="15.75" customHeight="1">
      <c r="B645" s="1"/>
      <c r="C645" s="1"/>
    </row>
    <row r="646" spans="2:3" ht="15.75" customHeight="1">
      <c r="B646" s="1"/>
      <c r="C646" s="1"/>
    </row>
    <row r="647" spans="2:3" ht="15.75" customHeight="1">
      <c r="B647" s="1"/>
      <c r="C647" s="1"/>
    </row>
    <row r="648" spans="2:3" ht="15.75" customHeight="1">
      <c r="B648" s="1"/>
      <c r="C648" s="1"/>
    </row>
    <row r="649" spans="2:3" ht="15.75" customHeight="1">
      <c r="B649" s="1"/>
      <c r="C649" s="1"/>
    </row>
    <row r="650" spans="2:3" ht="15.75" customHeight="1">
      <c r="B650" s="1"/>
      <c r="C650" s="1"/>
    </row>
    <row r="651" spans="2:3" ht="15.75" customHeight="1">
      <c r="B651" s="1"/>
      <c r="C651" s="1"/>
    </row>
    <row r="652" spans="2:3" ht="15.75" customHeight="1">
      <c r="B652" s="1"/>
      <c r="C652" s="1"/>
    </row>
    <row r="653" spans="2:3" ht="15.75" customHeight="1">
      <c r="B653" s="1"/>
      <c r="C653" s="1"/>
    </row>
    <row r="654" spans="2:3" ht="15.75" customHeight="1">
      <c r="B654" s="1"/>
      <c r="C654" s="1"/>
    </row>
    <row r="655" spans="2:3" ht="15.75" customHeight="1">
      <c r="B655" s="1"/>
      <c r="C655" s="1"/>
    </row>
    <row r="656" spans="2:3" ht="15.75" customHeight="1">
      <c r="B656" s="1"/>
      <c r="C656" s="1"/>
    </row>
    <row r="657" spans="2:3" ht="15.75" customHeight="1">
      <c r="B657" s="1"/>
      <c r="C657" s="1"/>
    </row>
    <row r="658" spans="2:3" ht="15.75" customHeight="1">
      <c r="B658" s="1"/>
      <c r="C658" s="1"/>
    </row>
    <row r="659" spans="2:3" ht="15.75" customHeight="1">
      <c r="B659" s="1"/>
      <c r="C659" s="1"/>
    </row>
    <row r="660" spans="2:3" ht="15.75" customHeight="1">
      <c r="B660" s="1"/>
      <c r="C660" s="1"/>
    </row>
    <row r="661" spans="2:3" ht="15.75" customHeight="1">
      <c r="B661" s="1"/>
      <c r="C661" s="1"/>
    </row>
    <row r="662" spans="2:3" ht="15.75" customHeight="1">
      <c r="B662" s="1"/>
      <c r="C662" s="1"/>
    </row>
    <row r="663" spans="2:3" ht="15.75" customHeight="1">
      <c r="B663" s="1"/>
      <c r="C663" s="1"/>
    </row>
    <row r="664" spans="2:3" ht="15.75" customHeight="1">
      <c r="B664" s="1"/>
      <c r="C664" s="1"/>
    </row>
    <row r="665" spans="2:3" ht="15.75" customHeight="1">
      <c r="B665" s="1"/>
      <c r="C665" s="1"/>
    </row>
    <row r="666" spans="2:3" ht="15.75" customHeight="1">
      <c r="B666" s="1"/>
      <c r="C666" s="1"/>
    </row>
    <row r="667" spans="2:3" ht="15.75" customHeight="1">
      <c r="B667" s="1"/>
      <c r="C667" s="1"/>
    </row>
    <row r="668" spans="2:3" ht="15.75" customHeight="1">
      <c r="B668" s="1"/>
      <c r="C668" s="1"/>
    </row>
    <row r="669" spans="2:3" ht="15.75" customHeight="1">
      <c r="B669" s="1"/>
      <c r="C669" s="1"/>
    </row>
    <row r="670" spans="2:3" ht="15.75" customHeight="1">
      <c r="B670" s="1"/>
      <c r="C670" s="1"/>
    </row>
    <row r="671" spans="2:3" ht="15.75" customHeight="1">
      <c r="B671" s="1"/>
      <c r="C671" s="1"/>
    </row>
    <row r="672" spans="2:3" ht="15.75" customHeight="1">
      <c r="B672" s="1"/>
      <c r="C672" s="1"/>
    </row>
    <row r="673" spans="2:3" ht="15.75" customHeight="1">
      <c r="B673" s="1"/>
      <c r="C673" s="1"/>
    </row>
    <row r="674" spans="2:3" ht="15.75" customHeight="1">
      <c r="B674" s="1"/>
      <c r="C674" s="1"/>
    </row>
    <row r="675" spans="2:3" ht="15.75" customHeight="1">
      <c r="B675" s="1"/>
      <c r="C675" s="1"/>
    </row>
    <row r="676" spans="2:3" ht="15.75" customHeight="1">
      <c r="B676" s="1"/>
      <c r="C676" s="1"/>
    </row>
    <row r="677" spans="2:3" ht="15.75" customHeight="1">
      <c r="B677" s="1"/>
      <c r="C677" s="1"/>
    </row>
    <row r="678" spans="2:3" ht="15.75" customHeight="1">
      <c r="B678" s="1"/>
      <c r="C678" s="1"/>
    </row>
    <row r="679" spans="2:3" ht="15.75" customHeight="1">
      <c r="B679" s="1"/>
      <c r="C679" s="1"/>
    </row>
    <row r="680" spans="2:3" ht="15.75" customHeight="1">
      <c r="B680" s="1"/>
      <c r="C680" s="1"/>
    </row>
    <row r="681" spans="2:3" ht="15.75" customHeight="1">
      <c r="B681" s="1"/>
      <c r="C681" s="1"/>
    </row>
    <row r="682" spans="2:3" ht="15.75" customHeight="1">
      <c r="B682" s="1"/>
      <c r="C682" s="1"/>
    </row>
    <row r="683" spans="2:3" ht="15.75" customHeight="1">
      <c r="B683" s="1"/>
      <c r="C683" s="1"/>
    </row>
    <row r="684" spans="2:3" ht="15.75" customHeight="1">
      <c r="B684" s="1"/>
      <c r="C684" s="1"/>
    </row>
    <row r="685" spans="2:3" ht="15.75" customHeight="1">
      <c r="B685" s="1"/>
      <c r="C685" s="1"/>
    </row>
    <row r="686" spans="2:3" ht="15.75" customHeight="1">
      <c r="B686" s="1"/>
      <c r="C686" s="1"/>
    </row>
    <row r="687" spans="2:3" ht="15.75" customHeight="1">
      <c r="B687" s="1"/>
      <c r="C687" s="1"/>
    </row>
    <row r="688" spans="2:3" ht="15.75" customHeight="1">
      <c r="B688" s="1"/>
      <c r="C688" s="1"/>
    </row>
    <row r="689" spans="2:3" ht="15.75" customHeight="1">
      <c r="B689" s="1"/>
      <c r="C689" s="1"/>
    </row>
    <row r="690" spans="2:3" ht="15.75" customHeight="1">
      <c r="B690" s="1"/>
      <c r="C690" s="1"/>
    </row>
    <row r="691" spans="2:3" ht="15.75" customHeight="1">
      <c r="B691" s="1"/>
      <c r="C691" s="1"/>
    </row>
    <row r="692" spans="2:3" ht="15.75" customHeight="1">
      <c r="B692" s="1"/>
      <c r="C692" s="1"/>
    </row>
    <row r="693" spans="2:3" ht="15.75" customHeight="1">
      <c r="B693" s="1"/>
      <c r="C693" s="1"/>
    </row>
    <row r="694" spans="2:3" ht="15.75" customHeight="1">
      <c r="B694" s="1"/>
      <c r="C694" s="1"/>
    </row>
    <row r="695" spans="2:3" ht="15.75" customHeight="1">
      <c r="B695" s="1"/>
      <c r="C695" s="1"/>
    </row>
    <row r="696" spans="2:3" ht="15.75" customHeight="1">
      <c r="B696" s="1"/>
      <c r="C696" s="1"/>
    </row>
    <row r="697" spans="2:3" ht="15.75" customHeight="1">
      <c r="B697" s="1"/>
      <c r="C697" s="1"/>
    </row>
    <row r="698" spans="2:3" ht="15.75" customHeight="1">
      <c r="B698" s="1"/>
      <c r="C698" s="1"/>
    </row>
    <row r="699" spans="2:3" ht="15.75" customHeight="1">
      <c r="B699" s="1"/>
      <c r="C699" s="1"/>
    </row>
    <row r="700" spans="2:3" ht="15.75" customHeight="1">
      <c r="B700" s="1"/>
      <c r="C700" s="1"/>
    </row>
    <row r="701" spans="2:3" ht="15.75" customHeight="1">
      <c r="B701" s="1"/>
      <c r="C701" s="1"/>
    </row>
    <row r="702" spans="2:3" ht="15.75" customHeight="1">
      <c r="B702" s="1"/>
      <c r="C702" s="1"/>
    </row>
    <row r="703" spans="2:3" ht="15.75" customHeight="1">
      <c r="B703" s="1"/>
      <c r="C703" s="1"/>
    </row>
    <row r="704" spans="2:3" ht="15.75" customHeight="1">
      <c r="B704" s="1"/>
      <c r="C704" s="1"/>
    </row>
    <row r="705" spans="2:3" ht="15.75" customHeight="1">
      <c r="B705" s="1"/>
      <c r="C705" s="1"/>
    </row>
    <row r="706" spans="2:3" ht="15.75" customHeight="1">
      <c r="B706" s="1"/>
      <c r="C706" s="1"/>
    </row>
    <row r="707" spans="2:3" ht="15.75" customHeight="1">
      <c r="B707" s="1"/>
      <c r="C707" s="1"/>
    </row>
    <row r="708" spans="2:3" ht="15.75" customHeight="1">
      <c r="B708" s="1"/>
      <c r="C708" s="1"/>
    </row>
    <row r="709" spans="2:3" ht="15.75" customHeight="1">
      <c r="B709" s="1"/>
      <c r="C709" s="1"/>
    </row>
    <row r="710" spans="2:3" ht="15.75" customHeight="1">
      <c r="B710" s="1"/>
      <c r="C710" s="1"/>
    </row>
    <row r="711" spans="2:3" ht="15.75" customHeight="1">
      <c r="B711" s="1"/>
      <c r="C711" s="1"/>
    </row>
    <row r="712" spans="2:3" ht="15.75" customHeight="1">
      <c r="B712" s="1"/>
      <c r="C712" s="1"/>
    </row>
    <row r="713" spans="2:3" ht="15.75" customHeight="1">
      <c r="B713" s="1"/>
      <c r="C713" s="1"/>
    </row>
    <row r="714" spans="2:3" ht="15.75" customHeight="1">
      <c r="B714" s="1"/>
      <c r="C714" s="1"/>
    </row>
    <row r="715" spans="2:3" ht="15.75" customHeight="1">
      <c r="B715" s="1"/>
      <c r="C715" s="1"/>
    </row>
    <row r="716" spans="2:3" ht="15.75" customHeight="1">
      <c r="B716" s="1"/>
      <c r="C716" s="1"/>
    </row>
    <row r="717" spans="2:3" ht="15.75" customHeight="1">
      <c r="B717" s="1"/>
      <c r="C717" s="1"/>
    </row>
    <row r="718" spans="2:3" ht="15.75" customHeight="1">
      <c r="B718" s="1"/>
      <c r="C718" s="1"/>
    </row>
    <row r="719" spans="2:3" ht="15.75" customHeight="1">
      <c r="B719" s="1"/>
      <c r="C719" s="1"/>
    </row>
    <row r="720" spans="2:3" ht="15.75" customHeight="1">
      <c r="B720" s="1"/>
      <c r="C720" s="1"/>
    </row>
    <row r="721" spans="2:3" ht="15.75" customHeight="1">
      <c r="B721" s="1"/>
      <c r="C721" s="1"/>
    </row>
    <row r="722" spans="2:3" ht="15.75" customHeight="1">
      <c r="B722" s="1"/>
      <c r="C722" s="1"/>
    </row>
    <row r="723" spans="2:3" ht="15.75" customHeight="1">
      <c r="B723" s="1"/>
      <c r="C723" s="1"/>
    </row>
    <row r="724" spans="2:3" ht="15.75" customHeight="1">
      <c r="B724" s="1"/>
      <c r="C724" s="1"/>
    </row>
    <row r="725" spans="2:3" ht="15.75" customHeight="1">
      <c r="B725" s="1"/>
      <c r="C725" s="1"/>
    </row>
    <row r="726" spans="2:3" ht="15.75" customHeight="1">
      <c r="B726" s="1"/>
      <c r="C726" s="1"/>
    </row>
    <row r="727" spans="2:3" ht="15.75" customHeight="1">
      <c r="B727" s="1"/>
      <c r="C727" s="1"/>
    </row>
    <row r="728" spans="2:3" ht="15.75" customHeight="1">
      <c r="B728" s="1"/>
      <c r="C728" s="1"/>
    </row>
    <row r="729" spans="2:3" ht="15.75" customHeight="1">
      <c r="B729" s="1"/>
      <c r="C729" s="1"/>
    </row>
    <row r="730" spans="2:3" ht="15.75" customHeight="1">
      <c r="B730" s="1"/>
      <c r="C730" s="1"/>
    </row>
    <row r="731" spans="2:3" ht="15.75" customHeight="1">
      <c r="B731" s="1"/>
      <c r="C731" s="1"/>
    </row>
    <row r="732" spans="2:3" ht="15.75" customHeight="1">
      <c r="B732" s="1"/>
      <c r="C732" s="1"/>
    </row>
    <row r="733" spans="2:3" ht="15.75" customHeight="1">
      <c r="B733" s="1"/>
      <c r="C733" s="1"/>
    </row>
    <row r="734" spans="2:3" ht="15.75" customHeight="1">
      <c r="B734" s="1"/>
      <c r="C734" s="1"/>
    </row>
    <row r="735" spans="2:3" ht="15.75" customHeight="1">
      <c r="B735" s="1"/>
      <c r="C735" s="1"/>
    </row>
    <row r="736" spans="2:3" ht="15.75" customHeight="1">
      <c r="B736" s="1"/>
      <c r="C736" s="1"/>
    </row>
    <row r="737" spans="2:3" ht="15.75" customHeight="1">
      <c r="B737" s="1"/>
      <c r="C737" s="1"/>
    </row>
    <row r="738" spans="2:3" ht="15.75" customHeight="1">
      <c r="B738" s="1"/>
      <c r="C738" s="1"/>
    </row>
    <row r="739" spans="2:3" ht="15.75" customHeight="1">
      <c r="B739" s="1"/>
      <c r="C739" s="1"/>
    </row>
    <row r="740" spans="2:3" ht="15.75" customHeight="1">
      <c r="B740" s="1"/>
      <c r="C740" s="1"/>
    </row>
    <row r="741" spans="2:3" ht="15.75" customHeight="1">
      <c r="B741" s="1"/>
      <c r="C741" s="1"/>
    </row>
    <row r="742" spans="2:3" ht="15.75" customHeight="1">
      <c r="B742" s="1"/>
      <c r="C742" s="1"/>
    </row>
    <row r="743" spans="2:3" ht="15.75" customHeight="1">
      <c r="B743" s="1"/>
      <c r="C743" s="1"/>
    </row>
    <row r="744" spans="2:3" ht="15.75" customHeight="1">
      <c r="B744" s="1"/>
      <c r="C744" s="1"/>
    </row>
    <row r="745" spans="2:3" ht="15.75" customHeight="1">
      <c r="B745" s="1"/>
      <c r="C745" s="1"/>
    </row>
    <row r="746" spans="2:3" ht="15.75" customHeight="1">
      <c r="B746" s="1"/>
      <c r="C746" s="1"/>
    </row>
    <row r="747" spans="2:3" ht="15.75" customHeight="1">
      <c r="B747" s="1"/>
      <c r="C747" s="1"/>
    </row>
    <row r="748" spans="2:3" ht="15.75" customHeight="1">
      <c r="B748" s="1"/>
      <c r="C748" s="1"/>
    </row>
    <row r="749" spans="2:3" ht="15.75" customHeight="1">
      <c r="B749" s="1"/>
      <c r="C749" s="1"/>
    </row>
    <row r="750" spans="2:3" ht="15.75" customHeight="1">
      <c r="B750" s="1"/>
      <c r="C750" s="1"/>
    </row>
    <row r="751" spans="2:3" ht="15.75" customHeight="1">
      <c r="B751" s="1"/>
      <c r="C751" s="1"/>
    </row>
    <row r="752" spans="2:3" ht="15.75" customHeight="1">
      <c r="B752" s="1"/>
      <c r="C752" s="1"/>
    </row>
    <row r="753" spans="2:3" ht="15.75" customHeight="1">
      <c r="B753" s="1"/>
      <c r="C753" s="1"/>
    </row>
    <row r="754" spans="2:3" ht="15.75" customHeight="1">
      <c r="B754" s="1"/>
      <c r="C754" s="1"/>
    </row>
    <row r="755" spans="2:3" ht="15.75" customHeight="1">
      <c r="B755" s="1"/>
      <c r="C755" s="1"/>
    </row>
    <row r="756" spans="2:3" ht="15.75" customHeight="1">
      <c r="B756" s="1"/>
      <c r="C756" s="1"/>
    </row>
    <row r="757" spans="2:3" ht="15.75" customHeight="1">
      <c r="B757" s="1"/>
      <c r="C757" s="1"/>
    </row>
    <row r="758" spans="2:3" ht="15.75" customHeight="1">
      <c r="B758" s="1"/>
      <c r="C758" s="1"/>
    </row>
    <row r="759" spans="2:3" ht="15.75" customHeight="1">
      <c r="B759" s="1"/>
      <c r="C759" s="1"/>
    </row>
    <row r="760" spans="2:3" ht="15.75" customHeight="1">
      <c r="B760" s="1"/>
      <c r="C760" s="1"/>
    </row>
    <row r="761" spans="2:3" ht="15.75" customHeight="1">
      <c r="B761" s="1"/>
      <c r="C761" s="1"/>
    </row>
    <row r="762" spans="2:3" ht="15.75" customHeight="1">
      <c r="B762" s="1"/>
      <c r="C762" s="1"/>
    </row>
    <row r="763" spans="2:3" ht="15.75" customHeight="1">
      <c r="B763" s="1"/>
      <c r="C763" s="1"/>
    </row>
    <row r="764" spans="2:3" ht="15.75" customHeight="1">
      <c r="B764" s="1"/>
      <c r="C764" s="1"/>
    </row>
    <row r="765" spans="2:3" ht="15.75" customHeight="1">
      <c r="B765" s="1"/>
      <c r="C765" s="1"/>
    </row>
    <row r="766" spans="2:3" ht="15.75" customHeight="1">
      <c r="B766" s="1"/>
      <c r="C766" s="1"/>
    </row>
    <row r="767" spans="2:3" ht="15.75" customHeight="1">
      <c r="B767" s="1"/>
      <c r="C767" s="1"/>
    </row>
    <row r="768" spans="2:3" ht="15.75" customHeight="1">
      <c r="B768" s="1"/>
      <c r="C768" s="1"/>
    </row>
    <row r="769" spans="2:3" ht="15.75" customHeight="1">
      <c r="B769" s="1"/>
      <c r="C769" s="1"/>
    </row>
    <row r="770" spans="2:3" ht="15.75" customHeight="1">
      <c r="B770" s="1"/>
      <c r="C770" s="1"/>
    </row>
    <row r="771" spans="2:3" ht="15.75" customHeight="1">
      <c r="B771" s="1"/>
      <c r="C771" s="1"/>
    </row>
    <row r="772" spans="2:3" ht="15.75" customHeight="1">
      <c r="B772" s="1"/>
      <c r="C772" s="1"/>
    </row>
    <row r="773" spans="2:3" ht="15.75" customHeight="1">
      <c r="B773" s="1"/>
      <c r="C773" s="1"/>
    </row>
    <row r="774" spans="2:3" ht="15.75" customHeight="1">
      <c r="B774" s="1"/>
      <c r="C774" s="1"/>
    </row>
    <row r="775" spans="2:3" ht="15.75" customHeight="1">
      <c r="B775" s="1"/>
      <c r="C775" s="1"/>
    </row>
    <row r="776" spans="2:3" ht="15.75" customHeight="1">
      <c r="B776" s="1"/>
      <c r="C776" s="1"/>
    </row>
    <row r="777" spans="2:3" ht="15.75" customHeight="1">
      <c r="B777" s="1"/>
      <c r="C777" s="1"/>
    </row>
    <row r="778" spans="2:3" ht="15.75" customHeight="1">
      <c r="B778" s="1"/>
      <c r="C778" s="1"/>
    </row>
    <row r="779" spans="2:3" ht="15.75" customHeight="1">
      <c r="B779" s="1"/>
      <c r="C779" s="1"/>
    </row>
    <row r="780" spans="2:3" ht="15.75" customHeight="1">
      <c r="B780" s="1"/>
      <c r="C780" s="1"/>
    </row>
    <row r="781" spans="2:3" ht="15.75" customHeight="1">
      <c r="B781" s="1"/>
      <c r="C781" s="1"/>
    </row>
    <row r="782" spans="2:3" ht="15.75" customHeight="1">
      <c r="B782" s="1"/>
      <c r="C782" s="1"/>
    </row>
    <row r="783" spans="2:3" ht="15.75" customHeight="1">
      <c r="B783" s="1"/>
      <c r="C783" s="1"/>
    </row>
    <row r="784" spans="2:3" ht="15.75" customHeight="1">
      <c r="B784" s="1"/>
      <c r="C784" s="1"/>
    </row>
    <row r="785" spans="2:3" ht="15.75" customHeight="1">
      <c r="B785" s="1"/>
      <c r="C785" s="1"/>
    </row>
    <row r="786" spans="2:3" ht="15.75" customHeight="1">
      <c r="B786" s="1"/>
      <c r="C786" s="1"/>
    </row>
    <row r="787" spans="2:3" ht="15.75" customHeight="1">
      <c r="B787" s="1"/>
      <c r="C787" s="1"/>
    </row>
    <row r="788" spans="2:3" ht="15.75" customHeight="1">
      <c r="B788" s="1"/>
      <c r="C788" s="1"/>
    </row>
    <row r="789" spans="2:3" ht="15.75" customHeight="1">
      <c r="B789" s="1"/>
      <c r="C789" s="1"/>
    </row>
    <row r="790" spans="2:3" ht="15.75" customHeight="1">
      <c r="B790" s="1"/>
      <c r="C790" s="1"/>
    </row>
    <row r="791" spans="2:3" ht="15.75" customHeight="1">
      <c r="B791" s="1"/>
      <c r="C791" s="1"/>
    </row>
    <row r="792" spans="2:3" ht="15.75" customHeight="1">
      <c r="B792" s="1"/>
      <c r="C792" s="1"/>
    </row>
    <row r="793" spans="2:3" ht="15.75" customHeight="1">
      <c r="B793" s="1"/>
      <c r="C793" s="1"/>
    </row>
    <row r="794" spans="2:3" ht="15.75" customHeight="1">
      <c r="B794" s="1"/>
      <c r="C794" s="1"/>
    </row>
    <row r="795" spans="2:3" ht="15.75" customHeight="1">
      <c r="B795" s="1"/>
      <c r="C795" s="1"/>
    </row>
    <row r="796" spans="2:3" ht="15.75" customHeight="1">
      <c r="B796" s="1"/>
      <c r="C796" s="1"/>
    </row>
    <row r="797" spans="2:3" ht="15.75" customHeight="1">
      <c r="B797" s="1"/>
      <c r="C797" s="1"/>
    </row>
    <row r="798" spans="2:3" ht="15.75" customHeight="1">
      <c r="B798" s="1"/>
      <c r="C798" s="1"/>
    </row>
    <row r="799" spans="2:3" ht="15.75" customHeight="1">
      <c r="B799" s="1"/>
      <c r="C799" s="1"/>
    </row>
    <row r="800" spans="2:3" ht="15.75" customHeight="1">
      <c r="B800" s="1"/>
      <c r="C800" s="1"/>
    </row>
    <row r="801" spans="2:3" ht="15.75" customHeight="1">
      <c r="B801" s="1"/>
      <c r="C801" s="1"/>
    </row>
    <row r="802" spans="2:3" ht="15.75" customHeight="1">
      <c r="B802" s="1"/>
      <c r="C802" s="1"/>
    </row>
    <row r="803" spans="2:3" ht="15.75" customHeight="1">
      <c r="B803" s="1"/>
      <c r="C803" s="1"/>
    </row>
    <row r="804" spans="2:3" ht="15.75" customHeight="1">
      <c r="B804" s="1"/>
      <c r="C804" s="1"/>
    </row>
    <row r="805" spans="2:3" ht="15.75" customHeight="1">
      <c r="B805" s="1"/>
      <c r="C805" s="1"/>
    </row>
    <row r="806" spans="2:3" ht="15.75" customHeight="1">
      <c r="B806" s="1"/>
      <c r="C806" s="1"/>
    </row>
    <row r="807" spans="2:3" ht="15.75" customHeight="1">
      <c r="B807" s="1"/>
      <c r="C807" s="1"/>
    </row>
    <row r="808" spans="2:3" ht="15.75" customHeight="1">
      <c r="B808" s="1"/>
      <c r="C808" s="1"/>
    </row>
    <row r="809" spans="2:3" ht="15.75" customHeight="1">
      <c r="B809" s="1"/>
      <c r="C809" s="1"/>
    </row>
    <row r="810" spans="2:3" ht="15.75" customHeight="1">
      <c r="B810" s="1"/>
      <c r="C810" s="1"/>
    </row>
    <row r="811" spans="2:3" ht="15.75" customHeight="1">
      <c r="B811" s="1"/>
      <c r="C811" s="1"/>
    </row>
    <row r="812" spans="2:3" ht="15.75" customHeight="1">
      <c r="B812" s="1"/>
      <c r="C812" s="1"/>
    </row>
    <row r="813" spans="2:3" ht="15.75" customHeight="1">
      <c r="B813" s="1"/>
      <c r="C813" s="1"/>
    </row>
    <row r="814" spans="2:3" ht="15.75" customHeight="1">
      <c r="B814" s="1"/>
      <c r="C814" s="1"/>
    </row>
    <row r="815" spans="2:3" ht="15.75" customHeight="1">
      <c r="B815" s="1"/>
      <c r="C815" s="1"/>
    </row>
    <row r="816" spans="2:3" ht="15.75" customHeight="1">
      <c r="B816" s="1"/>
      <c r="C816" s="1"/>
    </row>
    <row r="817" spans="2:3" ht="15.75" customHeight="1">
      <c r="B817" s="1"/>
      <c r="C817" s="1"/>
    </row>
    <row r="818" spans="2:3" ht="15.75" customHeight="1">
      <c r="B818" s="1"/>
      <c r="C818" s="1"/>
    </row>
    <row r="819" spans="2:3" ht="15.75" customHeight="1">
      <c r="B819" s="1"/>
      <c r="C819" s="1"/>
    </row>
    <row r="820" spans="2:3" ht="15.75" customHeight="1">
      <c r="B820" s="1"/>
      <c r="C820" s="1"/>
    </row>
    <row r="821" spans="2:3" ht="15.75" customHeight="1">
      <c r="B821" s="1"/>
      <c r="C821" s="1"/>
    </row>
    <row r="822" spans="2:3" ht="15.75" customHeight="1">
      <c r="B822" s="1"/>
      <c r="C822" s="1"/>
    </row>
    <row r="823" spans="2:3" ht="15.75" customHeight="1">
      <c r="B823" s="1"/>
      <c r="C823" s="1"/>
    </row>
    <row r="824" spans="2:3" ht="15.75" customHeight="1">
      <c r="B824" s="1"/>
      <c r="C824" s="1"/>
    </row>
    <row r="825" spans="2:3" ht="15.75" customHeight="1">
      <c r="B825" s="1"/>
      <c r="C825" s="1"/>
    </row>
    <row r="826" spans="2:3" ht="15.75" customHeight="1">
      <c r="B826" s="1"/>
      <c r="C826" s="1"/>
    </row>
    <row r="827" spans="2:3" ht="15.75" customHeight="1">
      <c r="B827" s="1"/>
      <c r="C827" s="1"/>
    </row>
    <row r="828" spans="2:3" ht="15.75" customHeight="1">
      <c r="B828" s="1"/>
      <c r="C828" s="1"/>
    </row>
    <row r="829" spans="2:3" ht="15.75" customHeight="1">
      <c r="B829" s="1"/>
      <c r="C829" s="1"/>
    </row>
    <row r="830" spans="2:3" ht="15.75" customHeight="1">
      <c r="B830" s="1"/>
      <c r="C830" s="1"/>
    </row>
    <row r="831" spans="2:3" ht="15.75" customHeight="1">
      <c r="B831" s="1"/>
      <c r="C831" s="1"/>
    </row>
    <row r="832" spans="2:3" ht="15.75" customHeight="1">
      <c r="B832" s="1"/>
      <c r="C832" s="1"/>
    </row>
    <row r="833" spans="2:3" ht="15.75" customHeight="1">
      <c r="B833" s="1"/>
      <c r="C833" s="1"/>
    </row>
    <row r="834" spans="2:3" ht="15.75" customHeight="1">
      <c r="B834" s="1"/>
      <c r="C834" s="1"/>
    </row>
    <row r="835" spans="2:3" ht="15.75" customHeight="1">
      <c r="B835" s="1"/>
      <c r="C835" s="1"/>
    </row>
    <row r="836" spans="2:3" ht="15.75" customHeight="1">
      <c r="B836" s="1"/>
      <c r="C836" s="1"/>
    </row>
    <row r="837" spans="2:3" ht="15.75" customHeight="1">
      <c r="B837" s="1"/>
      <c r="C837" s="1"/>
    </row>
    <row r="838" spans="2:3" ht="15.75" customHeight="1">
      <c r="B838" s="1"/>
      <c r="C838" s="1"/>
    </row>
    <row r="839" spans="2:3" ht="15.75" customHeight="1">
      <c r="B839" s="1"/>
      <c r="C839" s="1"/>
    </row>
    <row r="840" spans="2:3" ht="15.75" customHeight="1">
      <c r="B840" s="1"/>
      <c r="C840" s="1"/>
    </row>
    <row r="841" spans="2:3" ht="15.75" customHeight="1">
      <c r="B841" s="1"/>
      <c r="C841" s="1"/>
    </row>
    <row r="842" spans="2:3" ht="15.75" customHeight="1">
      <c r="B842" s="1"/>
      <c r="C842" s="1"/>
    </row>
    <row r="843" spans="2:3" ht="15.75" customHeight="1">
      <c r="B843" s="1"/>
      <c r="C843" s="1"/>
    </row>
    <row r="844" spans="2:3" ht="15.75" customHeight="1">
      <c r="B844" s="1"/>
      <c r="C844" s="1"/>
    </row>
    <row r="845" spans="2:3" ht="15.75" customHeight="1">
      <c r="B845" s="1"/>
      <c r="C845" s="1"/>
    </row>
    <row r="846" spans="2:3" ht="15.75" customHeight="1">
      <c r="B846" s="1"/>
      <c r="C846" s="1"/>
    </row>
    <row r="847" spans="2:3" ht="15.75" customHeight="1">
      <c r="B847" s="1"/>
      <c r="C847" s="1"/>
    </row>
    <row r="848" spans="2:3" ht="15.75" customHeight="1">
      <c r="B848" s="1"/>
      <c r="C848" s="1"/>
    </row>
    <row r="849" spans="2:3" ht="15.75" customHeight="1">
      <c r="B849" s="1"/>
      <c r="C849" s="1"/>
    </row>
    <row r="850" spans="2:3" ht="15.75" customHeight="1">
      <c r="B850" s="1"/>
      <c r="C850" s="1"/>
    </row>
    <row r="851" spans="2:3" ht="15.75" customHeight="1">
      <c r="B851" s="1"/>
      <c r="C851" s="1"/>
    </row>
    <row r="852" spans="2:3" ht="15.75" customHeight="1">
      <c r="B852" s="1"/>
      <c r="C852" s="1"/>
    </row>
    <row r="853" spans="2:3" ht="15.75" customHeight="1">
      <c r="B853" s="1"/>
      <c r="C853" s="1"/>
    </row>
    <row r="854" spans="2:3" ht="15.75" customHeight="1">
      <c r="B854" s="1"/>
      <c r="C854" s="1"/>
    </row>
    <row r="855" spans="2:3" ht="15.75" customHeight="1">
      <c r="B855" s="1"/>
      <c r="C855" s="1"/>
    </row>
    <row r="856" spans="2:3" ht="15.75" customHeight="1">
      <c r="B856" s="1"/>
      <c r="C856" s="1"/>
    </row>
    <row r="857" spans="2:3" ht="15.75" customHeight="1">
      <c r="B857" s="1"/>
      <c r="C857" s="1"/>
    </row>
    <row r="858" spans="2:3" ht="15.75" customHeight="1">
      <c r="B858" s="1"/>
      <c r="C858" s="1"/>
    </row>
    <row r="859" spans="2:3" ht="15.75" customHeight="1">
      <c r="B859" s="1"/>
      <c r="C859" s="1"/>
    </row>
    <row r="860" spans="2:3" ht="15.75" customHeight="1">
      <c r="B860" s="1"/>
      <c r="C860" s="1"/>
    </row>
    <row r="861" spans="2:3" ht="15.75" customHeight="1">
      <c r="B861" s="1"/>
      <c r="C861" s="1"/>
    </row>
    <row r="862" spans="2:3" ht="15.75" customHeight="1">
      <c r="B862" s="1"/>
      <c r="C862" s="1"/>
    </row>
    <row r="863" spans="2:3" ht="15.75" customHeight="1">
      <c r="B863" s="1"/>
      <c r="C863" s="1"/>
    </row>
    <row r="864" spans="2:3" ht="15.75" customHeight="1">
      <c r="B864" s="1"/>
      <c r="C864" s="1"/>
    </row>
    <row r="865" spans="2:3" ht="15.75" customHeight="1">
      <c r="B865" s="1"/>
      <c r="C865" s="1"/>
    </row>
    <row r="866" spans="2:3" ht="15.75" customHeight="1">
      <c r="B866" s="1"/>
      <c r="C866" s="1"/>
    </row>
    <row r="867" spans="2:3" ht="15.75" customHeight="1">
      <c r="B867" s="1"/>
      <c r="C867" s="1"/>
    </row>
    <row r="868" spans="2:3" ht="15.75" customHeight="1">
      <c r="B868" s="1"/>
      <c r="C868" s="1"/>
    </row>
    <row r="869" spans="2:3" ht="15.75" customHeight="1">
      <c r="B869" s="1"/>
      <c r="C869" s="1"/>
    </row>
    <row r="870" spans="2:3" ht="15.75" customHeight="1">
      <c r="B870" s="1"/>
      <c r="C870" s="1"/>
    </row>
    <row r="871" spans="2:3" ht="15.75" customHeight="1">
      <c r="B871" s="1"/>
      <c r="C871" s="1"/>
    </row>
    <row r="872" spans="2:3" ht="15.75" customHeight="1">
      <c r="B872" s="1"/>
      <c r="C872" s="1"/>
    </row>
    <row r="873" spans="2:3" ht="15.75" customHeight="1">
      <c r="B873" s="1"/>
      <c r="C873" s="1"/>
    </row>
    <row r="874" spans="2:3" ht="15.75" customHeight="1">
      <c r="B874" s="1"/>
      <c r="C874" s="1"/>
    </row>
    <row r="875" spans="2:3" ht="15.75" customHeight="1">
      <c r="B875" s="1"/>
      <c r="C875" s="1"/>
    </row>
    <row r="876" spans="2:3" ht="15.75" customHeight="1">
      <c r="B876" s="1"/>
      <c r="C876" s="1"/>
    </row>
    <row r="877" spans="2:3" ht="15.75" customHeight="1">
      <c r="B877" s="1"/>
      <c r="C877" s="1"/>
    </row>
    <row r="878" spans="2:3" ht="15.75" customHeight="1">
      <c r="B878" s="1"/>
      <c r="C878" s="1"/>
    </row>
    <row r="879" spans="2:3" ht="15.75" customHeight="1">
      <c r="B879" s="1"/>
      <c r="C879" s="1"/>
    </row>
    <row r="880" spans="2:3" ht="15.75" customHeight="1">
      <c r="B880" s="1"/>
      <c r="C880" s="1"/>
    </row>
    <row r="881" spans="2:3" ht="15.75" customHeight="1">
      <c r="B881" s="1"/>
      <c r="C881" s="1"/>
    </row>
    <row r="882" spans="2:3" ht="15.75" customHeight="1">
      <c r="B882" s="1"/>
      <c r="C882" s="1"/>
    </row>
    <row r="883" spans="2:3" ht="15.75" customHeight="1">
      <c r="B883" s="1"/>
      <c r="C883" s="1"/>
    </row>
    <row r="884" spans="2:3" ht="15.75" customHeight="1">
      <c r="B884" s="1"/>
      <c r="C884" s="1"/>
    </row>
    <row r="885" spans="2:3" ht="15.75" customHeight="1">
      <c r="B885" s="1"/>
      <c r="C885" s="1"/>
    </row>
    <row r="886" spans="2:3" ht="15.75" customHeight="1">
      <c r="B886" s="1"/>
      <c r="C886" s="1"/>
    </row>
    <row r="887" spans="2:3" ht="15.75" customHeight="1">
      <c r="B887" s="1"/>
      <c r="C887" s="1"/>
    </row>
    <row r="888" spans="2:3" ht="15.75" customHeight="1">
      <c r="B888" s="1"/>
      <c r="C888" s="1"/>
    </row>
    <row r="889" spans="2:3" ht="15.75" customHeight="1">
      <c r="B889" s="1"/>
      <c r="C889" s="1"/>
    </row>
    <row r="890" spans="2:3" ht="15.75" customHeight="1">
      <c r="B890" s="1"/>
      <c r="C890" s="1"/>
    </row>
    <row r="891" spans="2:3" ht="15.75" customHeight="1">
      <c r="B891" s="1"/>
      <c r="C891" s="1"/>
    </row>
    <row r="892" spans="2:3" ht="15.75" customHeight="1">
      <c r="B892" s="1"/>
      <c r="C892" s="1"/>
    </row>
    <row r="893" spans="2:3" ht="15.75" customHeight="1">
      <c r="B893" s="1"/>
      <c r="C893" s="1"/>
    </row>
    <row r="894" spans="2:3" ht="15.75" customHeight="1">
      <c r="B894" s="1"/>
      <c r="C894" s="1"/>
    </row>
    <row r="895" spans="2:3" ht="15.75" customHeight="1">
      <c r="B895" s="1"/>
      <c r="C895" s="1"/>
    </row>
    <row r="896" spans="2:3" ht="15.75" customHeight="1">
      <c r="B896" s="1"/>
      <c r="C896" s="1"/>
    </row>
    <row r="897" spans="2:3" ht="15.75" customHeight="1">
      <c r="B897" s="1"/>
      <c r="C897" s="1"/>
    </row>
    <row r="898" spans="2:3" ht="15.75" customHeight="1">
      <c r="B898" s="1"/>
      <c r="C898" s="1"/>
    </row>
    <row r="899" spans="2:3" ht="15.75" customHeight="1">
      <c r="B899" s="1"/>
      <c r="C899" s="1"/>
    </row>
    <row r="900" spans="2:3" ht="15.75" customHeight="1">
      <c r="B900" s="1"/>
      <c r="C900" s="1"/>
    </row>
    <row r="901" spans="2:3" ht="15.75" customHeight="1">
      <c r="B901" s="1"/>
      <c r="C901" s="1"/>
    </row>
    <row r="902" spans="2:3" ht="15.75" customHeight="1">
      <c r="B902" s="1"/>
      <c r="C902" s="1"/>
    </row>
    <row r="903" spans="2:3" ht="15.75" customHeight="1">
      <c r="B903" s="1"/>
      <c r="C903" s="1"/>
    </row>
    <row r="904" spans="2:3" ht="15.75" customHeight="1">
      <c r="B904" s="1"/>
      <c r="C904" s="1"/>
    </row>
    <row r="905" spans="2:3" ht="15.75" customHeight="1">
      <c r="B905" s="1"/>
      <c r="C905" s="1"/>
    </row>
    <row r="906" spans="2:3" ht="15.75" customHeight="1">
      <c r="B906" s="1"/>
      <c r="C906" s="1"/>
    </row>
    <row r="907" spans="2:3" ht="15.75" customHeight="1">
      <c r="B907" s="1"/>
      <c r="C907" s="1"/>
    </row>
    <row r="908" spans="2:3" ht="15.75" customHeight="1">
      <c r="B908" s="1"/>
      <c r="C908" s="1"/>
    </row>
    <row r="909" spans="2:3" ht="15.75" customHeight="1">
      <c r="B909" s="1"/>
      <c r="C909" s="1"/>
    </row>
    <row r="910" spans="2:3" ht="15.75" customHeight="1">
      <c r="B910" s="1"/>
      <c r="C910" s="1"/>
    </row>
    <row r="911" spans="2:3" ht="15.75" customHeight="1">
      <c r="B911" s="1"/>
      <c r="C911" s="1"/>
    </row>
    <row r="912" spans="2:3" ht="15.75" customHeight="1">
      <c r="B912" s="1"/>
      <c r="C912" s="1"/>
    </row>
    <row r="913" spans="2:3" ht="15.75" customHeight="1">
      <c r="B913" s="1"/>
      <c r="C913" s="1"/>
    </row>
    <row r="914" spans="2:3" ht="15.75" customHeight="1">
      <c r="B914" s="1"/>
      <c r="C914" s="1"/>
    </row>
    <row r="915" spans="2:3" ht="15.75" customHeight="1">
      <c r="B915" s="1"/>
      <c r="C915" s="1"/>
    </row>
    <row r="916" spans="2:3" ht="15.75" customHeight="1">
      <c r="B916" s="1"/>
      <c r="C916" s="1"/>
    </row>
    <row r="917" spans="2:3" ht="15.75" customHeight="1">
      <c r="B917" s="1"/>
      <c r="C917" s="1"/>
    </row>
    <row r="918" spans="2:3" ht="15.75" customHeight="1">
      <c r="B918" s="1"/>
      <c r="C918" s="1"/>
    </row>
    <row r="919" spans="2:3" ht="15.75" customHeight="1">
      <c r="B919" s="1"/>
      <c r="C919" s="1"/>
    </row>
    <row r="920" spans="2:3" ht="15.75" customHeight="1">
      <c r="B920" s="1"/>
      <c r="C920" s="1"/>
    </row>
    <row r="921" spans="2:3" ht="15.75" customHeight="1">
      <c r="B921" s="1"/>
      <c r="C921" s="1"/>
    </row>
    <row r="922" spans="2:3" ht="15.75" customHeight="1">
      <c r="B922" s="1"/>
      <c r="C922" s="1"/>
    </row>
    <row r="923" spans="2:3" ht="15.75" customHeight="1">
      <c r="B923" s="1"/>
      <c r="C923" s="1"/>
    </row>
    <row r="924" spans="2:3" ht="15.75" customHeight="1">
      <c r="B924" s="1"/>
      <c r="C924" s="1"/>
    </row>
    <row r="925" spans="2:3" ht="15.75" customHeight="1">
      <c r="B925" s="1"/>
      <c r="C925" s="1"/>
    </row>
    <row r="926" spans="2:3" ht="15.75" customHeight="1">
      <c r="B926" s="1"/>
      <c r="C926" s="1"/>
    </row>
    <row r="927" spans="2:3" ht="15.75" customHeight="1">
      <c r="B927" s="1"/>
      <c r="C927" s="1"/>
    </row>
    <row r="928" spans="2:3" ht="15.75" customHeight="1">
      <c r="B928" s="1"/>
      <c r="C928" s="1"/>
    </row>
    <row r="929" spans="2:3" ht="15.75" customHeight="1">
      <c r="B929" s="1"/>
      <c r="C929" s="1"/>
    </row>
    <row r="930" spans="2:3" ht="15.75" customHeight="1">
      <c r="B930" s="1"/>
      <c r="C930" s="1"/>
    </row>
    <row r="931" spans="2:3" ht="15.75" customHeight="1">
      <c r="B931" s="1"/>
      <c r="C931" s="1"/>
    </row>
    <row r="932" spans="2:3" ht="15.75" customHeight="1">
      <c r="B932" s="1"/>
      <c r="C932" s="1"/>
    </row>
    <row r="933" spans="2:3" ht="15.75" customHeight="1">
      <c r="B933" s="1"/>
      <c r="C933" s="1"/>
    </row>
    <row r="934" spans="2:3" ht="15.75" customHeight="1">
      <c r="B934" s="1"/>
      <c r="C934" s="1"/>
    </row>
    <row r="935" spans="2:3" ht="15.75" customHeight="1">
      <c r="B935" s="1"/>
      <c r="C935" s="1"/>
    </row>
    <row r="936" spans="2:3" ht="15.75" customHeight="1">
      <c r="B936" s="1"/>
      <c r="C936" s="1"/>
    </row>
    <row r="937" spans="2:3" ht="15.75" customHeight="1">
      <c r="B937" s="1"/>
      <c r="C937" s="1"/>
    </row>
    <row r="938" spans="2:3" ht="15.75" customHeight="1">
      <c r="B938" s="1"/>
      <c r="C938" s="1"/>
    </row>
    <row r="939" spans="2:3" ht="15.75" customHeight="1">
      <c r="B939" s="1"/>
      <c r="C939" s="1"/>
    </row>
    <row r="940" spans="2:3" ht="15.75" customHeight="1">
      <c r="B940" s="1"/>
      <c r="C940" s="1"/>
    </row>
    <row r="941" spans="2:3" ht="15.75" customHeight="1">
      <c r="B941" s="1"/>
      <c r="C941" s="1"/>
    </row>
    <row r="942" spans="2:3" ht="15.75" customHeight="1">
      <c r="B942" s="1"/>
      <c r="C942" s="1"/>
    </row>
    <row r="943" spans="2:3" ht="15.75" customHeight="1">
      <c r="B943" s="1"/>
      <c r="C943" s="1"/>
    </row>
    <row r="944" spans="2:3" ht="15.75" customHeight="1">
      <c r="B944" s="1"/>
      <c r="C944" s="1"/>
    </row>
    <row r="945" spans="2:3" ht="15.75" customHeight="1">
      <c r="B945" s="1"/>
      <c r="C945" s="1"/>
    </row>
    <row r="946" spans="2:3" ht="15.75" customHeight="1">
      <c r="B946" s="1"/>
      <c r="C946" s="1"/>
    </row>
    <row r="947" spans="2:3" ht="15.75" customHeight="1">
      <c r="B947" s="1"/>
      <c r="C947" s="1"/>
    </row>
    <row r="948" spans="2:3" ht="15.75" customHeight="1">
      <c r="B948" s="1"/>
      <c r="C948" s="1"/>
    </row>
    <row r="949" spans="2:3" ht="15.75" customHeight="1">
      <c r="B949" s="1"/>
      <c r="C949" s="1"/>
    </row>
    <row r="950" spans="2:3" ht="15.75" customHeight="1">
      <c r="B950" s="1"/>
      <c r="C950" s="1"/>
    </row>
    <row r="951" spans="2:3" ht="15.75" customHeight="1">
      <c r="B951" s="1"/>
      <c r="C951" s="1"/>
    </row>
    <row r="952" spans="2:3" ht="15.75" customHeight="1">
      <c r="B952" s="1"/>
      <c r="C952" s="1"/>
    </row>
    <row r="953" spans="2:3" ht="15.75" customHeight="1">
      <c r="B953" s="1"/>
      <c r="C953" s="1"/>
    </row>
    <row r="954" spans="2:3" ht="15.75" customHeight="1">
      <c r="B954" s="1"/>
      <c r="C954" s="1"/>
    </row>
    <row r="955" spans="2:3" ht="15.75" customHeight="1">
      <c r="B955" s="1"/>
      <c r="C955" s="1"/>
    </row>
    <row r="956" spans="2:3" ht="15.75" customHeight="1">
      <c r="B956" s="1"/>
      <c r="C956" s="1"/>
    </row>
    <row r="957" spans="2:3" ht="15.75" customHeight="1">
      <c r="B957" s="1"/>
      <c r="C957" s="1"/>
    </row>
    <row r="958" spans="2:3" ht="15.75" customHeight="1">
      <c r="B958" s="1"/>
      <c r="C958" s="1"/>
    </row>
    <row r="959" spans="2:3" ht="15.75" customHeight="1">
      <c r="B959" s="1"/>
      <c r="C959" s="1"/>
    </row>
    <row r="960" spans="2:3" ht="15.75" customHeight="1">
      <c r="B960" s="1"/>
      <c r="C960" s="1"/>
    </row>
    <row r="961" spans="2:3" ht="15.75" customHeight="1">
      <c r="B961" s="1"/>
      <c r="C961" s="1"/>
    </row>
    <row r="962" spans="2:3" ht="15.75" customHeight="1">
      <c r="B962" s="1"/>
      <c r="C962" s="1"/>
    </row>
    <row r="963" spans="2:3" ht="15.75" customHeight="1">
      <c r="B963" s="1"/>
      <c r="C963" s="1"/>
    </row>
    <row r="964" spans="2:3" ht="15.75" customHeight="1">
      <c r="B964" s="1"/>
      <c r="C964" s="1"/>
    </row>
    <row r="965" spans="2:3" ht="15.75" customHeight="1">
      <c r="B965" s="1"/>
      <c r="C965" s="1"/>
    </row>
    <row r="966" spans="2:3" ht="15.75" customHeight="1">
      <c r="B966" s="1"/>
      <c r="C966" s="1"/>
    </row>
    <row r="967" spans="2:3" ht="15.75" customHeight="1">
      <c r="B967" s="1"/>
      <c r="C967" s="1"/>
    </row>
    <row r="968" spans="2:3" ht="15.75" customHeight="1">
      <c r="B968" s="1"/>
      <c r="C968" s="1"/>
    </row>
    <row r="969" spans="2:3" ht="15.75" customHeight="1">
      <c r="B969" s="1"/>
      <c r="C969" s="1"/>
    </row>
    <row r="970" spans="2:3" ht="15.75" customHeight="1">
      <c r="B970" s="1"/>
      <c r="C970" s="1"/>
    </row>
    <row r="971" spans="2:3" ht="15.75" customHeight="1">
      <c r="B971" s="1"/>
      <c r="C971" s="1"/>
    </row>
    <row r="972" spans="2:3" ht="15.75" customHeight="1">
      <c r="B972" s="1"/>
      <c r="C972" s="1"/>
    </row>
    <row r="973" spans="2:3" ht="15.75" customHeight="1">
      <c r="B973" s="1"/>
      <c r="C973" s="1"/>
    </row>
    <row r="974" spans="2:3" ht="15.75" customHeight="1">
      <c r="B974" s="1"/>
      <c r="C974" s="1"/>
    </row>
    <row r="975" spans="2:3" ht="15.75" customHeight="1">
      <c r="B975" s="1"/>
      <c r="C975" s="1"/>
    </row>
    <row r="976" spans="2:3" ht="15.75" customHeight="1">
      <c r="B976" s="1"/>
      <c r="C976" s="1"/>
    </row>
    <row r="977" spans="2:3" ht="15.75" customHeight="1">
      <c r="B977" s="1"/>
      <c r="C977" s="1"/>
    </row>
    <row r="978" spans="2:3" ht="15.75" customHeight="1">
      <c r="B978" s="1"/>
      <c r="C978" s="1"/>
    </row>
    <row r="979" spans="2:3" ht="15.75" customHeight="1">
      <c r="B979" s="1"/>
      <c r="C979" s="1"/>
    </row>
    <row r="980" spans="2:3" ht="15.75" customHeight="1">
      <c r="B980" s="1"/>
      <c r="C980" s="1"/>
    </row>
    <row r="981" spans="2:3" ht="15.75" customHeight="1">
      <c r="B981" s="1"/>
      <c r="C981" s="1"/>
    </row>
    <row r="982" spans="2:3" ht="15.75" customHeight="1">
      <c r="B982" s="1"/>
      <c r="C982" s="1"/>
    </row>
    <row r="983" spans="2:3" ht="15.75" customHeight="1">
      <c r="B983" s="1"/>
      <c r="C983" s="1"/>
    </row>
    <row r="984" spans="2:3" ht="15.75" customHeight="1">
      <c r="B984" s="1"/>
      <c r="C984" s="1"/>
    </row>
    <row r="985" spans="2:3" ht="15.75" customHeight="1">
      <c r="B985" s="1"/>
      <c r="C985" s="1"/>
    </row>
    <row r="986" spans="2:3" ht="15.75" customHeight="1">
      <c r="B986" s="1"/>
      <c r="C986" s="1"/>
    </row>
    <row r="987" spans="2:3" ht="15.75" customHeight="1">
      <c r="B987" s="1"/>
      <c r="C987" s="1"/>
    </row>
    <row r="988" spans="2:3" ht="15.75" customHeight="1">
      <c r="B988" s="1"/>
      <c r="C988" s="1"/>
    </row>
    <row r="989" spans="2:3" ht="15.75" customHeight="1">
      <c r="B989" s="1"/>
      <c r="C989" s="1"/>
    </row>
    <row r="990" spans="2:3" ht="15.75" customHeight="1">
      <c r="B990" s="1"/>
      <c r="C990" s="1"/>
    </row>
    <row r="991" spans="2:3" ht="15.75" customHeight="1">
      <c r="B991" s="1"/>
      <c r="C991" s="1"/>
    </row>
    <row r="992" spans="2:3" ht="15.75" customHeight="1">
      <c r="B992" s="1"/>
      <c r="C992" s="1"/>
    </row>
    <row r="993" spans="2:3" ht="15.75" customHeight="1">
      <c r="B993" s="1"/>
      <c r="C993" s="1"/>
    </row>
    <row r="994" spans="2:3" ht="15.75" customHeight="1">
      <c r="B994" s="1"/>
      <c r="C994" s="1"/>
    </row>
    <row r="995" spans="2:3" ht="15.75" customHeight="1">
      <c r="B995" s="1"/>
      <c r="C995" s="1"/>
    </row>
    <row r="996" spans="2:3" ht="15.75" customHeight="1">
      <c r="B996" s="1"/>
      <c r="C996" s="1"/>
    </row>
    <row r="997" spans="2:3" ht="15.75" customHeight="1">
      <c r="B997" s="1"/>
      <c r="C997" s="1"/>
    </row>
    <row r="998" spans="2:3" ht="15.75" customHeight="1">
      <c r="B998" s="1"/>
      <c r="C998" s="1"/>
    </row>
    <row r="999" spans="2:3" ht="15.75" customHeight="1">
      <c r="B999" s="1"/>
      <c r="C999" s="1"/>
    </row>
  </sheetData>
  <autoFilter ref="A3:CQ40">
    <filterColumn colId="5" showButton="0"/>
    <filterColumn colId="14" showButton="0"/>
    <filterColumn colId="15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4" showButton="0"/>
    <filterColumn colId="45" showButton="0"/>
    <filterColumn colId="46" showButton="0"/>
    <filterColumn colId="47" showButton="0"/>
    <filterColumn colId="48" showButton="0"/>
    <filterColumn colId="50" showButton="0"/>
    <filterColumn colId="51" showButton="0"/>
    <filterColumn colId="52" showButton="0"/>
    <filterColumn colId="53" showButton="0"/>
    <filterColumn colId="54" showButton="0"/>
    <filterColumn colId="56" showButton="0"/>
    <filterColumn colId="57" showButton="0"/>
    <filterColumn colId="58" showButton="0"/>
    <filterColumn colId="59" showButton="0"/>
    <filterColumn colId="60" showButton="0"/>
    <filterColumn colId="62" showButton="0"/>
    <filterColumn colId="63" showButton="0"/>
    <filterColumn colId="64" showButton="0"/>
    <filterColumn colId="65" showButton="0"/>
    <filterColumn colId="66" showButton="0"/>
    <filterColumn colId="68" showButton="0"/>
    <filterColumn colId="69" showButton="0"/>
    <filterColumn colId="70" showButton="0"/>
    <filterColumn colId="71" showButton="0"/>
    <filterColumn colId="72" showButton="0"/>
    <filterColumn colId="74" showButton="0"/>
    <filterColumn colId="75" showButton="0"/>
    <filterColumn colId="76" showButton="0"/>
    <filterColumn colId="77" showButton="0"/>
    <filterColumn colId="78" showButton="0"/>
    <filterColumn colId="80" showButton="0"/>
    <filterColumn colId="81" showButton="0"/>
    <filterColumn colId="82" showButton="0"/>
    <filterColumn colId="83" showButton="0"/>
    <filterColumn colId="84" showButton="0"/>
  </autoFilter>
  <mergeCells count="36">
    <mergeCell ref="O2:CB2"/>
    <mergeCell ref="CK2:CM2"/>
    <mergeCell ref="CN2:CP2"/>
    <mergeCell ref="F3:G3"/>
    <mergeCell ref="O3:T3"/>
    <mergeCell ref="U3:AF3"/>
    <mergeCell ref="AL3:AR3"/>
    <mergeCell ref="AS3:AX3"/>
    <mergeCell ref="AY3:BD3"/>
    <mergeCell ref="BE3:BJ3"/>
    <mergeCell ref="BK3:BP3"/>
    <mergeCell ref="BQ3:BV3"/>
    <mergeCell ref="BW3:CB3"/>
    <mergeCell ref="CC3:CH3"/>
    <mergeCell ref="AS4:AX4"/>
    <mergeCell ref="O5:T5"/>
    <mergeCell ref="U5:Z5"/>
    <mergeCell ref="AA5:AF5"/>
    <mergeCell ref="AG5:AL5"/>
    <mergeCell ref="AM5:AR5"/>
    <mergeCell ref="AS5:AX5"/>
    <mergeCell ref="O4:T4"/>
    <mergeCell ref="U4:Z4"/>
    <mergeCell ref="AA4:AF4"/>
    <mergeCell ref="AG4:AL4"/>
    <mergeCell ref="AM4:AR4"/>
    <mergeCell ref="BW5:CB5"/>
    <mergeCell ref="AY4:BD4"/>
    <mergeCell ref="BE4:BJ4"/>
    <mergeCell ref="BK4:BP4"/>
    <mergeCell ref="BQ4:BV4"/>
    <mergeCell ref="BW4:CB4"/>
    <mergeCell ref="AY5:BD5"/>
    <mergeCell ref="BE5:BJ5"/>
    <mergeCell ref="BK5:BP5"/>
    <mergeCell ref="BQ5:BV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HMEP</vt:lpstr>
      <vt:lpstr>IHSS</vt:lpstr>
      <vt:lpstr>HMEP analisis</vt:lpstr>
      <vt:lpstr>TIR</vt:lpstr>
      <vt:lpstr>TAR</vt:lpstr>
      <vt:lpstr>TBR</vt:lpstr>
      <vt:lpstr>IRG</vt:lpstr>
      <vt:lpstr>TA</vt:lpstr>
      <vt:lpstr>CV</vt:lpstr>
      <vt:lpstr>GMI</vt:lpstr>
      <vt:lpstr>HMEP (3)</vt:lpstr>
      <vt:lpstr>HMEP (4)</vt:lpstr>
      <vt:lpstr>HMEP (5)</vt:lpstr>
      <vt:lpstr>HMEP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Lesby Espinoza</dc:creator>
  <cp:lastModifiedBy>CARMEN</cp:lastModifiedBy>
  <dcterms:created xsi:type="dcterms:W3CDTF">2015-06-05T18:17:20Z</dcterms:created>
  <dcterms:modified xsi:type="dcterms:W3CDTF">2026-04-02T16:30:52Z</dcterms:modified>
</cp:coreProperties>
</file>